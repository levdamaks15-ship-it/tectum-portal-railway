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140" tabRatio="600" firstSheet="0" activeTab="0" autoFilterDateGrouping="1"/>
  </bookViews>
  <sheets>
    <sheet name="Выработка" sheetId="1" state="visible" r:id="rId1"/>
    <sheet name="рапорт" sheetId="2" state="visible" r:id="rId2"/>
    <sheet name="Итоги" sheetId="3" state="visible" r:id="rId3"/>
    <sheet name="Списки" sheetId="4" state="hidden" r:id="rId4"/>
  </sheets>
  <externalReferences>
    <externalReference r:id="rId5"/>
  </externalReferences>
  <definedNames>
    <definedName name="MasterList">Списки!$A$2:$A$5</definedName>
    <definedName name="ShiftList">Списки!$B$2:$B$5</definedName>
    <definedName name="Мастер">[1]инфо!$A$34:$A$37</definedName>
    <definedName name="Продукт">[1]инфо!$A$15:$A$29</definedName>
    <definedName name="_xlnm._FilterDatabase" localSheetId="1" hidden="1">'рапорт'!$A$2:$AV$1259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dd\.mm\.yyyy"/>
    <numFmt numFmtId="165" formatCode="mmmm\ yyyy"/>
    <numFmt numFmtId="166" formatCode="0.0%"/>
    <numFmt numFmtId="167" formatCode="_-* #,##0_-;\-* #,##0_-;_-* &quot;-&quot;??_-;_-@_-"/>
    <numFmt numFmtId="168" formatCode="_-* #,##0.000_-;\-* #,##0.000_-;_-* &quot;-&quot;??_-;_-@_-"/>
    <numFmt numFmtId="169" formatCode="_-* #,##0.0_-;\-* #,##0.0_-;_-* &quot;-&quot;??_-;_-@_-"/>
    <numFmt numFmtId="170" formatCode="0.000"/>
  </numFmts>
  <fonts count="10">
    <font>
      <name val="Calibri"/>
      <family val="2"/>
      <color theme="1"/>
      <sz val="11"/>
      <scheme val="minor"/>
    </font>
    <font>
      <name val="Calibri"/>
      <b val="1"/>
      <color rgb="FFFFFFFF"/>
      <sz val="11"/>
      <scheme val="minor"/>
    </font>
    <font>
      <name val="Calibri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sz val="8"/>
      <scheme val="minor"/>
    </font>
    <font>
      <name val="Calibri"/>
      <charset val="204"/>
      <family val="2"/>
      <color theme="0"/>
      <sz val="11"/>
      <scheme val="minor"/>
    </font>
    <font>
      <name val="Calibri"/>
      <family val="2"/>
      <color theme="0"/>
      <sz val="10"/>
      <scheme val="minor"/>
    </font>
    <font>
      <name val="Calibri"/>
      <family val="2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4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5" borderId="0"/>
  </cellStyleXfs>
  <cellXfs count="99">
    <xf numFmtId="0" fontId="0" fillId="0" borderId="0" pivotButton="0" quotePrefix="0" xfId="0"/>
    <xf numFmtId="0" fontId="1" fillId="2" borderId="2" applyAlignment="1" pivotButton="0" quotePrefix="0" xfId="0">
      <alignment horizontal="center"/>
    </xf>
    <xf numFmtId="0" fontId="2" fillId="0" borderId="5" pivotButton="0" quotePrefix="0" xfId="0"/>
    <xf numFmtId="0" fontId="2" fillId="0" borderId="8" pivotButton="0" quotePrefix="0" xfId="0"/>
    <xf numFmtId="164" fontId="1" fillId="2" borderId="1" applyAlignment="1" pivotButton="0" quotePrefix="0" xfId="0">
      <alignment horizontal="center"/>
    </xf>
    <xf numFmtId="164" fontId="2" fillId="0" borderId="4" pivotButton="0" quotePrefix="0" xfId="0"/>
    <xf numFmtId="164" fontId="2" fillId="0" borderId="7" pivotButton="0" quotePrefix="0" xfId="0"/>
    <xf numFmtId="1" fontId="1" fillId="2" borderId="2" applyAlignment="1" pivotButton="0" quotePrefix="0" xfId="0">
      <alignment horizontal="center"/>
    </xf>
    <xf numFmtId="1" fontId="2" fillId="0" borderId="5" pivotButton="0" quotePrefix="0" xfId="0"/>
    <xf numFmtId="1" fontId="2" fillId="0" borderId="8" pivotButton="0" quotePrefix="0" xfId="0"/>
    <xf numFmtId="3" fontId="1" fillId="2" borderId="2" applyAlignment="1" pivotButton="0" quotePrefix="0" xfId="0">
      <alignment horizontal="center"/>
    </xf>
    <xf numFmtId="3" fontId="2" fillId="0" borderId="5" pivotButton="0" quotePrefix="0" xfId="0"/>
    <xf numFmtId="3" fontId="2" fillId="0" borderId="8" pivotButton="0" quotePrefix="0" xfId="0"/>
    <xf numFmtId="3" fontId="1" fillId="2" borderId="3" applyAlignment="1" pivotButton="0" quotePrefix="0" xfId="0">
      <alignment horizontal="center"/>
    </xf>
    <xf numFmtId="3" fontId="2" fillId="0" borderId="6" pivotButton="0" quotePrefix="0" xfId="0"/>
    <xf numFmtId="3" fontId="2" fillId="0" borderId="9" pivotButton="0" quotePrefix="0" xfId="0"/>
    <xf numFmtId="165" fontId="2" fillId="0" borderId="4" pivotButton="0" quotePrefix="0" xfId="0"/>
    <xf numFmtId="165" fontId="2" fillId="0" borderId="7" pivotButton="0" quotePrefix="0" xfId="0"/>
    <xf numFmtId="165" fontId="0" fillId="0" borderId="0" pivotButton="0" quotePrefix="0" xfId="0"/>
    <xf numFmtId="3" fontId="0" fillId="0" borderId="0" pivotButton="0" quotePrefix="0" xfId="0"/>
    <xf numFmtId="0" fontId="4" fillId="3" borderId="0" pivotButton="0" quotePrefix="0" xfId="0"/>
    <xf numFmtId="165" fontId="0" fillId="4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4" fillId="0" borderId="4" pivotButton="0" quotePrefix="0" xfId="0"/>
    <xf numFmtId="0" fontId="4" fillId="0" borderId="5" pivotButton="0" quotePrefix="0" xfId="0"/>
    <xf numFmtId="0" fontId="0" fillId="0" borderId="5" pivotButton="0" quotePrefix="0" xfId="0"/>
    <xf numFmtId="0" fontId="3" fillId="2" borderId="5" applyAlignment="1" pivotButton="0" quotePrefix="0" xfId="0">
      <alignment horizontal="center"/>
    </xf>
    <xf numFmtId="3" fontId="4" fillId="0" borderId="5" pivotButton="0" quotePrefix="0" xfId="0"/>
    <xf numFmtId="166" fontId="4" fillId="0" borderId="5" pivotButton="0" quotePrefix="0" xfId="0"/>
    <xf numFmtId="3" fontId="0" fillId="0" borderId="5" pivotButton="0" quotePrefix="0" xfId="0"/>
    <xf numFmtId="166" fontId="0" fillId="0" borderId="5" pivotButton="0" quotePrefix="0" xfId="0"/>
    <xf numFmtId="3" fontId="2" fillId="0" borderId="3" pivotButton="0" quotePrefix="0" xfId="0"/>
    <xf numFmtId="3" fontId="3" fillId="2" borderId="2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0" fillId="0" borderId="0" pivotButton="0" quotePrefix="0" xfId="0"/>
    <xf numFmtId="0" fontId="8" fillId="5" borderId="5" applyAlignment="1" pivotButton="0" quotePrefix="0" xfId="1">
      <alignment horizontal="center" vertical="center"/>
    </xf>
    <xf numFmtId="0" fontId="8" fillId="5" borderId="5" applyAlignment="1" pivotButton="0" quotePrefix="0" xfId="1">
      <alignment horizontal="center" vertical="center" wrapText="1"/>
    </xf>
    <xf numFmtId="0" fontId="8" fillId="5" borderId="8" applyAlignment="1" pivotButton="0" quotePrefix="0" xfId="1">
      <alignment horizontal="center" vertical="center" wrapText="1"/>
    </xf>
    <xf numFmtId="0" fontId="8" fillId="5" borderId="8" applyAlignment="1" pivotButton="0" quotePrefix="0" xfId="1">
      <alignment horizontal="center" vertical="center"/>
    </xf>
    <xf numFmtId="0" fontId="8" fillId="5" borderId="9" applyAlignment="1" pivotButton="0" quotePrefix="0" xfId="1">
      <alignment horizontal="center" vertical="center"/>
    </xf>
    <xf numFmtId="0" fontId="8" fillId="5" borderId="7" applyAlignment="1" pivotButton="0" quotePrefix="0" xfId="1">
      <alignment horizontal="center" vertical="center"/>
    </xf>
    <xf numFmtId="0" fontId="9" fillId="0" borderId="5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8" fillId="5" borderId="2" applyAlignment="1" pivotButton="0" quotePrefix="0" xfId="1">
      <alignment horizontal="center" vertical="center" wrapText="1"/>
    </xf>
    <xf numFmtId="0" fontId="8" fillId="5" borderId="5" applyAlignment="1" pivotButton="0" quotePrefix="0" xfId="1">
      <alignment horizontal="left" vertical="center"/>
    </xf>
    <xf numFmtId="0" fontId="8" fillId="5" borderId="2" applyAlignment="1" pivotButton="0" quotePrefix="0" xfId="1">
      <alignment horizontal="center" vertical="center"/>
    </xf>
    <xf numFmtId="0" fontId="8" fillId="5" borderId="5" applyAlignment="1" pivotButton="0" quotePrefix="0" xfId="1">
      <alignment horizontal="center" vertical="center"/>
    </xf>
    <xf numFmtId="0" fontId="9" fillId="0" borderId="5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14" fontId="9" fillId="6" borderId="12" applyAlignment="1" pivotButton="0" quotePrefix="0" xfId="0">
      <alignment vertical="center"/>
    </xf>
    <xf numFmtId="49" fontId="9" fillId="6" borderId="0" applyAlignment="1" pivotButton="0" quotePrefix="0" xfId="0">
      <alignment horizontal="right" vertical="center"/>
    </xf>
    <xf numFmtId="167" fontId="9" fillId="0" borderId="11" applyAlignment="1" pivotButton="0" quotePrefix="0" xfId="0">
      <alignment vertical="center"/>
    </xf>
    <xf numFmtId="167" fontId="9" fillId="0" borderId="12" applyAlignment="1" pivotButton="0" quotePrefix="0" xfId="0">
      <alignment vertical="center"/>
    </xf>
    <xf numFmtId="0" fontId="9" fillId="0" borderId="2" applyAlignment="1" pivotButton="0" quotePrefix="0" xfId="0">
      <alignment horizontal="center" vertical="center"/>
    </xf>
    <xf numFmtId="167" fontId="9" fillId="0" borderId="13" applyAlignment="1" pivotButton="0" quotePrefix="0" xfId="0">
      <alignment vertical="center"/>
    </xf>
    <xf numFmtId="167" fontId="9" fillId="0" borderId="2" applyAlignment="1" pivotButton="0" quotePrefix="0" xfId="0">
      <alignment vertical="center"/>
    </xf>
    <xf numFmtId="168" fontId="9" fillId="0" borderId="2" applyAlignment="1" pivotButton="0" quotePrefix="0" xfId="0">
      <alignment vertical="center"/>
    </xf>
    <xf numFmtId="167" fontId="9" fillId="0" borderId="0" applyAlignment="1" pivotButton="0" quotePrefix="0" xfId="0">
      <alignment vertical="center"/>
    </xf>
    <xf numFmtId="167" fontId="9" fillId="7" borderId="13" applyAlignment="1" pivotButton="0" quotePrefix="0" xfId="0">
      <alignment vertical="center"/>
    </xf>
    <xf numFmtId="167" fontId="9" fillId="8" borderId="0" applyAlignment="1" pivotButton="0" quotePrefix="0" xfId="0">
      <alignment vertical="center"/>
    </xf>
    <xf numFmtId="169" fontId="9" fillId="7" borderId="11" applyAlignment="1" pivotButton="0" quotePrefix="0" xfId="0">
      <alignment vertical="center"/>
    </xf>
    <xf numFmtId="169" fontId="9" fillId="7" borderId="0" applyAlignment="1" pivotButton="0" quotePrefix="0" xfId="0">
      <alignment vertical="center"/>
    </xf>
    <xf numFmtId="169" fontId="9" fillId="0" borderId="12" applyAlignment="1" pivotButton="0" quotePrefix="0" xfId="0">
      <alignment vertical="center"/>
    </xf>
    <xf numFmtId="169" fontId="9" fillId="7" borderId="10" applyAlignment="1" pivotButton="0" quotePrefix="0" xfId="0">
      <alignment vertical="center"/>
    </xf>
    <xf numFmtId="49" fontId="9" fillId="6" borderId="10" applyAlignment="1" pivotButton="0" quotePrefix="0" xfId="0">
      <alignment horizontal="right" vertical="center"/>
    </xf>
    <xf numFmtId="0" fontId="9" fillId="0" borderId="5" applyAlignment="1" pivotButton="0" quotePrefix="0" xfId="0">
      <alignment horizontal="center" vertical="center"/>
    </xf>
    <xf numFmtId="167" fontId="9" fillId="0" borderId="8" applyAlignment="1" pivotButton="0" quotePrefix="0" xfId="0">
      <alignment vertical="center"/>
    </xf>
    <xf numFmtId="167" fontId="9" fillId="0" borderId="5" applyAlignment="1" pivotButton="0" quotePrefix="0" xfId="0">
      <alignment vertical="center"/>
    </xf>
    <xf numFmtId="167" fontId="9" fillId="8" borderId="5" applyAlignment="1" pivotButton="0" quotePrefix="0" xfId="0">
      <alignment vertical="center"/>
    </xf>
    <xf numFmtId="167" fontId="9" fillId="7" borderId="8" applyAlignment="1" pivotButton="0" quotePrefix="0" xfId="0">
      <alignment vertical="center"/>
    </xf>
    <xf numFmtId="14" fontId="9" fillId="6" borderId="7" applyAlignment="1" pivotButton="0" quotePrefix="0" xfId="0">
      <alignment vertical="center"/>
    </xf>
    <xf numFmtId="167" fontId="9" fillId="0" borderId="9" applyAlignment="1" pivotButton="0" quotePrefix="0" xfId="0">
      <alignment vertical="center"/>
    </xf>
    <xf numFmtId="167" fontId="9" fillId="0" borderId="7" applyAlignment="1" pivotButton="0" quotePrefix="0" xfId="0">
      <alignment vertical="center"/>
    </xf>
    <xf numFmtId="167" fontId="9" fillId="0" borderId="10" applyAlignment="1" pivotButton="0" quotePrefix="0" xfId="0">
      <alignment vertical="center"/>
    </xf>
    <xf numFmtId="169" fontId="9" fillId="7" borderId="9" applyAlignment="1" pivotButton="0" quotePrefix="0" xfId="0">
      <alignment vertical="center"/>
    </xf>
    <xf numFmtId="169" fontId="9" fillId="0" borderId="7" applyAlignment="1" pivotButton="0" quotePrefix="0" xfId="0">
      <alignment vertical="center"/>
    </xf>
    <xf numFmtId="167" fontId="9" fillId="0" borderId="3" applyAlignment="1" pivotButton="0" quotePrefix="0" xfId="0">
      <alignment vertical="center"/>
    </xf>
    <xf numFmtId="167" fontId="9" fillId="0" borderId="1" applyAlignment="1" pivotButton="0" quotePrefix="0" xfId="0">
      <alignment vertical="center"/>
    </xf>
    <xf numFmtId="167" fontId="9" fillId="0" borderId="14" applyAlignment="1" pivotButton="0" quotePrefix="0" xfId="0">
      <alignment vertical="center"/>
    </xf>
    <xf numFmtId="167" fontId="9" fillId="7" borderId="2" applyAlignment="1" pivotButton="0" quotePrefix="0" xfId="0">
      <alignment vertical="center"/>
    </xf>
    <xf numFmtId="169" fontId="9" fillId="7" borderId="3" applyAlignment="1" pivotButton="0" quotePrefix="0" xfId="0">
      <alignment vertical="center"/>
    </xf>
    <xf numFmtId="169" fontId="9" fillId="0" borderId="1" applyAlignment="1" pivotButton="0" quotePrefix="0" xfId="0">
      <alignment vertical="center"/>
    </xf>
    <xf numFmtId="2" fontId="9" fillId="0" borderId="3" applyAlignment="1" pivotButton="0" quotePrefix="0" xfId="0">
      <alignment vertical="center"/>
    </xf>
    <xf numFmtId="49" fontId="9" fillId="0" borderId="5" applyAlignment="1" pivotButton="0" quotePrefix="0" xfId="0">
      <alignment horizontal="center" vertical="center"/>
    </xf>
    <xf numFmtId="169" fontId="9" fillId="7" borderId="14" applyAlignment="1" pivotButton="0" quotePrefix="0" xfId="0">
      <alignment vertical="center"/>
    </xf>
    <xf numFmtId="49" fontId="9" fillId="6" borderId="5" applyAlignment="1" pivotButton="0" quotePrefix="0" xfId="0">
      <alignment horizontal="right" vertical="center"/>
    </xf>
    <xf numFmtId="170" fontId="9" fillId="0" borderId="5" applyAlignment="1" pivotButton="0" quotePrefix="0" xfId="0">
      <alignment vertical="center"/>
    </xf>
    <xf numFmtId="14" fontId="9" fillId="6" borderId="14" applyAlignment="1" pivotButton="0" quotePrefix="0" xfId="0">
      <alignment vertical="center"/>
    </xf>
    <xf numFmtId="14" fontId="9" fillId="6" borderId="10" applyAlignment="1" pivotButton="0" quotePrefix="0" xfId="0">
      <alignment vertical="center"/>
    </xf>
    <xf numFmtId="14" fontId="9" fillId="6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14" fontId="9" fillId="0" borderId="1" applyAlignment="1" pivotButton="0" quotePrefix="0" xfId="0">
      <alignment vertical="center"/>
    </xf>
    <xf numFmtId="14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2" pivotButton="0" quotePrefix="0" xfId="0"/>
  </cellXfs>
  <cellStyles count="2">
    <cellStyle name="Обычный" xfId="0" builtinId="0"/>
    <cellStyle name="Акцент1" xfId="1" builtinId="29"/>
  </cellStyles>
  <dxfs count="29">
    <dxf>
      <font>
        <name val="Calibri"/>
        <sz val="11"/>
      </font>
      <numFmt numFmtId="3" formatCode="#,##0"/>
      <border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name val="Calibri"/>
        <sz val="11"/>
      </font>
      <numFmt numFmtId="3" formatCode="#,##0"/>
      <border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rgb="FFFF0000"/>
        </patternFill>
      </fill>
    </dxf>
    <dxf>
      <fill>
        <patternFill>
          <bgColor theme="4" tint="0.5999633777886288"/>
        </patternFill>
      </fill>
    </dxf>
    <dxf>
      <fill>
        <patternFill>
          <bgColor rgb="FFFFFF00"/>
        </patternFill>
      </fill>
    </dxf>
    <dxf>
      <fill>
        <patternFill>
          <bgColor theme="9" tint="0.7999816888943144"/>
        </patternFill>
      </fill>
    </dxf>
    <dxf>
      <fill>
        <patternFill>
          <bgColor theme="4" tint="0.5999633777886288"/>
        </patternFill>
      </fill>
    </dxf>
    <dxf>
      <fill>
        <patternFill>
          <bgColor theme="9" tint="0.7999816888943144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numFmt numFmtId="3" formatCode="#,##0"/>
    </dxf>
    <dxf>
      <numFmt numFmtId="165" formatCode="mmmm\ yyyy"/>
    </dxf>
    <dxf>
      <font>
        <b val="1"/>
        <color rgb="FFFFFFFF"/>
      </font>
      <fill>
        <patternFill patternType="solid">
          <fgColor indexed="64"/>
          <bgColor rgb="FF1F4E78"/>
        </patternFill>
      </fill>
      <alignment horizontal="center"/>
    </dxf>
    <dxf>
      <font>
        <name val="Calibri"/>
        <sz val="11"/>
      </font>
      <numFmt numFmtId="3" formatCode="#,##0"/>
      <border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name val="Calibri"/>
        <sz val="11"/>
      </font>
      <numFmt numFmtId="3" formatCode="#,##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name val="Calibri"/>
        <sz val="11"/>
      </font>
      <numFmt numFmtId="1" formatCode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name val="Calibri"/>
        <sz val="1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Calibri"/>
        <sz val="1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5" formatCode="mmmm\ yyyy"/>
      <border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Calibri"/>
        <sz val="11"/>
      </font>
      <numFmt numFmtId="164" formatCode="dd\.mm\.yyyy"/>
      <border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thin">
          <color auto="1"/>
        </top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z val="11"/>
      </font>
    </dxf>
    <dxf>
      <border>
        <bottom style="thin">
          <color auto="1"/>
        </bottom>
      </border>
    </dxf>
    <dxf>
      <font>
        <name val="Calibri"/>
        <b val="1"/>
        <color rgb="FFFFFFFF"/>
        <sz val="11"/>
      </font>
      <fill>
        <patternFill patternType="solid">
          <fgColor indexed="64"/>
          <bgColor rgb="FF1F4E78"/>
        </patternFill>
      </fill>
      <alignment horizontal="center"/>
      <border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externalLink" Target="/xl/externalLinks/externalLink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&#1053;&#1072;&#1090;&#1072;&#1083;&#1080;&#1103;\.gemini\antigravity-ide\scratch\m365-integration\tectum_portal\docs\excel\&#1088;&#1072;&#1087;&#1086;&#1088;&#1090;_&#1040;&#1062;&#1048;%2010.06.26.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рапорт"/>
      <sheetName val="Простои"/>
      <sheetName val="сырье"/>
      <sheetName val="инфо"/>
    </sheetNames>
    <sheetDataSet>
      <sheetData sheetId="0"/>
      <sheetData sheetId="1"/>
      <sheetData sheetId="2"/>
      <sheetData sheetId="3">
        <row r="15">
          <cell r="A15" t="str">
            <v>8 волн гладкий</v>
          </cell>
          <cell r="B15">
            <v>1</v>
          </cell>
          <cell r="C15">
            <v>19.600000000000001</v>
          </cell>
          <cell r="D15">
            <v>2.31</v>
          </cell>
          <cell r="E15">
            <v>14.93</v>
          </cell>
          <cell r="F15">
            <v>0.23100000000000001</v>
          </cell>
          <cell r="G15">
            <v>4.5999999999999999E-2</v>
          </cell>
          <cell r="H15">
            <v>0</v>
          </cell>
          <cell r="I15">
            <v>0.15</v>
          </cell>
        </row>
        <row r="16">
          <cell r="A16" t="str">
            <v>8 волн рифленый</v>
          </cell>
          <cell r="B16">
            <v>2</v>
          </cell>
          <cell r="C16">
            <v>19.600000000000001</v>
          </cell>
          <cell r="D16">
            <v>2.31</v>
          </cell>
          <cell r="E16">
            <v>14.93</v>
          </cell>
          <cell r="F16">
            <v>0.23100000000000001</v>
          </cell>
          <cell r="G16">
            <v>4.5999999999999999E-2</v>
          </cell>
          <cell r="H16">
            <v>0</v>
          </cell>
          <cell r="I16">
            <v>0.15</v>
          </cell>
        </row>
        <row r="17">
          <cell r="A17" t="str">
            <v>8 волн пигмент</v>
          </cell>
          <cell r="B17">
            <v>3</v>
          </cell>
          <cell r="C17">
            <v>19.600000000000001</v>
          </cell>
          <cell r="D17">
            <v>2.31</v>
          </cell>
          <cell r="E17">
            <v>14.93</v>
          </cell>
          <cell r="F17">
            <v>0.23100000000000001</v>
          </cell>
          <cell r="G17">
            <v>4.5999999999999999E-2</v>
          </cell>
          <cell r="H17">
            <v>0</v>
          </cell>
          <cell r="I17">
            <v>0.15</v>
          </cell>
        </row>
        <row r="18">
          <cell r="A18" t="str">
            <v>7 волн</v>
          </cell>
          <cell r="B18">
            <v>4</v>
          </cell>
          <cell r="C18">
            <v>17.07</v>
          </cell>
          <cell r="D18">
            <v>201</v>
          </cell>
          <cell r="E18">
            <v>13.01</v>
          </cell>
          <cell r="F18">
            <v>0.20100000000000001</v>
          </cell>
          <cell r="G18">
            <v>0.04</v>
          </cell>
          <cell r="H18">
            <v>0</v>
          </cell>
          <cell r="I18">
            <v>0.10100000000000001</v>
          </cell>
        </row>
        <row r="19">
          <cell r="A19" t="str">
            <v>7 волн 3500*980</v>
          </cell>
          <cell r="C19">
            <v>34.14</v>
          </cell>
          <cell r="D19">
            <v>40.299999999999997</v>
          </cell>
          <cell r="E19">
            <v>26.01</v>
          </cell>
          <cell r="F19">
            <v>0.40200000000000002</v>
          </cell>
          <cell r="G19">
            <v>0.08</v>
          </cell>
          <cell r="H19">
            <v>0</v>
          </cell>
          <cell r="I19">
            <v>201</v>
          </cell>
        </row>
        <row r="20">
          <cell r="A20" t="str">
            <v>РП</v>
          </cell>
          <cell r="B20">
            <v>5</v>
          </cell>
          <cell r="C20">
            <v>17.43</v>
          </cell>
          <cell r="D20">
            <v>2.06</v>
          </cell>
          <cell r="E20">
            <v>13.28</v>
          </cell>
          <cell r="F20">
            <v>0.20499999999999999</v>
          </cell>
          <cell r="G20">
            <v>4.1000000000000002E-2</v>
          </cell>
          <cell r="H20">
            <v>0</v>
          </cell>
          <cell r="I20">
            <v>0.10299999999999999</v>
          </cell>
        </row>
        <row r="21">
          <cell r="A21" t="str">
            <v>РП половинка</v>
          </cell>
          <cell r="B21">
            <v>6</v>
          </cell>
          <cell r="C21">
            <v>8.7100000000000009</v>
          </cell>
          <cell r="D21">
            <v>1.03</v>
          </cell>
          <cell r="E21">
            <v>664</v>
          </cell>
          <cell r="F21">
            <v>103</v>
          </cell>
          <cell r="G21">
            <v>2.1000000000000001E-2</v>
          </cell>
          <cell r="H21">
            <v>0</v>
          </cell>
          <cell r="I21">
            <v>5.0999999999999997E-2</v>
          </cell>
        </row>
        <row r="22">
          <cell r="A22" t="str">
            <v>РП коричневый</v>
          </cell>
          <cell r="B22">
            <v>7</v>
          </cell>
          <cell r="C22">
            <v>17.43</v>
          </cell>
          <cell r="D22">
            <v>2.06</v>
          </cell>
          <cell r="E22">
            <v>13.28</v>
          </cell>
          <cell r="F22">
            <v>0.20499999999999999</v>
          </cell>
          <cell r="G22">
            <v>4.1000000000000002E-2</v>
          </cell>
          <cell r="H22">
            <v>0</v>
          </cell>
          <cell r="I22">
            <v>0.10299999999999999</v>
          </cell>
        </row>
        <row r="23">
          <cell r="A23" t="str">
            <v>РП половинка коричневый</v>
          </cell>
          <cell r="B23">
            <v>8</v>
          </cell>
          <cell r="C23">
            <v>8.7100000000000009</v>
          </cell>
          <cell r="D23">
            <v>1.03</v>
          </cell>
          <cell r="E23">
            <v>664</v>
          </cell>
          <cell r="F23">
            <v>103</v>
          </cell>
          <cell r="G23">
            <v>2.1000000000000001E-2</v>
          </cell>
          <cell r="H23">
            <v>0</v>
          </cell>
          <cell r="I23">
            <v>5.0999999999999997E-2</v>
          </cell>
        </row>
        <row r="24">
          <cell r="A24" t="str">
            <v>РП красный</v>
          </cell>
          <cell r="C24">
            <v>17.43</v>
          </cell>
          <cell r="D24">
            <v>2.06</v>
          </cell>
          <cell r="E24">
            <v>13.28</v>
          </cell>
          <cell r="F24">
            <v>0.20499999999999999</v>
          </cell>
          <cell r="G24">
            <v>4.1000000000000002E-2</v>
          </cell>
          <cell r="H24">
            <v>0</v>
          </cell>
          <cell r="I24">
            <v>0.10299999999999999</v>
          </cell>
        </row>
        <row r="25">
          <cell r="A25" t="str">
            <v>РП половинка красный</v>
          </cell>
          <cell r="C25">
            <v>8.7100000000000009</v>
          </cell>
          <cell r="D25">
            <v>1.03</v>
          </cell>
          <cell r="E25">
            <v>664</v>
          </cell>
          <cell r="F25">
            <v>103</v>
          </cell>
          <cell r="G25">
            <v>2.1000000000000001E-2</v>
          </cell>
          <cell r="H25">
            <v>0</v>
          </cell>
          <cell r="I25">
            <v>5.0999999999999997E-2</v>
          </cell>
        </row>
        <row r="26">
          <cell r="A26" t="str">
            <v>плоский 6</v>
          </cell>
          <cell r="B26">
            <v>9</v>
          </cell>
          <cell r="C26">
            <v>21</v>
          </cell>
          <cell r="D26">
            <v>2.48</v>
          </cell>
          <cell r="E26">
            <v>16.04</v>
          </cell>
          <cell r="F26">
            <v>0.248</v>
          </cell>
          <cell r="G26">
            <v>0</v>
          </cell>
          <cell r="H26">
            <v>0</v>
          </cell>
          <cell r="I26">
            <v>0.124</v>
          </cell>
        </row>
        <row r="27">
          <cell r="A27" t="str">
            <v>плоский 8</v>
          </cell>
          <cell r="B27">
            <v>10</v>
          </cell>
          <cell r="C27">
            <v>27.99</v>
          </cell>
          <cell r="D27">
            <v>3.31</v>
          </cell>
          <cell r="E27">
            <v>2138</v>
          </cell>
          <cell r="F27">
            <v>0.33100000000000002</v>
          </cell>
          <cell r="G27">
            <v>0</v>
          </cell>
          <cell r="H27">
            <v>0</v>
          </cell>
          <cell r="I27">
            <v>0.16500000000000001</v>
          </cell>
        </row>
        <row r="28">
          <cell r="A28" t="str">
            <v>плоский 10</v>
          </cell>
          <cell r="B28">
            <v>11</v>
          </cell>
          <cell r="C28">
            <v>34.99</v>
          </cell>
          <cell r="D28">
            <v>414</v>
          </cell>
          <cell r="E28">
            <v>26.73</v>
          </cell>
          <cell r="F28">
            <v>0.41299999999999998</v>
          </cell>
          <cell r="G28">
            <v>0</v>
          </cell>
          <cell r="H28">
            <v>0</v>
          </cell>
          <cell r="I28">
            <v>0.20699999999999999</v>
          </cell>
        </row>
        <row r="34">
          <cell r="A34" t="str">
            <v>Дауылбай</v>
          </cell>
        </row>
        <row r="35">
          <cell r="A35" t="str">
            <v>Монаев</v>
          </cell>
        </row>
        <row r="36">
          <cell r="A36" t="str">
            <v>Султанулы</v>
          </cell>
        </row>
        <row r="37">
          <cell r="A37" t="str">
            <v>Бекбосынов</v>
          </cell>
        </row>
      </sheetData>
    </sheetDataSet>
  </externalBook>
</externalLink>
</file>

<file path=xl/tables/table1.xml><?xml version="1.0" encoding="utf-8"?>
<table xmlns="http://schemas.openxmlformats.org/spreadsheetml/2006/main" id="1" name="ТаблицаВыработки" displayName="ТаблицаВыработки" ref="A1:J201" headerRowCount="1" totalsRowShown="0" headerRowDxfId="28" dataDxfId="26" headerRowBorderDxfId="27" tableBorderDxfId="25" totalsRowBorderDxfId="24">
  <autoFilter ref="A1:J201"/>
  <tableColumns count="10">
    <tableColumn id="1" name="Дата" dataDxfId="23"/>
    <tableColumn id="8" name="Месяц" dataDxfId="22">
      <calculatedColumnFormula>IF(ТаблицаВыработки[[#This Row],[Дата]]="","",DATE(VALUE(RIGHT(ТаблицаВыработки[[#This Row],[Дата]],4)),VALUE(MID(ТаблицаВыработки[[#This Row],[Дата]],4,2)),1))</calculatedColumnFormula>
    </tableColumn>
    <tableColumn id="2" name="Тип смены" dataDxfId="21"/>
    <tableColumn id="7" name="Линия" dataDxfId="20"/>
    <tableColumn id="3" name="Мастер" dataDxfId="19"/>
    <tableColumn id="4" name="Смена" dataDxfId="18"/>
    <tableColumn id="5" name="План" dataDxfId="17">
      <calculatedColumnFormula>IF(ТаблицаВыработки[[#This Row],[Тип смены]]="День",2700,IF(ТаблицаВыработки[[#This Row],[Тип смены]]="Ночь",3300,""))</calculatedColumnFormula>
    </tableColumn>
    <tableColumn id="6" name="Факт" dataDxfId="16"/>
    <tableColumn id="9" name="1-сорт" dataDxfId="1">
      <calculatedColumnFormula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calculatedColumnFormula>
    </tableColumn>
    <tableColumn id="10" name="Брак" dataDxfId="0">
      <calculatedColumnFormula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ПланПоМесяцам" displayName="ПланПоМесяцам" ref="A3:B4" headerRowCount="1" totalsRowShown="0" headerRowDxfId="15">
  <autoFilter ref="A3:B4"/>
  <tableColumns count="2">
    <tableColumn id="1" name="Месяц" dataDxfId="14">
      <calculatedColumnFormula>DATE(2026,6,1)</calculatedColumnFormula>
    </tableColumn>
    <tableColumn id="2" name="План месяца" dataDxfId="13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tabSelected="1" workbookViewId="0">
      <pane ySplit="1" topLeftCell="A22" activePane="bottomLeft" state="frozen"/>
      <selection pane="bottomLeft" activeCell="I61" sqref="I61"/>
    </sheetView>
  </sheetViews>
  <sheetFormatPr baseColWidth="8" defaultRowHeight="15"/>
  <cols>
    <col width="10.140625" bestFit="1" customWidth="1" style="35" min="1" max="1"/>
    <col width="11.5703125" bestFit="1" customWidth="1" style="35" min="2" max="2"/>
    <col width="15.5703125" bestFit="1" customWidth="1" style="35" min="3" max="3"/>
    <col width="11.28515625" bestFit="1" customWidth="1" style="35" min="4" max="4"/>
    <col width="14.42578125" bestFit="1" customWidth="1" style="35" min="5" max="5"/>
    <col width="11.5703125" bestFit="1" customWidth="1" style="35" min="6" max="6"/>
    <col width="10.140625" bestFit="1" customWidth="1" style="35" min="7" max="7"/>
    <col width="10" bestFit="1" customWidth="1" style="35" min="8" max="8"/>
    <col width="11.28515625" bestFit="1" customWidth="1" style="35" min="9" max="9"/>
    <col width="9.85546875" bestFit="1" customWidth="1" style="35" min="10" max="10"/>
  </cols>
  <sheetData>
    <row r="1">
      <c r="A1" s="4" t="inlineStr">
        <is>
          <t>Дата</t>
        </is>
      </c>
      <c r="B1" s="4" t="inlineStr">
        <is>
          <t>Месяц</t>
        </is>
      </c>
      <c r="C1" s="1" t="inlineStr">
        <is>
          <t>Тип смены</t>
        </is>
      </c>
      <c r="D1" s="1" t="inlineStr">
        <is>
          <t>Линия</t>
        </is>
      </c>
      <c r="E1" s="1" t="inlineStr">
        <is>
          <t>Мастер</t>
        </is>
      </c>
      <c r="F1" s="7" t="inlineStr">
        <is>
          <t>Смена</t>
        </is>
      </c>
      <c r="G1" s="10" t="inlineStr">
        <is>
          <t>План</t>
        </is>
      </c>
      <c r="H1" s="13" t="inlineStr">
        <is>
          <t>Факт</t>
        </is>
      </c>
      <c r="I1" s="33" t="inlineStr">
        <is>
          <t>1-сорт</t>
        </is>
      </c>
      <c r="J1" s="33" t="inlineStr">
        <is>
          <t>Брак</t>
        </is>
      </c>
    </row>
    <row r="2">
      <c r="A2" s="5" t="inlineStr">
        <is>
          <t>02.06.2026</t>
        </is>
      </c>
      <c r="B2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2" s="2" t="inlineStr">
        <is>
          <t>Ночь</t>
        </is>
      </c>
      <c r="D2" s="2" t="inlineStr">
        <is>
          <t>Линия 2</t>
        </is>
      </c>
      <c r="E2" s="2" t="inlineStr">
        <is>
          <t>Султанулы С.</t>
        </is>
      </c>
      <c r="F2" s="8" t="n">
        <v>3</v>
      </c>
      <c r="G2" s="11" t="n">
        <v>3300</v>
      </c>
      <c r="H2" s="14" t="n">
        <v>990</v>
      </c>
      <c r="I2" s="32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2" s="32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3">
      <c r="A3" s="5" t="inlineStr">
        <is>
          <t>02.06.2026</t>
        </is>
      </c>
      <c r="B3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3" s="2" t="inlineStr">
        <is>
          <t>День</t>
        </is>
      </c>
      <c r="D3" s="2" t="inlineStr">
        <is>
          <t>Линия 2</t>
        </is>
      </c>
      <c r="E3" s="2" t="inlineStr">
        <is>
          <t>Дауылбай М.</t>
        </is>
      </c>
      <c r="F3" s="8" t="n">
        <v>4</v>
      </c>
      <c r="G3" s="11" t="n">
        <v>2700</v>
      </c>
      <c r="H3" s="14" t="n">
        <v>140</v>
      </c>
      <c r="I3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3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4">
      <c r="A4" s="5" t="inlineStr">
        <is>
          <t>03.06.2026</t>
        </is>
      </c>
      <c r="B4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4" s="2" t="inlineStr">
        <is>
          <t>День</t>
        </is>
      </c>
      <c r="D4" s="2" t="inlineStr">
        <is>
          <t>Линия 2</t>
        </is>
      </c>
      <c r="E4" s="2" t="inlineStr">
        <is>
          <t>Монаев С.</t>
        </is>
      </c>
      <c r="F4" s="8" t="n">
        <v>2</v>
      </c>
      <c r="G4" s="11" t="n">
        <v>2700</v>
      </c>
      <c r="H4" s="14" t="n">
        <v>800</v>
      </c>
      <c r="I4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4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5">
      <c r="A5" s="5" t="inlineStr">
        <is>
          <t>03.06.2026</t>
        </is>
      </c>
      <c r="B5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5" s="2" t="inlineStr">
        <is>
          <t>Ночь</t>
        </is>
      </c>
      <c r="D5" s="2" t="inlineStr">
        <is>
          <t>Линия 2</t>
        </is>
      </c>
      <c r="E5" s="2" t="inlineStr">
        <is>
          <t>Дауылбай М.</t>
        </is>
      </c>
      <c r="F5" s="8" t="n">
        <v>4</v>
      </c>
      <c r="G5" s="11" t="n">
        <v>3300</v>
      </c>
      <c r="H5" s="14" t="n">
        <v>1420</v>
      </c>
      <c r="I5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5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6">
      <c r="A6" s="5" t="inlineStr">
        <is>
          <t>04.06.2026</t>
        </is>
      </c>
      <c r="B6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6" s="2" t="inlineStr">
        <is>
          <t>День</t>
        </is>
      </c>
      <c r="D6" s="2" t="inlineStr">
        <is>
          <t>Линия 2</t>
        </is>
      </c>
      <c r="E6" s="2" t="inlineStr">
        <is>
          <t>Бекбосынов Р.</t>
        </is>
      </c>
      <c r="F6" s="8" t="n">
        <v>1</v>
      </c>
      <c r="G6" s="11" t="n">
        <v>2700</v>
      </c>
      <c r="H6" s="14" t="n">
        <v>390</v>
      </c>
      <c r="I6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6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7">
      <c r="A7" s="5" t="inlineStr">
        <is>
          <t>04.06.2026</t>
        </is>
      </c>
      <c r="B7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7" s="2" t="inlineStr">
        <is>
          <t>Ночь</t>
        </is>
      </c>
      <c r="D7" s="2" t="inlineStr">
        <is>
          <t>Линия 2</t>
        </is>
      </c>
      <c r="E7" s="2" t="inlineStr">
        <is>
          <t>Монаев С.</t>
        </is>
      </c>
      <c r="F7" s="8" t="n">
        <v>2</v>
      </c>
      <c r="G7" s="11" t="n">
        <v>3300</v>
      </c>
      <c r="H7" s="14" t="n">
        <v>2280</v>
      </c>
      <c r="I7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7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8">
      <c r="A8" s="5" t="inlineStr">
        <is>
          <t>05.06.2026</t>
        </is>
      </c>
      <c r="B8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8" s="2" t="inlineStr">
        <is>
          <t>Ночь</t>
        </is>
      </c>
      <c r="D8" s="2" t="inlineStr">
        <is>
          <t>Линия 2</t>
        </is>
      </c>
      <c r="E8" s="2" t="inlineStr">
        <is>
          <t>Бекбосынов Р.</t>
        </is>
      </c>
      <c r="F8" s="8" t="n">
        <v>1</v>
      </c>
      <c r="G8" s="11" t="n">
        <v>3300</v>
      </c>
      <c r="H8" s="14" t="n">
        <v>3200</v>
      </c>
      <c r="I8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8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9">
      <c r="A9" s="5" t="inlineStr">
        <is>
          <t>05.06.2026</t>
        </is>
      </c>
      <c r="B9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9" s="2" t="inlineStr">
        <is>
          <t>День</t>
        </is>
      </c>
      <c r="D9" s="2" t="inlineStr">
        <is>
          <t>Линия 2</t>
        </is>
      </c>
      <c r="E9" s="2" t="inlineStr">
        <is>
          <t>Султанулы С.</t>
        </is>
      </c>
      <c r="F9" s="8" t="n">
        <v>3</v>
      </c>
      <c r="G9" s="11" t="n">
        <v>2700</v>
      </c>
      <c r="H9" s="14" t="n">
        <v>2488</v>
      </c>
      <c r="I9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9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0">
      <c r="A10" s="5" t="inlineStr">
        <is>
          <t>06.06.2026</t>
        </is>
      </c>
      <c r="B10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0" s="2" t="inlineStr">
        <is>
          <t>Ночь</t>
        </is>
      </c>
      <c r="D10" s="2" t="inlineStr">
        <is>
          <t>Линия 2</t>
        </is>
      </c>
      <c r="E10" s="2" t="inlineStr">
        <is>
          <t>Султанулы С.</t>
        </is>
      </c>
      <c r="F10" s="8" t="n">
        <v>3</v>
      </c>
      <c r="G10" s="11" t="n">
        <v>3300</v>
      </c>
      <c r="H10" s="14" t="n">
        <v>2856</v>
      </c>
      <c r="I10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0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1">
      <c r="A11" s="5" t="inlineStr">
        <is>
          <t>06.06.2026</t>
        </is>
      </c>
      <c r="B11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1" s="2" t="inlineStr">
        <is>
          <t>День</t>
        </is>
      </c>
      <c r="D11" s="2" t="inlineStr">
        <is>
          <t>Линия 2</t>
        </is>
      </c>
      <c r="E11" s="2" t="inlineStr">
        <is>
          <t>Дауылбай М.</t>
        </is>
      </c>
      <c r="F11" s="8" t="n">
        <v>4</v>
      </c>
      <c r="G11" s="11" t="n">
        <v>2700</v>
      </c>
      <c r="H11" s="14" t="n">
        <v>2800</v>
      </c>
      <c r="I11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1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2">
      <c r="A12" s="5" t="inlineStr">
        <is>
          <t>07.06.2026</t>
        </is>
      </c>
      <c r="B12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2" s="2" t="inlineStr">
        <is>
          <t>День</t>
        </is>
      </c>
      <c r="D12" s="2" t="inlineStr">
        <is>
          <t>Линия 2</t>
        </is>
      </c>
      <c r="E12" s="2" t="inlineStr">
        <is>
          <t>Монаев С.</t>
        </is>
      </c>
      <c r="F12" s="8" t="n">
        <v>2</v>
      </c>
      <c r="G12" s="11" t="n">
        <v>2700</v>
      </c>
      <c r="H12" s="14" t="n">
        <v>1890</v>
      </c>
      <c r="I12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2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3">
      <c r="A13" s="5" t="inlineStr">
        <is>
          <t>07.06.2026</t>
        </is>
      </c>
      <c r="B13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3" s="2" t="inlineStr">
        <is>
          <t>Ночь</t>
        </is>
      </c>
      <c r="D13" s="2" t="inlineStr">
        <is>
          <t>Линия 2</t>
        </is>
      </c>
      <c r="E13" s="2" t="inlineStr">
        <is>
          <t>Дауылбай М.</t>
        </is>
      </c>
      <c r="F13" s="8" t="n">
        <v>4</v>
      </c>
      <c r="G13" s="11" t="n">
        <v>3300</v>
      </c>
      <c r="H13" s="14" t="n">
        <v>3070</v>
      </c>
      <c r="I13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3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4">
      <c r="A14" s="5" t="inlineStr">
        <is>
          <t>08.06.2026</t>
        </is>
      </c>
      <c r="B14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4" s="2" t="inlineStr">
        <is>
          <t>День</t>
        </is>
      </c>
      <c r="D14" s="2" t="inlineStr">
        <is>
          <t>Линия 2</t>
        </is>
      </c>
      <c r="E14" s="2" t="inlineStr">
        <is>
          <t>Бекбосынов Р.</t>
        </is>
      </c>
      <c r="F14" s="8" t="n">
        <v>1</v>
      </c>
      <c r="G14" s="11" t="n">
        <v>0</v>
      </c>
      <c r="H14" s="14" t="n">
        <v>2690</v>
      </c>
      <c r="I14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4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5">
      <c r="A15" s="5" t="inlineStr">
        <is>
          <t>08.06.2026</t>
        </is>
      </c>
      <c r="B15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5" s="2" t="inlineStr">
        <is>
          <t>Ночь</t>
        </is>
      </c>
      <c r="D15" s="2" t="inlineStr">
        <is>
          <t>Линия 2</t>
        </is>
      </c>
      <c r="E15" s="2" t="inlineStr">
        <is>
          <t>Монаев С.</t>
        </is>
      </c>
      <c r="F15" s="8" t="n">
        <v>2</v>
      </c>
      <c r="G15" s="11" t="n">
        <v>3300</v>
      </c>
      <c r="H15" s="14" t="n">
        <v>2780</v>
      </c>
      <c r="I15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5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6">
      <c r="A16" s="5" t="inlineStr">
        <is>
          <t>09.06.2026</t>
        </is>
      </c>
      <c r="B16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6" s="2" t="inlineStr">
        <is>
          <t>Ночь</t>
        </is>
      </c>
      <c r="D16" s="2" t="inlineStr">
        <is>
          <t>Линия 2</t>
        </is>
      </c>
      <c r="E16" s="2" t="inlineStr">
        <is>
          <t>Бекбосынов Р.</t>
        </is>
      </c>
      <c r="F16" s="8" t="n">
        <v>1</v>
      </c>
      <c r="G16" s="11" t="n">
        <v>3300</v>
      </c>
      <c r="H16" s="14" t="n">
        <v>3144</v>
      </c>
      <c r="I16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6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7">
      <c r="A17" s="5" t="inlineStr">
        <is>
          <t>09.06.2026</t>
        </is>
      </c>
      <c r="B17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7" s="2" t="inlineStr">
        <is>
          <t>День</t>
        </is>
      </c>
      <c r="D17" s="2" t="inlineStr">
        <is>
          <t>Линия 2</t>
        </is>
      </c>
      <c r="E17" s="2" t="inlineStr">
        <is>
          <t>Султанулы С.</t>
        </is>
      </c>
      <c r="F17" s="8" t="n">
        <v>3</v>
      </c>
      <c r="G17" s="11" t="n">
        <v>2700</v>
      </c>
      <c r="H17" s="14" t="n">
        <v>2150</v>
      </c>
      <c r="I17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7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8">
      <c r="A18" s="5" t="inlineStr">
        <is>
          <t>10.06.2026</t>
        </is>
      </c>
      <c r="B18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8" s="2" t="inlineStr">
        <is>
          <t>Ночь</t>
        </is>
      </c>
      <c r="D18" s="2" t="inlineStr">
        <is>
          <t>Линия 2</t>
        </is>
      </c>
      <c r="E18" s="2" t="inlineStr">
        <is>
          <t>Султанулы С.</t>
        </is>
      </c>
      <c r="F18" s="8" t="n">
        <v>3</v>
      </c>
      <c r="G18" s="11" t="n">
        <v>3300</v>
      </c>
      <c r="H18" s="14" t="n">
        <v>2250</v>
      </c>
      <c r="I18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8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9">
      <c r="A19" s="5" t="inlineStr">
        <is>
          <t>10.06.2026</t>
        </is>
      </c>
      <c r="B19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9" s="2" t="inlineStr">
        <is>
          <t>День</t>
        </is>
      </c>
      <c r="D19" s="2" t="inlineStr">
        <is>
          <t>Линия 2</t>
        </is>
      </c>
      <c r="E19" s="2" t="inlineStr">
        <is>
          <t>Дауылбай М.</t>
        </is>
      </c>
      <c r="F19" s="8" t="n">
        <v>4</v>
      </c>
      <c r="G19" s="11" t="n">
        <v>2700</v>
      </c>
      <c r="H19" s="14" t="n">
        <v>768</v>
      </c>
      <c r="I19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9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20">
      <c r="A20" s="5" t="inlineStr">
        <is>
          <t>11.06.2026</t>
        </is>
      </c>
      <c r="B20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20" s="2" t="inlineStr">
        <is>
          <t>День</t>
        </is>
      </c>
      <c r="D20" s="2" t="inlineStr">
        <is>
          <t>Линия 2</t>
        </is>
      </c>
      <c r="E20" s="2" t="inlineStr">
        <is>
          <t>Монаев С.</t>
        </is>
      </c>
      <c r="F20" s="8" t="n">
        <v>2</v>
      </c>
      <c r="G20" s="11" t="n">
        <v>2700</v>
      </c>
      <c r="H20" s="14" t="n">
        <v>2280</v>
      </c>
      <c r="I20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20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21">
      <c r="A21" s="5" t="inlineStr">
        <is>
          <t>11.06.2026</t>
        </is>
      </c>
      <c r="B21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21" s="2" t="inlineStr">
        <is>
          <t>Ночь</t>
        </is>
      </c>
      <c r="D21" s="2" t="inlineStr">
        <is>
          <t>Линия 2</t>
        </is>
      </c>
      <c r="E21" s="2" t="inlineStr">
        <is>
          <t>Дауылбай М.</t>
        </is>
      </c>
      <c r="F21" s="8" t="n">
        <v>4</v>
      </c>
      <c r="G21" s="11" t="n">
        <v>3300</v>
      </c>
      <c r="H21" s="14" t="n">
        <v>3200</v>
      </c>
      <c r="I21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21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22">
      <c r="A22" s="5" t="inlineStr">
        <is>
          <t>12.06.2026</t>
        </is>
      </c>
      <c r="B22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22" s="2" t="inlineStr">
        <is>
          <t>День</t>
        </is>
      </c>
      <c r="D22" s="2" t="inlineStr">
        <is>
          <t>Линия 2</t>
        </is>
      </c>
      <c r="E22" s="2" t="inlineStr">
        <is>
          <t>Бекбосынов Р.</t>
        </is>
      </c>
      <c r="F22" s="8" t="n">
        <v>1</v>
      </c>
      <c r="G22" s="11" t="n">
        <v>2700</v>
      </c>
      <c r="H22" s="14" t="n">
        <v>1492</v>
      </c>
      <c r="I22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22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23">
      <c r="A23" s="5" t="inlineStr">
        <is>
          <t>12.06.2026</t>
        </is>
      </c>
      <c r="B23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23" s="2" t="inlineStr">
        <is>
          <t>Ночь</t>
        </is>
      </c>
      <c r="D23" s="2" t="inlineStr">
        <is>
          <t>Линия 2</t>
        </is>
      </c>
      <c r="E23" s="2" t="inlineStr">
        <is>
          <t>Монаев С.</t>
        </is>
      </c>
      <c r="F23" s="8" t="n">
        <v>2</v>
      </c>
      <c r="G23" s="11" t="n">
        <v>3300</v>
      </c>
      <c r="H23" s="14" t="n">
        <v>2296</v>
      </c>
      <c r="I23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23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24">
      <c r="A24" s="5" t="inlineStr">
        <is>
          <t>13.06.2026</t>
        </is>
      </c>
      <c r="B24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24" s="2" t="inlineStr">
        <is>
          <t>Ночь</t>
        </is>
      </c>
      <c r="D24" s="2" t="inlineStr">
        <is>
          <t>Линия 2</t>
        </is>
      </c>
      <c r="E24" s="2" t="inlineStr">
        <is>
          <t>Бекбосынов Р.</t>
        </is>
      </c>
      <c r="F24" s="8" t="n">
        <v>1</v>
      </c>
      <c r="G24" s="11" t="n">
        <v>3300</v>
      </c>
      <c r="H24" s="14" t="n">
        <v>2050</v>
      </c>
      <c r="I24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24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25">
      <c r="A25" s="5" t="inlineStr">
        <is>
          <t>13.06.2026</t>
        </is>
      </c>
      <c r="B25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25" s="2" t="inlineStr">
        <is>
          <t>День</t>
        </is>
      </c>
      <c r="D25" s="2" t="inlineStr">
        <is>
          <t>Линия 2</t>
        </is>
      </c>
      <c r="E25" s="2" t="inlineStr">
        <is>
          <t>Султанулы С.</t>
        </is>
      </c>
      <c r="F25" s="8" t="n">
        <v>3</v>
      </c>
      <c r="G25" s="11" t="n">
        <v>2700</v>
      </c>
      <c r="H25" s="14" t="n">
        <v>1180</v>
      </c>
      <c r="I25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25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26">
      <c r="A26" s="5" t="inlineStr">
        <is>
          <t>14.06.2026</t>
        </is>
      </c>
      <c r="B26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26" s="2" t="inlineStr">
        <is>
          <t>Ночь</t>
        </is>
      </c>
      <c r="D26" s="2" t="inlineStr">
        <is>
          <t>Линия 2</t>
        </is>
      </c>
      <c r="E26" s="2" t="inlineStr">
        <is>
          <t>Султанулы С.</t>
        </is>
      </c>
      <c r="F26" s="8" t="n">
        <v>3</v>
      </c>
      <c r="G26" s="11" t="n">
        <v>3300</v>
      </c>
      <c r="H26" s="14" t="n">
        <v>2730</v>
      </c>
      <c r="I26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26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27">
      <c r="A27" s="5" t="inlineStr">
        <is>
          <t>14.06.2026</t>
        </is>
      </c>
      <c r="B27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27" s="2" t="inlineStr">
        <is>
          <t>День</t>
        </is>
      </c>
      <c r="D27" s="2" t="inlineStr">
        <is>
          <t>Линия 2</t>
        </is>
      </c>
      <c r="E27" s="2" t="inlineStr">
        <is>
          <t>Дауылбай М.</t>
        </is>
      </c>
      <c r="F27" s="8" t="n">
        <v>4</v>
      </c>
      <c r="G27" s="11" t="n">
        <v>2700</v>
      </c>
      <c r="H27" s="14" t="n">
        <v>2070</v>
      </c>
      <c r="I27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27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28">
      <c r="A28" s="5" t="inlineStr">
        <is>
          <t>15.06.2026</t>
        </is>
      </c>
      <c r="B28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28" s="2" t="inlineStr">
        <is>
          <t>День</t>
        </is>
      </c>
      <c r="D28" s="2" t="inlineStr">
        <is>
          <t>Линия 2</t>
        </is>
      </c>
      <c r="E28" s="2" t="inlineStr">
        <is>
          <t>Монаев С.</t>
        </is>
      </c>
      <c r="F28" s="8" t="n">
        <v>2</v>
      </c>
      <c r="G28" s="11" t="n">
        <v>0</v>
      </c>
      <c r="H28" s="14" t="n">
        <v>1100</v>
      </c>
      <c r="I28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28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29">
      <c r="A29" s="5" t="inlineStr">
        <is>
          <t>15.06.2026</t>
        </is>
      </c>
      <c r="B29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29" s="2" t="inlineStr">
        <is>
          <t>Ночь</t>
        </is>
      </c>
      <c r="D29" s="2" t="inlineStr">
        <is>
          <t>Линия 2</t>
        </is>
      </c>
      <c r="E29" s="2" t="inlineStr">
        <is>
          <t>Дауылбай М.</t>
        </is>
      </c>
      <c r="F29" s="8" t="n">
        <v>4</v>
      </c>
      <c r="G29" s="11" t="n">
        <v>3300</v>
      </c>
      <c r="H29" s="14" t="n">
        <v>2600</v>
      </c>
      <c r="I29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29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30">
      <c r="A30" s="5" t="inlineStr">
        <is>
          <t>16.06.2026</t>
        </is>
      </c>
      <c r="B30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30" s="2" t="inlineStr">
        <is>
          <t>Ночь</t>
        </is>
      </c>
      <c r="D30" s="2" t="inlineStr">
        <is>
          <t>Линия 2</t>
        </is>
      </c>
      <c r="E30" s="2" t="inlineStr">
        <is>
          <t>Монаев С.</t>
        </is>
      </c>
      <c r="F30" s="8" t="n">
        <v>2</v>
      </c>
      <c r="G30" s="11" t="n">
        <v>3300</v>
      </c>
      <c r="H30" s="14" t="n">
        <v>2210</v>
      </c>
      <c r="I30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30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31">
      <c r="A31" s="5" t="inlineStr">
        <is>
          <t>17.06.2026</t>
        </is>
      </c>
      <c r="B31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31" s="2" t="inlineStr">
        <is>
          <t>День</t>
        </is>
      </c>
      <c r="D31" s="2" t="inlineStr">
        <is>
          <t>Линия 2</t>
        </is>
      </c>
      <c r="E31" s="2" t="inlineStr">
        <is>
          <t>Султанулы С.</t>
        </is>
      </c>
      <c r="F31" s="8" t="n">
        <v>3</v>
      </c>
      <c r="G31" s="11" t="n">
        <v>2700</v>
      </c>
      <c r="H31" s="14" t="n">
        <v>2290</v>
      </c>
      <c r="I31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31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32">
      <c r="A32" s="5" t="inlineStr">
        <is>
          <t>18.06.2026</t>
        </is>
      </c>
      <c r="B32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32" s="2" t="inlineStr">
        <is>
          <t>Ночь</t>
        </is>
      </c>
      <c r="D32" s="2" t="inlineStr">
        <is>
          <t>Линия 2</t>
        </is>
      </c>
      <c r="E32" s="2" t="inlineStr">
        <is>
          <t>Султанулы С.</t>
        </is>
      </c>
      <c r="F32" s="8" t="n">
        <v>3</v>
      </c>
      <c r="G32" s="11" t="n">
        <v>3300</v>
      </c>
      <c r="H32" s="14" t="n">
        <v>2780</v>
      </c>
      <c r="I32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32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33">
      <c r="A33" s="5" t="inlineStr">
        <is>
          <t>18.06.2026</t>
        </is>
      </c>
      <c r="B33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33" s="2" t="inlineStr">
        <is>
          <t>День</t>
        </is>
      </c>
      <c r="D33" s="2" t="inlineStr">
        <is>
          <t>Линия 2</t>
        </is>
      </c>
      <c r="E33" s="2" t="inlineStr">
        <is>
          <t>Дауылбай М.</t>
        </is>
      </c>
      <c r="F33" s="8" t="n">
        <v>4</v>
      </c>
      <c r="G33" s="11" t="n">
        <v>2700</v>
      </c>
      <c r="H33" s="14" t="n">
        <v>940</v>
      </c>
      <c r="I33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33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34">
      <c r="A34" s="5" t="inlineStr">
        <is>
          <t>19.06.2026</t>
        </is>
      </c>
      <c r="B34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34" s="2" t="inlineStr">
        <is>
          <t>День</t>
        </is>
      </c>
      <c r="D34" s="2" t="inlineStr">
        <is>
          <t>Линия 2</t>
        </is>
      </c>
      <c r="E34" s="2" t="inlineStr">
        <is>
          <t>Монаев С.</t>
        </is>
      </c>
      <c r="F34" s="8" t="n">
        <v>2</v>
      </c>
      <c r="G34" s="11" t="n">
        <v>2700</v>
      </c>
      <c r="H34" s="14" t="n"/>
      <c r="I34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34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35">
      <c r="A35" s="5" t="inlineStr">
        <is>
          <t>20.06.2026</t>
        </is>
      </c>
      <c r="B35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35" s="2" t="inlineStr">
        <is>
          <t>День</t>
        </is>
      </c>
      <c r="D35" s="2" t="inlineStr">
        <is>
          <t>Линия 2</t>
        </is>
      </c>
      <c r="E35" s="2" t="inlineStr">
        <is>
          <t>Бекбосынов Р.</t>
        </is>
      </c>
      <c r="F35" s="8" t="n">
        <v>1</v>
      </c>
      <c r="G35" s="11" t="n">
        <v>2700</v>
      </c>
      <c r="H35" s="14" t="n">
        <v>2480</v>
      </c>
      <c r="I35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35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36">
      <c r="A36" s="5" t="inlineStr">
        <is>
          <t>20.06.2026</t>
        </is>
      </c>
      <c r="B36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36" s="2" t="inlineStr">
        <is>
          <t>Ночь</t>
        </is>
      </c>
      <c r="D36" s="2" t="inlineStr">
        <is>
          <t>Линия 2</t>
        </is>
      </c>
      <c r="E36" s="2" t="inlineStr">
        <is>
          <t>Монаев С.</t>
        </is>
      </c>
      <c r="F36" s="8" t="n">
        <v>2</v>
      </c>
      <c r="G36" s="11" t="n">
        <v>3300</v>
      </c>
      <c r="H36" s="14" t="n"/>
      <c r="I36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36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37">
      <c r="A37" s="5" t="inlineStr">
        <is>
          <t>20.06.2026</t>
        </is>
      </c>
      <c r="B37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37" s="2" t="inlineStr">
        <is>
          <t>Ночь</t>
        </is>
      </c>
      <c r="D37" s="2" t="inlineStr">
        <is>
          <t>Линия 2</t>
        </is>
      </c>
      <c r="E37" s="2" t="inlineStr">
        <is>
          <t>Дауылбай М.</t>
        </is>
      </c>
      <c r="F37" s="8" t="n">
        <v>4</v>
      </c>
      <c r="G37" s="11" t="n">
        <v>3300</v>
      </c>
      <c r="H37" s="14" t="n">
        <v>3140</v>
      </c>
      <c r="I37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37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38">
      <c r="A38" s="5" t="inlineStr">
        <is>
          <t>21.06.2026</t>
        </is>
      </c>
      <c r="B38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38" s="2" t="inlineStr">
        <is>
          <t>Ночь</t>
        </is>
      </c>
      <c r="D38" s="2" t="inlineStr">
        <is>
          <t>Линия 2</t>
        </is>
      </c>
      <c r="E38" s="2" t="inlineStr">
        <is>
          <t>Бекбосынов Р.</t>
        </is>
      </c>
      <c r="F38" s="8" t="n">
        <v>1</v>
      </c>
      <c r="G38" s="11" t="n">
        <v>3300</v>
      </c>
      <c r="H38" s="14" t="n"/>
      <c r="I38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38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39">
      <c r="A39" s="5" t="inlineStr">
        <is>
          <t>21.06.2026</t>
        </is>
      </c>
      <c r="B39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39" s="2" t="inlineStr">
        <is>
          <t>День</t>
        </is>
      </c>
      <c r="D39" s="2" t="inlineStr">
        <is>
          <t>Линия 2</t>
        </is>
      </c>
      <c r="E39" s="2" t="inlineStr">
        <is>
          <t>Султанулы С.</t>
        </is>
      </c>
      <c r="F39" s="8" t="n">
        <v>3</v>
      </c>
      <c r="G39" s="11" t="n">
        <v>2700</v>
      </c>
      <c r="H39" s="14" t="n"/>
      <c r="I39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39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40">
      <c r="A40" s="5" t="inlineStr">
        <is>
          <t>22.06.2026</t>
        </is>
      </c>
      <c r="B40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40" s="2" t="inlineStr">
        <is>
          <t>Ночь</t>
        </is>
      </c>
      <c r="D40" s="2" t="inlineStr">
        <is>
          <t>Линия 2</t>
        </is>
      </c>
      <c r="E40" s="2" t="inlineStr">
        <is>
          <t>Султанулы С.</t>
        </is>
      </c>
      <c r="F40" s="8" t="n">
        <v>3</v>
      </c>
      <c r="G40" s="11" t="n">
        <v>3300</v>
      </c>
      <c r="H40" s="14" t="n"/>
      <c r="I40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40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41">
      <c r="A41" s="5" t="inlineStr">
        <is>
          <t>22.06.2026</t>
        </is>
      </c>
      <c r="B41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41" s="2" t="inlineStr">
        <is>
          <t>День</t>
        </is>
      </c>
      <c r="D41" s="2" t="inlineStr">
        <is>
          <t>Линия 2</t>
        </is>
      </c>
      <c r="E41" s="2" t="inlineStr">
        <is>
          <t>Дауылбай М.</t>
        </is>
      </c>
      <c r="F41" s="8" t="n">
        <v>4</v>
      </c>
      <c r="G41" s="11" t="n">
        <v>0</v>
      </c>
      <c r="H41" s="14" t="n">
        <v>54</v>
      </c>
      <c r="I41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41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42">
      <c r="A42" s="5" t="inlineStr">
        <is>
          <t>23.06.2026</t>
        </is>
      </c>
      <c r="B42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42" s="2" t="inlineStr">
        <is>
          <t>День</t>
        </is>
      </c>
      <c r="D42" s="2" t="inlineStr">
        <is>
          <t>Линия 2</t>
        </is>
      </c>
      <c r="E42" s="2" t="inlineStr">
        <is>
          <t>Монаев С.</t>
        </is>
      </c>
      <c r="F42" s="8" t="n">
        <v>2</v>
      </c>
      <c r="G42" s="11" t="n">
        <v>2700</v>
      </c>
      <c r="H42" s="14" t="n"/>
      <c r="I42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42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43">
      <c r="A43" s="5" t="inlineStr">
        <is>
          <t>24.06.2026</t>
        </is>
      </c>
      <c r="B43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43" s="2" t="inlineStr">
        <is>
          <t>День</t>
        </is>
      </c>
      <c r="D43" s="2" t="inlineStr">
        <is>
          <t>Линия 2</t>
        </is>
      </c>
      <c r="E43" s="2" t="inlineStr">
        <is>
          <t>Бекбосынов Р.</t>
        </is>
      </c>
      <c r="F43" s="8" t="n">
        <v>1</v>
      </c>
      <c r="G43" s="11" t="n">
        <v>2700</v>
      </c>
      <c r="H43" s="14" t="n"/>
      <c r="I43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43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44">
      <c r="A44" s="5" t="inlineStr">
        <is>
          <t>24.06.2026</t>
        </is>
      </c>
      <c r="B44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44" s="2" t="inlineStr">
        <is>
          <t>Ночь</t>
        </is>
      </c>
      <c r="D44" s="2" t="inlineStr">
        <is>
          <t>Линия 2</t>
        </is>
      </c>
      <c r="E44" s="2" t="inlineStr">
        <is>
          <t>Монаев С.</t>
        </is>
      </c>
      <c r="F44" s="8" t="n">
        <v>2</v>
      </c>
      <c r="G44" s="11" t="n">
        <v>3300</v>
      </c>
      <c r="H44" s="14" t="n"/>
      <c r="I44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44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45">
      <c r="A45" s="5" t="inlineStr">
        <is>
          <t>24.06.2026</t>
        </is>
      </c>
      <c r="B45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45" s="2" t="inlineStr">
        <is>
          <t>Ночь</t>
        </is>
      </c>
      <c r="D45" s="2" t="inlineStr">
        <is>
          <t>Линия 2</t>
        </is>
      </c>
      <c r="E45" s="2" t="inlineStr">
        <is>
          <t>Дауылбай М.</t>
        </is>
      </c>
      <c r="F45" s="8" t="n">
        <v>4</v>
      </c>
      <c r="G45" s="11" t="n">
        <v>3300</v>
      </c>
      <c r="H45" s="14" t="n"/>
      <c r="I45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45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46">
      <c r="A46" s="5" t="inlineStr">
        <is>
          <t>25.06.2026</t>
        </is>
      </c>
      <c r="B46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46" s="2" t="inlineStr">
        <is>
          <t>Ночь</t>
        </is>
      </c>
      <c r="D46" s="2" t="inlineStr">
        <is>
          <t>Линия 2</t>
        </is>
      </c>
      <c r="E46" s="2" t="inlineStr">
        <is>
          <t>Бекбосынов Р.</t>
        </is>
      </c>
      <c r="F46" s="8" t="n">
        <v>1</v>
      </c>
      <c r="G46" s="11" t="n">
        <v>3300</v>
      </c>
      <c r="H46" s="14" t="n"/>
      <c r="I46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46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47">
      <c r="A47" s="5" t="inlineStr">
        <is>
          <t>25.06.2026</t>
        </is>
      </c>
      <c r="B47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47" s="2" t="inlineStr">
        <is>
          <t>День</t>
        </is>
      </c>
      <c r="D47" s="2" t="inlineStr">
        <is>
          <t>Линия 2</t>
        </is>
      </c>
      <c r="E47" s="2" t="inlineStr">
        <is>
          <t>Султанулы С.</t>
        </is>
      </c>
      <c r="F47" s="8" t="n">
        <v>3</v>
      </c>
      <c r="G47" s="11" t="n">
        <v>2700</v>
      </c>
      <c r="H47" s="14" t="n"/>
      <c r="I47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47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48">
      <c r="A48" s="5" t="inlineStr">
        <is>
          <t>26.06.2026</t>
        </is>
      </c>
      <c r="B48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48" s="2" t="inlineStr">
        <is>
          <t>Ночь</t>
        </is>
      </c>
      <c r="D48" s="2" t="inlineStr">
        <is>
          <t>Линия 2</t>
        </is>
      </c>
      <c r="E48" s="2" t="inlineStr">
        <is>
          <t>Султанулы С.</t>
        </is>
      </c>
      <c r="F48" s="8" t="n">
        <v>3</v>
      </c>
      <c r="G48" s="11" t="n">
        <v>3300</v>
      </c>
      <c r="H48" s="14" t="n"/>
      <c r="I48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48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49">
      <c r="A49" s="5" t="inlineStr">
        <is>
          <t>26.06.2026</t>
        </is>
      </c>
      <c r="B49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49" s="2" t="inlineStr">
        <is>
          <t>День</t>
        </is>
      </c>
      <c r="D49" s="2" t="inlineStr">
        <is>
          <t>Линия 2</t>
        </is>
      </c>
      <c r="E49" s="2" t="inlineStr">
        <is>
          <t>Дауылбай М.</t>
        </is>
      </c>
      <c r="F49" s="8" t="n">
        <v>4</v>
      </c>
      <c r="G49" s="11" t="n">
        <v>2700</v>
      </c>
      <c r="H49" s="14" t="n"/>
      <c r="I49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49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50">
      <c r="A50" s="5" t="inlineStr">
        <is>
          <t>27.06.2026</t>
        </is>
      </c>
      <c r="B50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50" s="2" t="inlineStr">
        <is>
          <t>День</t>
        </is>
      </c>
      <c r="D50" s="2" t="inlineStr">
        <is>
          <t>Линия 2</t>
        </is>
      </c>
      <c r="E50" s="2" t="inlineStr">
        <is>
          <t>Монаев С.</t>
        </is>
      </c>
      <c r="F50" s="8" t="n">
        <v>2</v>
      </c>
      <c r="G50" s="11" t="n">
        <v>2700</v>
      </c>
      <c r="H50" s="14" t="n"/>
      <c r="I50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50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51">
      <c r="A51" s="5" t="inlineStr">
        <is>
          <t>28.06.2026</t>
        </is>
      </c>
      <c r="B51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51" s="2" t="inlineStr">
        <is>
          <t>День</t>
        </is>
      </c>
      <c r="D51" s="2" t="inlineStr">
        <is>
          <t>Линия 2</t>
        </is>
      </c>
      <c r="E51" s="2" t="inlineStr">
        <is>
          <t>Бекбосынов Р.</t>
        </is>
      </c>
      <c r="F51" s="8" t="n">
        <v>1</v>
      </c>
      <c r="G51" s="11" t="n">
        <v>2700</v>
      </c>
      <c r="H51" s="14" t="n"/>
      <c r="I51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51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52">
      <c r="A52" s="5" t="inlineStr">
        <is>
          <t>28.06.2026</t>
        </is>
      </c>
      <c r="B52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52" s="2" t="inlineStr">
        <is>
          <t>Ночь</t>
        </is>
      </c>
      <c r="D52" s="2" t="inlineStr">
        <is>
          <t>Линия 2</t>
        </is>
      </c>
      <c r="E52" s="2" t="inlineStr">
        <is>
          <t>Монаев С.</t>
        </is>
      </c>
      <c r="F52" s="8" t="n">
        <v>2</v>
      </c>
      <c r="G52" s="11" t="n">
        <v>3300</v>
      </c>
      <c r="H52" s="14" t="n"/>
      <c r="I52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52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53">
      <c r="A53" s="5" t="inlineStr">
        <is>
          <t>28.06.2026</t>
        </is>
      </c>
      <c r="B53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53" s="2" t="inlineStr">
        <is>
          <t>Ночь</t>
        </is>
      </c>
      <c r="D53" s="2" t="inlineStr">
        <is>
          <t>Линия 2</t>
        </is>
      </c>
      <c r="E53" s="2" t="inlineStr">
        <is>
          <t>Дауылбай М.</t>
        </is>
      </c>
      <c r="F53" s="8" t="n">
        <v>4</v>
      </c>
      <c r="G53" s="11" t="n">
        <v>3300</v>
      </c>
      <c r="H53" s="14" t="n"/>
      <c r="I53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53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54">
      <c r="A54" s="5" t="inlineStr">
        <is>
          <t>29.06.2026</t>
        </is>
      </c>
      <c r="B54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54" s="2" t="inlineStr">
        <is>
          <t>Ночь</t>
        </is>
      </c>
      <c r="D54" s="2" t="inlineStr">
        <is>
          <t>Линия 2</t>
        </is>
      </c>
      <c r="E54" s="2" t="inlineStr">
        <is>
          <t>Бекбосынов Р.</t>
        </is>
      </c>
      <c r="F54" s="8" t="n">
        <v>1</v>
      </c>
      <c r="G54" s="11" t="n">
        <v>3300</v>
      </c>
      <c r="H54" s="14" t="n"/>
      <c r="I54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54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55">
      <c r="A55" s="5" t="inlineStr">
        <is>
          <t>29.06.2026</t>
        </is>
      </c>
      <c r="B55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55" s="2" t="inlineStr">
        <is>
          <t>День</t>
        </is>
      </c>
      <c r="D55" s="2" t="inlineStr">
        <is>
          <t>Линия 2</t>
        </is>
      </c>
      <c r="E55" s="2" t="inlineStr">
        <is>
          <t>Султанулы С.</t>
        </is>
      </c>
      <c r="F55" s="8" t="n">
        <v>3</v>
      </c>
      <c r="G55" s="11" t="n">
        <v>0</v>
      </c>
      <c r="H55" s="14" t="n"/>
      <c r="I55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55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56">
      <c r="A56" s="6" t="inlineStr">
        <is>
          <t>30.06.2026</t>
        </is>
      </c>
      <c r="B56" s="17">
        <f>IF(ТаблицаВыработки[[#This Row],[Дата]]="","",DATE(VALUE(RIGHT(ТаблицаВыработки[[#This Row],[Дата]],4)),VALUE(MID(ТаблицаВыработки[[#This Row],[Дата]],4,2)),1))</f>
        <v/>
      </c>
      <c r="C56" s="3" t="inlineStr">
        <is>
          <t>Ночь</t>
        </is>
      </c>
      <c r="D56" s="3" t="inlineStr">
        <is>
          <t>Линия 2</t>
        </is>
      </c>
      <c r="E56" s="3" t="inlineStr">
        <is>
          <t>Султанулы С.</t>
        </is>
      </c>
      <c r="F56" s="9" t="n">
        <v>3</v>
      </c>
      <c r="G56" s="12" t="n">
        <v>3300</v>
      </c>
      <c r="H56" s="15" t="n"/>
      <c r="I56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56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57">
      <c r="A57" s="5" t="n"/>
      <c r="B57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57" s="2" t="n"/>
      <c r="D57" s="2" t="n"/>
      <c r="E57" s="2" t="n"/>
      <c r="F57" s="8" t="n"/>
      <c r="G57" s="11">
        <f>IF(ТаблицаВыработки[[#This Row],[Тип смены]]="День",2700,IF(ТаблицаВыработки[[#This Row],[Тип смены]]="Ночь",3300,""))</f>
        <v/>
      </c>
      <c r="H57" s="14" t="n"/>
      <c r="I57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57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58">
      <c r="A58" s="5" t="n"/>
      <c r="B58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58" s="2" t="n"/>
      <c r="D58" s="2" t="n"/>
      <c r="E58" s="2" t="n"/>
      <c r="F58" s="8" t="n"/>
      <c r="G58" s="11">
        <f>IF(ТаблицаВыработки[[#This Row],[Тип смены]]="День",2700,IF(ТаблицаВыработки[[#This Row],[Тип смены]]="Ночь",3300,""))</f>
        <v/>
      </c>
      <c r="H58" s="14" t="n"/>
      <c r="I58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58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59">
      <c r="A59" s="5" t="n"/>
      <c r="B59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59" s="2" t="n"/>
      <c r="D59" s="2" t="n"/>
      <c r="E59" s="2" t="n"/>
      <c r="F59" s="8" t="n"/>
      <c r="G59" s="11">
        <f>IF(ТаблицаВыработки[[#This Row],[Тип смены]]="День",2700,IF(ТаблицаВыработки[[#This Row],[Тип смены]]="Ночь",3300,""))</f>
        <v/>
      </c>
      <c r="H59" s="14" t="n"/>
      <c r="I59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59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60">
      <c r="A60" s="5" t="n"/>
      <c r="B60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60" s="2" t="n"/>
      <c r="D60" s="2" t="n"/>
      <c r="E60" s="2" t="n"/>
      <c r="F60" s="8" t="n"/>
      <c r="G60" s="11">
        <f>IF(ТаблицаВыработки[[#This Row],[Тип смены]]="День",2700,IF(ТаблицаВыработки[[#This Row],[Тип смены]]="Ночь",3300,""))</f>
        <v/>
      </c>
      <c r="H60" s="14" t="n"/>
      <c r="I60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60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61">
      <c r="A61" s="5" t="n"/>
      <c r="B61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61" s="2" t="n"/>
      <c r="D61" s="2" t="n"/>
      <c r="E61" s="2" t="n"/>
      <c r="F61" s="8" t="n"/>
      <c r="G61" s="11">
        <f>IF(ТаблицаВыработки[[#This Row],[Тип смены]]="День",2700,IF(ТаблицаВыработки[[#This Row],[Тип смены]]="Ночь",3300,""))</f>
        <v/>
      </c>
      <c r="H61" s="14" t="n"/>
      <c r="I61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61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62">
      <c r="A62" s="5" t="n"/>
      <c r="B62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62" s="2" t="n"/>
      <c r="D62" s="2" t="n"/>
      <c r="E62" s="2" t="n"/>
      <c r="F62" s="8" t="n"/>
      <c r="G62" s="11">
        <f>IF(ТаблицаВыработки[[#This Row],[Тип смены]]="День",2700,IF(ТаблицаВыработки[[#This Row],[Тип смены]]="Ночь",3300,""))</f>
        <v/>
      </c>
      <c r="H62" s="14" t="n"/>
      <c r="I62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62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63">
      <c r="A63" s="5" t="n"/>
      <c r="B63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63" s="2" t="n"/>
      <c r="D63" s="2" t="n"/>
      <c r="E63" s="2" t="n"/>
      <c r="F63" s="8" t="n"/>
      <c r="G63" s="11">
        <f>IF(ТаблицаВыработки[[#This Row],[Тип смены]]="День",2700,IF(ТаблицаВыработки[[#This Row],[Тип смены]]="Ночь",3300,""))</f>
        <v/>
      </c>
      <c r="H63" s="14" t="n"/>
      <c r="I63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63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64">
      <c r="A64" s="5" t="n"/>
      <c r="B64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64" s="2" t="n"/>
      <c r="D64" s="2" t="n"/>
      <c r="E64" s="2" t="n"/>
      <c r="F64" s="8" t="n"/>
      <c r="G64" s="11">
        <f>IF(ТаблицаВыработки[[#This Row],[Тип смены]]="День",2700,IF(ТаблицаВыработки[[#This Row],[Тип смены]]="Ночь",3300,""))</f>
        <v/>
      </c>
      <c r="H64" s="14" t="n"/>
      <c r="I64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64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65">
      <c r="A65" s="5" t="n"/>
      <c r="B65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65" s="2" t="n"/>
      <c r="D65" s="2" t="n"/>
      <c r="E65" s="2" t="n"/>
      <c r="F65" s="8" t="n"/>
      <c r="G65" s="11">
        <f>IF(ТаблицаВыработки[[#This Row],[Тип смены]]="День",2700,IF(ТаблицаВыработки[[#This Row],[Тип смены]]="Ночь",3300,""))</f>
        <v/>
      </c>
      <c r="H65" s="14" t="n"/>
      <c r="I65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65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66">
      <c r="A66" s="5" t="n"/>
      <c r="B66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66" s="2" t="n"/>
      <c r="D66" s="2" t="n"/>
      <c r="E66" s="2" t="n"/>
      <c r="F66" s="8" t="n"/>
      <c r="G66" s="11">
        <f>IF(ТаблицаВыработки[[#This Row],[Тип смены]]="День",2700,IF(ТаблицаВыработки[[#This Row],[Тип смены]]="Ночь",3300,""))</f>
        <v/>
      </c>
      <c r="H66" s="14" t="n"/>
      <c r="I66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66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67">
      <c r="A67" s="5" t="n"/>
      <c r="B67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67" s="2" t="n"/>
      <c r="D67" s="2" t="n"/>
      <c r="E67" s="2" t="n"/>
      <c r="F67" s="8" t="n"/>
      <c r="G67" s="11">
        <f>IF(ТаблицаВыработки[[#This Row],[Тип смены]]="День",2700,IF(ТаблицаВыработки[[#This Row],[Тип смены]]="Ночь",3300,""))</f>
        <v/>
      </c>
      <c r="H67" s="14" t="n"/>
      <c r="I67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67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68">
      <c r="A68" s="5" t="n"/>
      <c r="B68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68" s="2" t="n"/>
      <c r="D68" s="2" t="n"/>
      <c r="E68" s="2" t="n"/>
      <c r="F68" s="8" t="n"/>
      <c r="G68" s="11">
        <f>IF(ТаблицаВыработки[[#This Row],[Тип смены]]="День",2700,IF(ТаблицаВыработки[[#This Row],[Тип смены]]="Ночь",3300,""))</f>
        <v/>
      </c>
      <c r="H68" s="14" t="n"/>
      <c r="I68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68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69">
      <c r="A69" s="5" t="n"/>
      <c r="B69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69" s="2" t="n"/>
      <c r="D69" s="2" t="n"/>
      <c r="E69" s="2" t="n"/>
      <c r="F69" s="8" t="n"/>
      <c r="G69" s="11">
        <f>IF(ТаблицаВыработки[[#This Row],[Тип смены]]="День",2700,IF(ТаблицаВыработки[[#This Row],[Тип смены]]="Ночь",3300,""))</f>
        <v/>
      </c>
      <c r="H69" s="14" t="n"/>
      <c r="I69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69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70">
      <c r="A70" s="5" t="n"/>
      <c r="B70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70" s="2" t="n"/>
      <c r="D70" s="2" t="n"/>
      <c r="E70" s="2" t="n"/>
      <c r="F70" s="8" t="n"/>
      <c r="G70" s="11">
        <f>IF(ТаблицаВыработки[[#This Row],[Тип смены]]="День",2700,IF(ТаблицаВыработки[[#This Row],[Тип смены]]="Ночь",3300,""))</f>
        <v/>
      </c>
      <c r="H70" s="14" t="n"/>
      <c r="I70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70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71">
      <c r="A71" s="5" t="n"/>
      <c r="B71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71" s="2" t="n"/>
      <c r="D71" s="2" t="n"/>
      <c r="E71" s="2" t="n"/>
      <c r="F71" s="8" t="n"/>
      <c r="G71" s="11">
        <f>IF(ТаблицаВыработки[[#This Row],[Тип смены]]="День",2700,IF(ТаблицаВыработки[[#This Row],[Тип смены]]="Ночь",3300,""))</f>
        <v/>
      </c>
      <c r="H71" s="14" t="n"/>
      <c r="I71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71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72">
      <c r="A72" s="5" t="n"/>
      <c r="B72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72" s="2" t="n"/>
      <c r="D72" s="2" t="n"/>
      <c r="E72" s="2" t="n"/>
      <c r="F72" s="8" t="n"/>
      <c r="G72" s="11">
        <f>IF(ТаблицаВыработки[[#This Row],[Тип смены]]="День",2700,IF(ТаблицаВыработки[[#This Row],[Тип смены]]="Ночь",3300,""))</f>
        <v/>
      </c>
      <c r="H72" s="14" t="n"/>
      <c r="I72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72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73">
      <c r="A73" s="5" t="n"/>
      <c r="B73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73" s="2" t="n"/>
      <c r="D73" s="2" t="n"/>
      <c r="E73" s="2" t="n"/>
      <c r="F73" s="8" t="n"/>
      <c r="G73" s="11">
        <f>IF(ТаблицаВыработки[[#This Row],[Тип смены]]="День",2700,IF(ТаблицаВыработки[[#This Row],[Тип смены]]="Ночь",3300,""))</f>
        <v/>
      </c>
      <c r="H73" s="14" t="n"/>
      <c r="I73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73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74">
      <c r="A74" s="5" t="n"/>
      <c r="B74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74" s="2" t="n"/>
      <c r="D74" s="2" t="n"/>
      <c r="E74" s="2" t="n"/>
      <c r="F74" s="8" t="n"/>
      <c r="G74" s="11">
        <f>IF(ТаблицаВыработки[[#This Row],[Тип смены]]="День",2700,IF(ТаблицаВыработки[[#This Row],[Тип смены]]="Ночь",3300,""))</f>
        <v/>
      </c>
      <c r="H74" s="14" t="n"/>
      <c r="I74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74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75">
      <c r="A75" s="5" t="n"/>
      <c r="B75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75" s="2" t="n"/>
      <c r="D75" s="2" t="n"/>
      <c r="E75" s="2" t="n"/>
      <c r="F75" s="8" t="n"/>
      <c r="G75" s="11">
        <f>IF(ТаблицаВыработки[[#This Row],[Тип смены]]="День",2700,IF(ТаблицаВыработки[[#This Row],[Тип смены]]="Ночь",3300,""))</f>
        <v/>
      </c>
      <c r="H75" s="14" t="n"/>
      <c r="I75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75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76">
      <c r="A76" s="5" t="n"/>
      <c r="B76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76" s="2" t="n"/>
      <c r="D76" s="2" t="n"/>
      <c r="E76" s="2" t="n"/>
      <c r="F76" s="8" t="n"/>
      <c r="G76" s="11">
        <f>IF(ТаблицаВыработки[[#This Row],[Тип смены]]="День",2700,IF(ТаблицаВыработки[[#This Row],[Тип смены]]="Ночь",3300,""))</f>
        <v/>
      </c>
      <c r="H76" s="14" t="n"/>
      <c r="I76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76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77">
      <c r="A77" s="5" t="n"/>
      <c r="B77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77" s="2" t="n"/>
      <c r="D77" s="2" t="n"/>
      <c r="E77" s="2" t="n"/>
      <c r="F77" s="8" t="n"/>
      <c r="G77" s="11">
        <f>IF(ТаблицаВыработки[[#This Row],[Тип смены]]="День",2700,IF(ТаблицаВыработки[[#This Row],[Тип смены]]="Ночь",3300,""))</f>
        <v/>
      </c>
      <c r="H77" s="14" t="n"/>
      <c r="I77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77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78">
      <c r="A78" s="5" t="n"/>
      <c r="B78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78" s="2" t="n"/>
      <c r="D78" s="2" t="n"/>
      <c r="E78" s="2" t="n"/>
      <c r="F78" s="8" t="n"/>
      <c r="G78" s="11">
        <f>IF(ТаблицаВыработки[[#This Row],[Тип смены]]="День",2700,IF(ТаблицаВыработки[[#This Row],[Тип смены]]="Ночь",3300,""))</f>
        <v/>
      </c>
      <c r="H78" s="14" t="n"/>
      <c r="I78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78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79">
      <c r="A79" s="5" t="n"/>
      <c r="B79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79" s="2" t="n"/>
      <c r="D79" s="2" t="n"/>
      <c r="E79" s="2" t="n"/>
      <c r="F79" s="8" t="n"/>
      <c r="G79" s="11">
        <f>IF(ТаблицаВыработки[[#This Row],[Тип смены]]="День",2700,IF(ТаблицаВыработки[[#This Row],[Тип смены]]="Ночь",3300,""))</f>
        <v/>
      </c>
      <c r="H79" s="14" t="n"/>
      <c r="I79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79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80">
      <c r="A80" s="5" t="n"/>
      <c r="B80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80" s="2" t="n"/>
      <c r="D80" s="2" t="n"/>
      <c r="E80" s="2" t="n"/>
      <c r="F80" s="8" t="n"/>
      <c r="G80" s="11">
        <f>IF(ТаблицаВыработки[[#This Row],[Тип смены]]="День",2700,IF(ТаблицаВыработки[[#This Row],[Тип смены]]="Ночь",3300,""))</f>
        <v/>
      </c>
      <c r="H80" s="14" t="n"/>
      <c r="I80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80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81">
      <c r="A81" s="5" t="n"/>
      <c r="B81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81" s="2" t="n"/>
      <c r="D81" s="2" t="n"/>
      <c r="E81" s="2" t="n"/>
      <c r="F81" s="8" t="n"/>
      <c r="G81" s="11">
        <f>IF(ТаблицаВыработки[[#This Row],[Тип смены]]="День",2700,IF(ТаблицаВыработки[[#This Row],[Тип смены]]="Ночь",3300,""))</f>
        <v/>
      </c>
      <c r="H81" s="14" t="n"/>
      <c r="I81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81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82">
      <c r="A82" s="5" t="n"/>
      <c r="B82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82" s="2" t="n"/>
      <c r="D82" s="2" t="n"/>
      <c r="E82" s="2" t="n"/>
      <c r="F82" s="8" t="n"/>
      <c r="G82" s="11">
        <f>IF(ТаблицаВыработки[[#This Row],[Тип смены]]="День",2700,IF(ТаблицаВыработки[[#This Row],[Тип смены]]="Ночь",3300,""))</f>
        <v/>
      </c>
      <c r="H82" s="14" t="n"/>
      <c r="I82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82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83">
      <c r="A83" s="5" t="n"/>
      <c r="B83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83" s="2" t="n"/>
      <c r="D83" s="2" t="n"/>
      <c r="E83" s="2" t="n"/>
      <c r="F83" s="8" t="n"/>
      <c r="G83" s="11">
        <f>IF(ТаблицаВыработки[[#This Row],[Тип смены]]="День",2700,IF(ТаблицаВыработки[[#This Row],[Тип смены]]="Ночь",3300,""))</f>
        <v/>
      </c>
      <c r="H83" s="14" t="n"/>
      <c r="I83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83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84">
      <c r="A84" s="5" t="n"/>
      <c r="B84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84" s="2" t="n"/>
      <c r="D84" s="2" t="n"/>
      <c r="E84" s="2" t="n"/>
      <c r="F84" s="8" t="n"/>
      <c r="G84" s="11">
        <f>IF(ТаблицаВыработки[[#This Row],[Тип смены]]="День",2700,IF(ТаблицаВыработки[[#This Row],[Тип смены]]="Ночь",3300,""))</f>
        <v/>
      </c>
      <c r="H84" s="14" t="n"/>
      <c r="I84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84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85">
      <c r="A85" s="5" t="n"/>
      <c r="B85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85" s="2" t="n"/>
      <c r="D85" s="2" t="n"/>
      <c r="E85" s="2" t="n"/>
      <c r="F85" s="8" t="n"/>
      <c r="G85" s="11">
        <f>IF(ТаблицаВыработки[[#This Row],[Тип смены]]="День",2700,IF(ТаблицаВыработки[[#This Row],[Тип смены]]="Ночь",3300,""))</f>
        <v/>
      </c>
      <c r="H85" s="14" t="n"/>
      <c r="I85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85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86">
      <c r="A86" s="5" t="n"/>
      <c r="B86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86" s="2" t="n"/>
      <c r="D86" s="2" t="n"/>
      <c r="E86" s="2" t="n"/>
      <c r="F86" s="8" t="n"/>
      <c r="G86" s="11">
        <f>IF(ТаблицаВыработки[[#This Row],[Тип смены]]="День",2700,IF(ТаблицаВыработки[[#This Row],[Тип смены]]="Ночь",3300,""))</f>
        <v/>
      </c>
      <c r="H86" s="14" t="n"/>
      <c r="I86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86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87">
      <c r="A87" s="5" t="n"/>
      <c r="B87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87" s="2" t="n"/>
      <c r="D87" s="2" t="n"/>
      <c r="E87" s="2" t="n"/>
      <c r="F87" s="8" t="n"/>
      <c r="G87" s="11">
        <f>IF(ТаблицаВыработки[[#This Row],[Тип смены]]="День",2700,IF(ТаблицаВыработки[[#This Row],[Тип смены]]="Ночь",3300,""))</f>
        <v/>
      </c>
      <c r="H87" s="14" t="n"/>
      <c r="I87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87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88">
      <c r="A88" s="5" t="n"/>
      <c r="B88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88" s="2" t="n"/>
      <c r="D88" s="2" t="n"/>
      <c r="E88" s="2" t="n"/>
      <c r="F88" s="8" t="n"/>
      <c r="G88" s="11">
        <f>IF(ТаблицаВыработки[[#This Row],[Тип смены]]="День",2700,IF(ТаблицаВыработки[[#This Row],[Тип смены]]="Ночь",3300,""))</f>
        <v/>
      </c>
      <c r="H88" s="14" t="n"/>
      <c r="I88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88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89">
      <c r="A89" s="5" t="n"/>
      <c r="B89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89" s="2" t="n"/>
      <c r="D89" s="2" t="n"/>
      <c r="E89" s="2" t="n"/>
      <c r="F89" s="8" t="n"/>
      <c r="G89" s="11">
        <f>IF(ТаблицаВыработки[[#This Row],[Тип смены]]="День",2700,IF(ТаблицаВыработки[[#This Row],[Тип смены]]="Ночь",3300,""))</f>
        <v/>
      </c>
      <c r="H89" s="14" t="n"/>
      <c r="I89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89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90">
      <c r="A90" s="5" t="n"/>
      <c r="B90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90" s="2" t="n"/>
      <c r="D90" s="2" t="n"/>
      <c r="E90" s="2" t="n"/>
      <c r="F90" s="8" t="n"/>
      <c r="G90" s="11">
        <f>IF(ТаблицаВыработки[[#This Row],[Тип смены]]="День",2700,IF(ТаблицаВыработки[[#This Row],[Тип смены]]="Ночь",3300,""))</f>
        <v/>
      </c>
      <c r="H90" s="14" t="n"/>
      <c r="I90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90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91">
      <c r="A91" s="5" t="n"/>
      <c r="B91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91" s="2" t="n"/>
      <c r="D91" s="2" t="n"/>
      <c r="E91" s="2" t="n"/>
      <c r="F91" s="8" t="n"/>
      <c r="G91" s="11">
        <f>IF(ТаблицаВыработки[[#This Row],[Тип смены]]="День",2700,IF(ТаблицаВыработки[[#This Row],[Тип смены]]="Ночь",3300,""))</f>
        <v/>
      </c>
      <c r="H91" s="14" t="n"/>
      <c r="I91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91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92">
      <c r="A92" s="5" t="n"/>
      <c r="B92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92" s="2" t="n"/>
      <c r="D92" s="2" t="n"/>
      <c r="E92" s="2" t="n"/>
      <c r="F92" s="8" t="n"/>
      <c r="G92" s="11">
        <f>IF(ТаблицаВыработки[[#This Row],[Тип смены]]="День",2700,IF(ТаблицаВыработки[[#This Row],[Тип смены]]="Ночь",3300,""))</f>
        <v/>
      </c>
      <c r="H92" s="14" t="n"/>
      <c r="I92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92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93">
      <c r="A93" s="5" t="n"/>
      <c r="B93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93" s="2" t="n"/>
      <c r="D93" s="2" t="n"/>
      <c r="E93" s="2" t="n"/>
      <c r="F93" s="8" t="n"/>
      <c r="G93" s="11">
        <f>IF(ТаблицаВыработки[[#This Row],[Тип смены]]="День",2700,IF(ТаблицаВыработки[[#This Row],[Тип смены]]="Ночь",3300,""))</f>
        <v/>
      </c>
      <c r="H93" s="14" t="n"/>
      <c r="I93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93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94">
      <c r="A94" s="5" t="n"/>
      <c r="B94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94" s="2" t="n"/>
      <c r="D94" s="2" t="n"/>
      <c r="E94" s="2" t="n"/>
      <c r="F94" s="8" t="n"/>
      <c r="G94" s="11">
        <f>IF(ТаблицаВыработки[[#This Row],[Тип смены]]="День",2700,IF(ТаблицаВыработки[[#This Row],[Тип смены]]="Ночь",3300,""))</f>
        <v/>
      </c>
      <c r="H94" s="14" t="n"/>
      <c r="I94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94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95">
      <c r="A95" s="5" t="n"/>
      <c r="B95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95" s="2" t="n"/>
      <c r="D95" s="2" t="n"/>
      <c r="E95" s="2" t="n"/>
      <c r="F95" s="8" t="n"/>
      <c r="G95" s="11">
        <f>IF(ТаблицаВыработки[[#This Row],[Тип смены]]="День",2700,IF(ТаблицаВыработки[[#This Row],[Тип смены]]="Ночь",3300,""))</f>
        <v/>
      </c>
      <c r="H95" s="14" t="n"/>
      <c r="I95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95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96">
      <c r="A96" s="5" t="n"/>
      <c r="B96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96" s="2" t="n"/>
      <c r="D96" s="2" t="n"/>
      <c r="E96" s="2" t="n"/>
      <c r="F96" s="8" t="n"/>
      <c r="G96" s="11">
        <f>IF(ТаблицаВыработки[[#This Row],[Тип смены]]="День",2700,IF(ТаблицаВыработки[[#This Row],[Тип смены]]="Ночь",3300,""))</f>
        <v/>
      </c>
      <c r="H96" s="14" t="n"/>
      <c r="I96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96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97">
      <c r="A97" s="5" t="n"/>
      <c r="B97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97" s="2" t="n"/>
      <c r="D97" s="2" t="n"/>
      <c r="E97" s="2" t="n"/>
      <c r="F97" s="8" t="n"/>
      <c r="G97" s="11">
        <f>IF(ТаблицаВыработки[[#This Row],[Тип смены]]="День",2700,IF(ТаблицаВыработки[[#This Row],[Тип смены]]="Ночь",3300,""))</f>
        <v/>
      </c>
      <c r="H97" s="14" t="n"/>
      <c r="I97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97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98">
      <c r="A98" s="5" t="n"/>
      <c r="B98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98" s="2" t="n"/>
      <c r="D98" s="2" t="n"/>
      <c r="E98" s="2" t="n"/>
      <c r="F98" s="8" t="n"/>
      <c r="G98" s="11">
        <f>IF(ТаблицаВыработки[[#This Row],[Тип смены]]="День",2700,IF(ТаблицаВыработки[[#This Row],[Тип смены]]="Ночь",3300,""))</f>
        <v/>
      </c>
      <c r="H98" s="14" t="n"/>
      <c r="I98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98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99">
      <c r="A99" s="5" t="n"/>
      <c r="B99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99" s="2" t="n"/>
      <c r="D99" s="2" t="n"/>
      <c r="E99" s="2" t="n"/>
      <c r="F99" s="8" t="n"/>
      <c r="G99" s="11">
        <f>IF(ТаблицаВыработки[[#This Row],[Тип смены]]="День",2700,IF(ТаблицаВыработки[[#This Row],[Тип смены]]="Ночь",3300,""))</f>
        <v/>
      </c>
      <c r="H99" s="14" t="n"/>
      <c r="I99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99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00">
      <c r="A100" s="5" t="n"/>
      <c r="B100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00" s="2" t="n"/>
      <c r="D100" s="2" t="n"/>
      <c r="E100" s="2" t="n"/>
      <c r="F100" s="8" t="n"/>
      <c r="G100" s="11">
        <f>IF(ТаблицаВыработки[[#This Row],[Тип смены]]="День",2700,IF(ТаблицаВыработки[[#This Row],[Тип смены]]="Ночь",3300,""))</f>
        <v/>
      </c>
      <c r="H100" s="14" t="n"/>
      <c r="I100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00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01">
      <c r="A101" s="5" t="n"/>
      <c r="B101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01" s="2" t="n"/>
      <c r="D101" s="2" t="n"/>
      <c r="E101" s="2" t="n"/>
      <c r="F101" s="8" t="n"/>
      <c r="G101" s="11">
        <f>IF(ТаблицаВыработки[[#This Row],[Тип смены]]="День",2700,IF(ТаблицаВыработки[[#This Row],[Тип смены]]="Ночь",3300,""))</f>
        <v/>
      </c>
      <c r="H101" s="14" t="n"/>
      <c r="I101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01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02">
      <c r="A102" s="5" t="n"/>
      <c r="B102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02" s="2" t="n"/>
      <c r="D102" s="2" t="n"/>
      <c r="E102" s="2" t="n"/>
      <c r="F102" s="8" t="n"/>
      <c r="G102" s="11">
        <f>IF(ТаблицаВыработки[[#This Row],[Тип смены]]="День",2700,IF(ТаблицаВыработки[[#This Row],[Тип смены]]="Ночь",3300,""))</f>
        <v/>
      </c>
      <c r="H102" s="14" t="n"/>
      <c r="I102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02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03">
      <c r="A103" s="5" t="n"/>
      <c r="B103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03" s="2" t="n"/>
      <c r="D103" s="2" t="n"/>
      <c r="E103" s="2" t="n"/>
      <c r="F103" s="8" t="n"/>
      <c r="G103" s="11">
        <f>IF(ТаблицаВыработки[[#This Row],[Тип смены]]="День",2700,IF(ТаблицаВыработки[[#This Row],[Тип смены]]="Ночь",3300,""))</f>
        <v/>
      </c>
      <c r="H103" s="14" t="n"/>
      <c r="I103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03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04">
      <c r="A104" s="5" t="n"/>
      <c r="B104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04" s="2" t="n"/>
      <c r="D104" s="2" t="n"/>
      <c r="E104" s="2" t="n"/>
      <c r="F104" s="8" t="n"/>
      <c r="G104" s="11">
        <f>IF(ТаблицаВыработки[[#This Row],[Тип смены]]="День",2700,IF(ТаблицаВыработки[[#This Row],[Тип смены]]="Ночь",3300,""))</f>
        <v/>
      </c>
      <c r="H104" s="14" t="n"/>
      <c r="I104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04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05">
      <c r="A105" s="5" t="n"/>
      <c r="B105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05" s="2" t="n"/>
      <c r="D105" s="2" t="n"/>
      <c r="E105" s="2" t="n"/>
      <c r="F105" s="8" t="n"/>
      <c r="G105" s="11">
        <f>IF(ТаблицаВыработки[[#This Row],[Тип смены]]="День",2700,IF(ТаблицаВыработки[[#This Row],[Тип смены]]="Ночь",3300,""))</f>
        <v/>
      </c>
      <c r="H105" s="14" t="n"/>
      <c r="I105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05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06">
      <c r="A106" s="5" t="n"/>
      <c r="B106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06" s="2" t="n"/>
      <c r="D106" s="2" t="n"/>
      <c r="E106" s="2" t="n"/>
      <c r="F106" s="8" t="n"/>
      <c r="G106" s="11">
        <f>IF(ТаблицаВыработки[[#This Row],[Тип смены]]="День",2700,IF(ТаблицаВыработки[[#This Row],[Тип смены]]="Ночь",3300,""))</f>
        <v/>
      </c>
      <c r="H106" s="14" t="n"/>
      <c r="I106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06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07">
      <c r="A107" s="5" t="n"/>
      <c r="B107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07" s="2" t="n"/>
      <c r="D107" s="2" t="n"/>
      <c r="E107" s="2" t="n"/>
      <c r="F107" s="8" t="n"/>
      <c r="G107" s="11">
        <f>IF(ТаблицаВыработки[[#This Row],[Тип смены]]="День",2700,IF(ТаблицаВыработки[[#This Row],[Тип смены]]="Ночь",3300,""))</f>
        <v/>
      </c>
      <c r="H107" s="14" t="n"/>
      <c r="I107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07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08">
      <c r="A108" s="5" t="n"/>
      <c r="B108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08" s="2" t="n"/>
      <c r="D108" s="2" t="n"/>
      <c r="E108" s="2" t="n"/>
      <c r="F108" s="8" t="n"/>
      <c r="G108" s="11">
        <f>IF(ТаблицаВыработки[[#This Row],[Тип смены]]="День",2700,IF(ТаблицаВыработки[[#This Row],[Тип смены]]="Ночь",3300,""))</f>
        <v/>
      </c>
      <c r="H108" s="14" t="n"/>
      <c r="I108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08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09">
      <c r="A109" s="5" t="n"/>
      <c r="B109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09" s="2" t="n"/>
      <c r="D109" s="2" t="n"/>
      <c r="E109" s="2" t="n"/>
      <c r="F109" s="8" t="n"/>
      <c r="G109" s="11">
        <f>IF(ТаблицаВыработки[[#This Row],[Тип смены]]="День",2700,IF(ТаблицаВыработки[[#This Row],[Тип смены]]="Ночь",3300,""))</f>
        <v/>
      </c>
      <c r="H109" s="14" t="n"/>
      <c r="I109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09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10">
      <c r="A110" s="5" t="n"/>
      <c r="B110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10" s="2" t="n"/>
      <c r="D110" s="2" t="n"/>
      <c r="E110" s="2" t="n"/>
      <c r="F110" s="8" t="n"/>
      <c r="G110" s="11">
        <f>IF(ТаблицаВыработки[[#This Row],[Тип смены]]="День",2700,IF(ТаблицаВыработки[[#This Row],[Тип смены]]="Ночь",3300,""))</f>
        <v/>
      </c>
      <c r="H110" s="14" t="n"/>
      <c r="I110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10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11">
      <c r="A111" s="5" t="n"/>
      <c r="B111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11" s="2" t="n"/>
      <c r="D111" s="2" t="n"/>
      <c r="E111" s="2" t="n"/>
      <c r="F111" s="8" t="n"/>
      <c r="G111" s="11">
        <f>IF(ТаблицаВыработки[[#This Row],[Тип смены]]="День",2700,IF(ТаблицаВыработки[[#This Row],[Тип смены]]="Ночь",3300,""))</f>
        <v/>
      </c>
      <c r="H111" s="14" t="n"/>
      <c r="I111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11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12">
      <c r="A112" s="5" t="n"/>
      <c r="B112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12" s="2" t="n"/>
      <c r="D112" s="2" t="n"/>
      <c r="E112" s="2" t="n"/>
      <c r="F112" s="8" t="n"/>
      <c r="G112" s="11">
        <f>IF(ТаблицаВыработки[[#This Row],[Тип смены]]="День",2700,IF(ТаблицаВыработки[[#This Row],[Тип смены]]="Ночь",3300,""))</f>
        <v/>
      </c>
      <c r="H112" s="14" t="n"/>
      <c r="I112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12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13">
      <c r="A113" s="5" t="n"/>
      <c r="B113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13" s="2" t="n"/>
      <c r="D113" s="2" t="n"/>
      <c r="E113" s="2" t="n"/>
      <c r="F113" s="8" t="n"/>
      <c r="G113" s="11">
        <f>IF(ТаблицаВыработки[[#This Row],[Тип смены]]="День",2700,IF(ТаблицаВыработки[[#This Row],[Тип смены]]="Ночь",3300,""))</f>
        <v/>
      </c>
      <c r="H113" s="14" t="n"/>
      <c r="I113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13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14">
      <c r="A114" s="5" t="n"/>
      <c r="B114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14" s="2" t="n"/>
      <c r="D114" s="2" t="n"/>
      <c r="E114" s="2" t="n"/>
      <c r="F114" s="8" t="n"/>
      <c r="G114" s="11">
        <f>IF(ТаблицаВыработки[[#This Row],[Тип смены]]="День",2700,IF(ТаблицаВыработки[[#This Row],[Тип смены]]="Ночь",3300,""))</f>
        <v/>
      </c>
      <c r="H114" s="14" t="n"/>
      <c r="I114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14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15">
      <c r="A115" s="5" t="n"/>
      <c r="B115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15" s="2" t="n"/>
      <c r="D115" s="2" t="n"/>
      <c r="E115" s="2" t="n"/>
      <c r="F115" s="8" t="n"/>
      <c r="G115" s="11">
        <f>IF(ТаблицаВыработки[[#This Row],[Тип смены]]="День",2700,IF(ТаблицаВыработки[[#This Row],[Тип смены]]="Ночь",3300,""))</f>
        <v/>
      </c>
      <c r="H115" s="14" t="n"/>
      <c r="I115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15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16">
      <c r="A116" s="5" t="n"/>
      <c r="B116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16" s="2" t="n"/>
      <c r="D116" s="2" t="n"/>
      <c r="E116" s="2" t="n"/>
      <c r="F116" s="8" t="n"/>
      <c r="G116" s="11">
        <f>IF(ТаблицаВыработки[[#This Row],[Тип смены]]="День",2700,IF(ТаблицаВыработки[[#This Row],[Тип смены]]="Ночь",3300,""))</f>
        <v/>
      </c>
      <c r="H116" s="14" t="n"/>
      <c r="I116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16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17">
      <c r="A117" s="5" t="n"/>
      <c r="B117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17" s="2" t="n"/>
      <c r="D117" s="2" t="n"/>
      <c r="E117" s="2" t="n"/>
      <c r="F117" s="8" t="n"/>
      <c r="G117" s="11">
        <f>IF(ТаблицаВыработки[[#This Row],[Тип смены]]="День",2700,IF(ТаблицаВыработки[[#This Row],[Тип смены]]="Ночь",3300,""))</f>
        <v/>
      </c>
      <c r="H117" s="14" t="n"/>
      <c r="I117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17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18">
      <c r="A118" s="5" t="n"/>
      <c r="B118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18" s="2" t="n"/>
      <c r="D118" s="2" t="n"/>
      <c r="E118" s="2" t="n"/>
      <c r="F118" s="8" t="n"/>
      <c r="G118" s="11">
        <f>IF(ТаблицаВыработки[[#This Row],[Тип смены]]="День",2700,IF(ТаблицаВыработки[[#This Row],[Тип смены]]="Ночь",3300,""))</f>
        <v/>
      </c>
      <c r="H118" s="14" t="n"/>
      <c r="I118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18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19">
      <c r="A119" s="5" t="n"/>
      <c r="B119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19" s="2" t="n"/>
      <c r="D119" s="2" t="n"/>
      <c r="E119" s="2" t="n"/>
      <c r="F119" s="8" t="n"/>
      <c r="G119" s="11">
        <f>IF(ТаблицаВыработки[[#This Row],[Тип смены]]="День",2700,IF(ТаблицаВыработки[[#This Row],[Тип смены]]="Ночь",3300,""))</f>
        <v/>
      </c>
      <c r="H119" s="14" t="n"/>
      <c r="I119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19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20">
      <c r="A120" s="5" t="n"/>
      <c r="B120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20" s="2" t="n"/>
      <c r="D120" s="2" t="n"/>
      <c r="E120" s="2" t="n"/>
      <c r="F120" s="8" t="n"/>
      <c r="G120" s="11">
        <f>IF(ТаблицаВыработки[[#This Row],[Тип смены]]="День",2700,IF(ТаблицаВыработки[[#This Row],[Тип смены]]="Ночь",3300,""))</f>
        <v/>
      </c>
      <c r="H120" s="14" t="n"/>
      <c r="I120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20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21">
      <c r="A121" s="5" t="n"/>
      <c r="B121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21" s="2" t="n"/>
      <c r="D121" s="2" t="n"/>
      <c r="E121" s="2" t="n"/>
      <c r="F121" s="8" t="n"/>
      <c r="G121" s="11">
        <f>IF(ТаблицаВыработки[[#This Row],[Тип смены]]="День",2700,IF(ТаблицаВыработки[[#This Row],[Тип смены]]="Ночь",3300,""))</f>
        <v/>
      </c>
      <c r="H121" s="14" t="n"/>
      <c r="I121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21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22">
      <c r="A122" s="5" t="n"/>
      <c r="B122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22" s="2" t="n"/>
      <c r="D122" s="2" t="n"/>
      <c r="E122" s="2" t="n"/>
      <c r="F122" s="8" t="n"/>
      <c r="G122" s="11">
        <f>IF(ТаблицаВыработки[[#This Row],[Тип смены]]="День",2700,IF(ТаблицаВыработки[[#This Row],[Тип смены]]="Ночь",3300,""))</f>
        <v/>
      </c>
      <c r="H122" s="14" t="n"/>
      <c r="I122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22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23">
      <c r="A123" s="5" t="n"/>
      <c r="B123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23" s="2" t="n"/>
      <c r="D123" s="2" t="n"/>
      <c r="E123" s="2" t="n"/>
      <c r="F123" s="8" t="n"/>
      <c r="G123" s="11">
        <f>IF(ТаблицаВыработки[[#This Row],[Тип смены]]="День",2700,IF(ТаблицаВыработки[[#This Row],[Тип смены]]="Ночь",3300,""))</f>
        <v/>
      </c>
      <c r="H123" s="14" t="n"/>
      <c r="I123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23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24">
      <c r="A124" s="5" t="n"/>
      <c r="B124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24" s="2" t="n"/>
      <c r="D124" s="2" t="n"/>
      <c r="E124" s="2" t="n"/>
      <c r="F124" s="8" t="n"/>
      <c r="G124" s="11">
        <f>IF(ТаблицаВыработки[[#This Row],[Тип смены]]="День",2700,IF(ТаблицаВыработки[[#This Row],[Тип смены]]="Ночь",3300,""))</f>
        <v/>
      </c>
      <c r="H124" s="14" t="n"/>
      <c r="I124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24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25">
      <c r="A125" s="5" t="n"/>
      <c r="B125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25" s="2" t="n"/>
      <c r="D125" s="2" t="n"/>
      <c r="E125" s="2" t="n"/>
      <c r="F125" s="8" t="n"/>
      <c r="G125" s="11">
        <f>IF(ТаблицаВыработки[[#This Row],[Тип смены]]="День",2700,IF(ТаблицаВыработки[[#This Row],[Тип смены]]="Ночь",3300,""))</f>
        <v/>
      </c>
      <c r="H125" s="14" t="n"/>
      <c r="I125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25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26">
      <c r="A126" s="5" t="n"/>
      <c r="B126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26" s="2" t="n"/>
      <c r="D126" s="2" t="n"/>
      <c r="E126" s="2" t="n"/>
      <c r="F126" s="8" t="n"/>
      <c r="G126" s="11">
        <f>IF(ТаблицаВыработки[[#This Row],[Тип смены]]="День",2700,IF(ТаблицаВыработки[[#This Row],[Тип смены]]="Ночь",3300,""))</f>
        <v/>
      </c>
      <c r="H126" s="14" t="n"/>
      <c r="I126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26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27">
      <c r="A127" s="5" t="n"/>
      <c r="B127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27" s="2" t="n"/>
      <c r="D127" s="2" t="n"/>
      <c r="E127" s="2" t="n"/>
      <c r="F127" s="8" t="n"/>
      <c r="G127" s="11">
        <f>IF(ТаблицаВыработки[[#This Row],[Тип смены]]="День",2700,IF(ТаблицаВыработки[[#This Row],[Тип смены]]="Ночь",3300,""))</f>
        <v/>
      </c>
      <c r="H127" s="14" t="n"/>
      <c r="I127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27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28">
      <c r="A128" s="5" t="n"/>
      <c r="B128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28" s="2" t="n"/>
      <c r="D128" s="2" t="n"/>
      <c r="E128" s="2" t="n"/>
      <c r="F128" s="8" t="n"/>
      <c r="G128" s="11">
        <f>IF(ТаблицаВыработки[[#This Row],[Тип смены]]="День",2700,IF(ТаблицаВыработки[[#This Row],[Тип смены]]="Ночь",3300,""))</f>
        <v/>
      </c>
      <c r="H128" s="14" t="n"/>
      <c r="I128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28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29">
      <c r="A129" s="5" t="n"/>
      <c r="B129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29" s="2" t="n"/>
      <c r="D129" s="2" t="n"/>
      <c r="E129" s="2" t="n"/>
      <c r="F129" s="8" t="n"/>
      <c r="G129" s="11">
        <f>IF(ТаблицаВыработки[[#This Row],[Тип смены]]="День",2700,IF(ТаблицаВыработки[[#This Row],[Тип смены]]="Ночь",3300,""))</f>
        <v/>
      </c>
      <c r="H129" s="14" t="n"/>
      <c r="I129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29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30">
      <c r="A130" s="5" t="n"/>
      <c r="B130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30" s="2" t="n"/>
      <c r="D130" s="2" t="n"/>
      <c r="E130" s="2" t="n"/>
      <c r="F130" s="8" t="n"/>
      <c r="G130" s="11">
        <f>IF(ТаблицаВыработки[[#This Row],[Тип смены]]="День",2700,IF(ТаблицаВыработки[[#This Row],[Тип смены]]="Ночь",3300,""))</f>
        <v/>
      </c>
      <c r="H130" s="14" t="n"/>
      <c r="I130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30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31">
      <c r="A131" s="5" t="n"/>
      <c r="B131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31" s="2" t="n"/>
      <c r="D131" s="2" t="n"/>
      <c r="E131" s="2" t="n"/>
      <c r="F131" s="8" t="n"/>
      <c r="G131" s="11">
        <f>IF(ТаблицаВыработки[[#This Row],[Тип смены]]="День",2700,IF(ТаблицаВыработки[[#This Row],[Тип смены]]="Ночь",3300,""))</f>
        <v/>
      </c>
      <c r="H131" s="14" t="n"/>
      <c r="I131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31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32">
      <c r="A132" s="5" t="n"/>
      <c r="B132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32" s="2" t="n"/>
      <c r="D132" s="2" t="n"/>
      <c r="E132" s="2" t="n"/>
      <c r="F132" s="8" t="n"/>
      <c r="G132" s="11">
        <f>IF(ТаблицаВыработки[[#This Row],[Тип смены]]="День",2700,IF(ТаблицаВыработки[[#This Row],[Тип смены]]="Ночь",3300,""))</f>
        <v/>
      </c>
      <c r="H132" s="14" t="n"/>
      <c r="I132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32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33">
      <c r="A133" s="5" t="n"/>
      <c r="B133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33" s="2" t="n"/>
      <c r="D133" s="2" t="n"/>
      <c r="E133" s="2" t="n"/>
      <c r="F133" s="8" t="n"/>
      <c r="G133" s="11">
        <f>IF(ТаблицаВыработки[[#This Row],[Тип смены]]="День",2700,IF(ТаблицаВыработки[[#This Row],[Тип смены]]="Ночь",3300,""))</f>
        <v/>
      </c>
      <c r="H133" s="14" t="n"/>
      <c r="I133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33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34">
      <c r="A134" s="5" t="n"/>
      <c r="B134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34" s="2" t="n"/>
      <c r="D134" s="2" t="n"/>
      <c r="E134" s="2" t="n"/>
      <c r="F134" s="8" t="n"/>
      <c r="G134" s="11">
        <f>IF(ТаблицаВыработки[[#This Row],[Тип смены]]="День",2700,IF(ТаблицаВыработки[[#This Row],[Тип смены]]="Ночь",3300,""))</f>
        <v/>
      </c>
      <c r="H134" s="14" t="n"/>
      <c r="I134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34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35">
      <c r="A135" s="5" t="n"/>
      <c r="B135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35" s="2" t="n"/>
      <c r="D135" s="2" t="n"/>
      <c r="E135" s="2" t="n"/>
      <c r="F135" s="8" t="n"/>
      <c r="G135" s="11">
        <f>IF(ТаблицаВыработки[[#This Row],[Тип смены]]="День",2700,IF(ТаблицаВыработки[[#This Row],[Тип смены]]="Ночь",3300,""))</f>
        <v/>
      </c>
      <c r="H135" s="14" t="n"/>
      <c r="I135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35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36">
      <c r="A136" s="5" t="n"/>
      <c r="B136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36" s="2" t="n"/>
      <c r="D136" s="2" t="n"/>
      <c r="E136" s="2" t="n"/>
      <c r="F136" s="8" t="n"/>
      <c r="G136" s="11">
        <f>IF(ТаблицаВыработки[[#This Row],[Тип смены]]="День",2700,IF(ТаблицаВыработки[[#This Row],[Тип смены]]="Ночь",3300,""))</f>
        <v/>
      </c>
      <c r="H136" s="14" t="n"/>
      <c r="I136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36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37">
      <c r="A137" s="5" t="n"/>
      <c r="B137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37" s="2" t="n"/>
      <c r="D137" s="2" t="n"/>
      <c r="E137" s="2" t="n"/>
      <c r="F137" s="8" t="n"/>
      <c r="G137" s="11">
        <f>IF(ТаблицаВыработки[[#This Row],[Тип смены]]="День",2700,IF(ТаблицаВыработки[[#This Row],[Тип смены]]="Ночь",3300,""))</f>
        <v/>
      </c>
      <c r="H137" s="14" t="n"/>
      <c r="I137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37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38">
      <c r="A138" s="5" t="n"/>
      <c r="B138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38" s="2" t="n"/>
      <c r="D138" s="2" t="n"/>
      <c r="E138" s="2" t="n"/>
      <c r="F138" s="8" t="n"/>
      <c r="G138" s="11">
        <f>IF(ТаблицаВыработки[[#This Row],[Тип смены]]="День",2700,IF(ТаблицаВыработки[[#This Row],[Тип смены]]="Ночь",3300,""))</f>
        <v/>
      </c>
      <c r="H138" s="14" t="n"/>
      <c r="I138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38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39">
      <c r="A139" s="5" t="n"/>
      <c r="B139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39" s="2" t="n"/>
      <c r="D139" s="2" t="n"/>
      <c r="E139" s="2" t="n"/>
      <c r="F139" s="8" t="n"/>
      <c r="G139" s="11">
        <f>IF(ТаблицаВыработки[[#This Row],[Тип смены]]="День",2700,IF(ТаблицаВыработки[[#This Row],[Тип смены]]="Ночь",3300,""))</f>
        <v/>
      </c>
      <c r="H139" s="14" t="n"/>
      <c r="I139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39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40">
      <c r="A140" s="5" t="n"/>
      <c r="B140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40" s="2" t="n"/>
      <c r="D140" s="2" t="n"/>
      <c r="E140" s="2" t="n"/>
      <c r="F140" s="8" t="n"/>
      <c r="G140" s="11">
        <f>IF(ТаблицаВыработки[[#This Row],[Тип смены]]="День",2700,IF(ТаблицаВыработки[[#This Row],[Тип смены]]="Ночь",3300,""))</f>
        <v/>
      </c>
      <c r="H140" s="14" t="n"/>
      <c r="I140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40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41">
      <c r="A141" s="5" t="n"/>
      <c r="B141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41" s="2" t="n"/>
      <c r="D141" s="2" t="n"/>
      <c r="E141" s="2" t="n"/>
      <c r="F141" s="8" t="n"/>
      <c r="G141" s="11">
        <f>IF(ТаблицаВыработки[[#This Row],[Тип смены]]="День",2700,IF(ТаблицаВыработки[[#This Row],[Тип смены]]="Ночь",3300,""))</f>
        <v/>
      </c>
      <c r="H141" s="14" t="n"/>
      <c r="I141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41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42">
      <c r="A142" s="5" t="n"/>
      <c r="B142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42" s="2" t="n"/>
      <c r="D142" s="2" t="n"/>
      <c r="E142" s="2" t="n"/>
      <c r="F142" s="8" t="n"/>
      <c r="G142" s="11">
        <f>IF(ТаблицаВыработки[[#This Row],[Тип смены]]="День",2700,IF(ТаблицаВыработки[[#This Row],[Тип смены]]="Ночь",3300,""))</f>
        <v/>
      </c>
      <c r="H142" s="14" t="n"/>
      <c r="I142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42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43">
      <c r="A143" s="5" t="n"/>
      <c r="B143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43" s="2" t="n"/>
      <c r="D143" s="2" t="n"/>
      <c r="E143" s="2" t="n"/>
      <c r="F143" s="8" t="n"/>
      <c r="G143" s="11">
        <f>IF(ТаблицаВыработки[[#This Row],[Тип смены]]="День",2700,IF(ТаблицаВыработки[[#This Row],[Тип смены]]="Ночь",3300,""))</f>
        <v/>
      </c>
      <c r="H143" s="14" t="n"/>
      <c r="I143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43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44">
      <c r="A144" s="5" t="n"/>
      <c r="B144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44" s="2" t="n"/>
      <c r="D144" s="2" t="n"/>
      <c r="E144" s="2" t="n"/>
      <c r="F144" s="8" t="n"/>
      <c r="G144" s="11">
        <f>IF(ТаблицаВыработки[[#This Row],[Тип смены]]="День",2700,IF(ТаблицаВыработки[[#This Row],[Тип смены]]="Ночь",3300,""))</f>
        <v/>
      </c>
      <c r="H144" s="14" t="n"/>
      <c r="I144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44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45">
      <c r="A145" s="5" t="n"/>
      <c r="B145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45" s="2" t="n"/>
      <c r="D145" s="2" t="n"/>
      <c r="E145" s="2" t="n"/>
      <c r="F145" s="8" t="n"/>
      <c r="G145" s="11">
        <f>IF(ТаблицаВыработки[[#This Row],[Тип смены]]="День",2700,IF(ТаблицаВыработки[[#This Row],[Тип смены]]="Ночь",3300,""))</f>
        <v/>
      </c>
      <c r="H145" s="14" t="n"/>
      <c r="I145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45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46">
      <c r="A146" s="5" t="n"/>
      <c r="B146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46" s="2" t="n"/>
      <c r="D146" s="2" t="n"/>
      <c r="E146" s="2" t="n"/>
      <c r="F146" s="8" t="n"/>
      <c r="G146" s="11">
        <f>IF(ТаблицаВыработки[[#This Row],[Тип смены]]="День",2700,IF(ТаблицаВыработки[[#This Row],[Тип смены]]="Ночь",3300,""))</f>
        <v/>
      </c>
      <c r="H146" s="14" t="n"/>
      <c r="I146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46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47">
      <c r="A147" s="5" t="n"/>
      <c r="B147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47" s="2" t="n"/>
      <c r="D147" s="2" t="n"/>
      <c r="E147" s="2" t="n"/>
      <c r="F147" s="8" t="n"/>
      <c r="G147" s="11">
        <f>IF(ТаблицаВыработки[[#This Row],[Тип смены]]="День",2700,IF(ТаблицаВыработки[[#This Row],[Тип смены]]="Ночь",3300,""))</f>
        <v/>
      </c>
      <c r="H147" s="14" t="n"/>
      <c r="I147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47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48">
      <c r="A148" s="5" t="n"/>
      <c r="B148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48" s="2" t="n"/>
      <c r="D148" s="2" t="n"/>
      <c r="E148" s="2" t="n"/>
      <c r="F148" s="8" t="n"/>
      <c r="G148" s="11">
        <f>IF(ТаблицаВыработки[[#This Row],[Тип смены]]="День",2700,IF(ТаблицаВыработки[[#This Row],[Тип смены]]="Ночь",3300,""))</f>
        <v/>
      </c>
      <c r="H148" s="14" t="n"/>
      <c r="I148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48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49">
      <c r="A149" s="5" t="n"/>
      <c r="B149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49" s="2" t="n"/>
      <c r="D149" s="2" t="n"/>
      <c r="E149" s="2" t="n"/>
      <c r="F149" s="8" t="n"/>
      <c r="G149" s="11">
        <f>IF(ТаблицаВыработки[[#This Row],[Тип смены]]="День",2700,IF(ТаблицаВыработки[[#This Row],[Тип смены]]="Ночь",3300,""))</f>
        <v/>
      </c>
      <c r="H149" s="14" t="n"/>
      <c r="I149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49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50">
      <c r="A150" s="5" t="n"/>
      <c r="B150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50" s="2" t="n"/>
      <c r="D150" s="2" t="n"/>
      <c r="E150" s="2" t="n"/>
      <c r="F150" s="8" t="n"/>
      <c r="G150" s="11">
        <f>IF(ТаблицаВыработки[[#This Row],[Тип смены]]="День",2700,IF(ТаблицаВыработки[[#This Row],[Тип смены]]="Ночь",3300,""))</f>
        <v/>
      </c>
      <c r="H150" s="14" t="n"/>
      <c r="I150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50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51">
      <c r="A151" s="5" t="n"/>
      <c r="B151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51" s="2" t="n"/>
      <c r="D151" s="2" t="n"/>
      <c r="E151" s="2" t="n"/>
      <c r="F151" s="8" t="n"/>
      <c r="G151" s="11">
        <f>IF(ТаблицаВыработки[[#This Row],[Тип смены]]="День",2700,IF(ТаблицаВыработки[[#This Row],[Тип смены]]="Ночь",3300,""))</f>
        <v/>
      </c>
      <c r="H151" s="14" t="n"/>
      <c r="I151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51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52">
      <c r="A152" s="5" t="n"/>
      <c r="B152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52" s="2" t="n"/>
      <c r="D152" s="2" t="n"/>
      <c r="E152" s="2" t="n"/>
      <c r="F152" s="8" t="n"/>
      <c r="G152" s="11">
        <f>IF(ТаблицаВыработки[[#This Row],[Тип смены]]="День",2700,IF(ТаблицаВыработки[[#This Row],[Тип смены]]="Ночь",3300,""))</f>
        <v/>
      </c>
      <c r="H152" s="14" t="n"/>
      <c r="I152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52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53">
      <c r="A153" s="5" t="n"/>
      <c r="B153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53" s="2" t="n"/>
      <c r="D153" s="2" t="n"/>
      <c r="E153" s="2" t="n"/>
      <c r="F153" s="8" t="n"/>
      <c r="G153" s="11">
        <f>IF(ТаблицаВыработки[[#This Row],[Тип смены]]="День",2700,IF(ТаблицаВыработки[[#This Row],[Тип смены]]="Ночь",3300,""))</f>
        <v/>
      </c>
      <c r="H153" s="14" t="n"/>
      <c r="I153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53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54">
      <c r="A154" s="5" t="n"/>
      <c r="B154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54" s="2" t="n"/>
      <c r="D154" s="2" t="n"/>
      <c r="E154" s="2" t="n"/>
      <c r="F154" s="8" t="n"/>
      <c r="G154" s="11">
        <f>IF(ТаблицаВыработки[[#This Row],[Тип смены]]="День",2700,IF(ТаблицаВыработки[[#This Row],[Тип смены]]="Ночь",3300,""))</f>
        <v/>
      </c>
      <c r="H154" s="14" t="n"/>
      <c r="I154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54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55">
      <c r="A155" s="5" t="n"/>
      <c r="B155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55" s="2" t="n"/>
      <c r="D155" s="2" t="n"/>
      <c r="E155" s="2" t="n"/>
      <c r="F155" s="8" t="n"/>
      <c r="G155" s="11">
        <f>IF(ТаблицаВыработки[[#This Row],[Тип смены]]="День",2700,IF(ТаблицаВыработки[[#This Row],[Тип смены]]="Ночь",3300,""))</f>
        <v/>
      </c>
      <c r="H155" s="14" t="n"/>
      <c r="I155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55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56">
      <c r="A156" s="5" t="n"/>
      <c r="B156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56" s="2" t="n"/>
      <c r="D156" s="2" t="n"/>
      <c r="E156" s="2" t="n"/>
      <c r="F156" s="8" t="n"/>
      <c r="G156" s="11">
        <f>IF(ТаблицаВыработки[[#This Row],[Тип смены]]="День",2700,IF(ТаблицаВыработки[[#This Row],[Тип смены]]="Ночь",3300,""))</f>
        <v/>
      </c>
      <c r="H156" s="14" t="n"/>
      <c r="I156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56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57">
      <c r="A157" s="5" t="n"/>
      <c r="B157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57" s="2" t="n"/>
      <c r="D157" s="2" t="n"/>
      <c r="E157" s="2" t="n"/>
      <c r="F157" s="8" t="n"/>
      <c r="G157" s="11">
        <f>IF(ТаблицаВыработки[[#This Row],[Тип смены]]="День",2700,IF(ТаблицаВыработки[[#This Row],[Тип смены]]="Ночь",3300,""))</f>
        <v/>
      </c>
      <c r="H157" s="14" t="n"/>
      <c r="I157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57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58">
      <c r="A158" s="5" t="n"/>
      <c r="B158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58" s="2" t="n"/>
      <c r="D158" s="2" t="n"/>
      <c r="E158" s="2" t="n"/>
      <c r="F158" s="8" t="n"/>
      <c r="G158" s="11">
        <f>IF(ТаблицаВыработки[[#This Row],[Тип смены]]="День",2700,IF(ТаблицаВыработки[[#This Row],[Тип смены]]="Ночь",3300,""))</f>
        <v/>
      </c>
      <c r="H158" s="14" t="n"/>
      <c r="I158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58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59">
      <c r="A159" s="5" t="n"/>
      <c r="B159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59" s="2" t="n"/>
      <c r="D159" s="2" t="n"/>
      <c r="E159" s="2" t="n"/>
      <c r="F159" s="8" t="n"/>
      <c r="G159" s="11">
        <f>IF(ТаблицаВыработки[[#This Row],[Тип смены]]="День",2700,IF(ТаблицаВыработки[[#This Row],[Тип смены]]="Ночь",3300,""))</f>
        <v/>
      </c>
      <c r="H159" s="14" t="n"/>
      <c r="I159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59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60">
      <c r="A160" s="5" t="n"/>
      <c r="B160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60" s="2" t="n"/>
      <c r="D160" s="2" t="n"/>
      <c r="E160" s="2" t="n"/>
      <c r="F160" s="8" t="n"/>
      <c r="G160" s="11">
        <f>IF(ТаблицаВыработки[[#This Row],[Тип смены]]="День",2700,IF(ТаблицаВыработки[[#This Row],[Тип смены]]="Ночь",3300,""))</f>
        <v/>
      </c>
      <c r="H160" s="14" t="n"/>
      <c r="I160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60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61">
      <c r="A161" s="5" t="n"/>
      <c r="B161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61" s="2" t="n"/>
      <c r="D161" s="2" t="n"/>
      <c r="E161" s="2" t="n"/>
      <c r="F161" s="8" t="n"/>
      <c r="G161" s="11">
        <f>IF(ТаблицаВыработки[[#This Row],[Тип смены]]="День",2700,IF(ТаблицаВыработки[[#This Row],[Тип смены]]="Ночь",3300,""))</f>
        <v/>
      </c>
      <c r="H161" s="14" t="n"/>
      <c r="I161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61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62">
      <c r="A162" s="5" t="n"/>
      <c r="B162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62" s="2" t="n"/>
      <c r="D162" s="2" t="n"/>
      <c r="E162" s="2" t="n"/>
      <c r="F162" s="8" t="n"/>
      <c r="G162" s="11">
        <f>IF(ТаблицаВыработки[[#This Row],[Тип смены]]="День",2700,IF(ТаблицаВыработки[[#This Row],[Тип смены]]="Ночь",3300,""))</f>
        <v/>
      </c>
      <c r="H162" s="14" t="n"/>
      <c r="I162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62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63">
      <c r="A163" s="5" t="n"/>
      <c r="B163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63" s="2" t="n"/>
      <c r="D163" s="2" t="n"/>
      <c r="E163" s="2" t="n"/>
      <c r="F163" s="8" t="n"/>
      <c r="G163" s="11">
        <f>IF(ТаблицаВыработки[[#This Row],[Тип смены]]="День",2700,IF(ТаблицаВыработки[[#This Row],[Тип смены]]="Ночь",3300,""))</f>
        <v/>
      </c>
      <c r="H163" s="14" t="n"/>
      <c r="I163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63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64">
      <c r="A164" s="5" t="n"/>
      <c r="B164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64" s="2" t="n"/>
      <c r="D164" s="2" t="n"/>
      <c r="E164" s="2" t="n"/>
      <c r="F164" s="8" t="n"/>
      <c r="G164" s="11">
        <f>IF(ТаблицаВыработки[[#This Row],[Тип смены]]="День",2700,IF(ТаблицаВыработки[[#This Row],[Тип смены]]="Ночь",3300,""))</f>
        <v/>
      </c>
      <c r="H164" s="14" t="n"/>
      <c r="I164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64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65">
      <c r="A165" s="5" t="n"/>
      <c r="B165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65" s="2" t="n"/>
      <c r="D165" s="2" t="n"/>
      <c r="E165" s="2" t="n"/>
      <c r="F165" s="8" t="n"/>
      <c r="G165" s="11">
        <f>IF(ТаблицаВыработки[[#This Row],[Тип смены]]="День",2700,IF(ТаблицаВыработки[[#This Row],[Тип смены]]="Ночь",3300,""))</f>
        <v/>
      </c>
      <c r="H165" s="14" t="n"/>
      <c r="I165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65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66">
      <c r="A166" s="5" t="n"/>
      <c r="B166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66" s="2" t="n"/>
      <c r="D166" s="2" t="n"/>
      <c r="E166" s="2" t="n"/>
      <c r="F166" s="8" t="n"/>
      <c r="G166" s="11">
        <f>IF(ТаблицаВыработки[[#This Row],[Тип смены]]="День",2700,IF(ТаблицаВыработки[[#This Row],[Тип смены]]="Ночь",3300,""))</f>
        <v/>
      </c>
      <c r="H166" s="14" t="n"/>
      <c r="I166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66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67">
      <c r="A167" s="5" t="n"/>
      <c r="B167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67" s="2" t="n"/>
      <c r="D167" s="2" t="n"/>
      <c r="E167" s="2" t="n"/>
      <c r="F167" s="8" t="n"/>
      <c r="G167" s="11">
        <f>IF(ТаблицаВыработки[[#This Row],[Тип смены]]="День",2700,IF(ТаблицаВыработки[[#This Row],[Тип смены]]="Ночь",3300,""))</f>
        <v/>
      </c>
      <c r="H167" s="14" t="n"/>
      <c r="I167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67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68">
      <c r="A168" s="5" t="n"/>
      <c r="B168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68" s="2" t="n"/>
      <c r="D168" s="2" t="n"/>
      <c r="E168" s="2" t="n"/>
      <c r="F168" s="8" t="n"/>
      <c r="G168" s="11">
        <f>IF(ТаблицаВыработки[[#This Row],[Тип смены]]="День",2700,IF(ТаблицаВыработки[[#This Row],[Тип смены]]="Ночь",3300,""))</f>
        <v/>
      </c>
      <c r="H168" s="14" t="n"/>
      <c r="I168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68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69">
      <c r="A169" s="5" t="n"/>
      <c r="B169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69" s="2" t="n"/>
      <c r="D169" s="2" t="n"/>
      <c r="E169" s="2" t="n"/>
      <c r="F169" s="8" t="n"/>
      <c r="G169" s="11">
        <f>IF(ТаблицаВыработки[[#This Row],[Тип смены]]="День",2700,IF(ТаблицаВыработки[[#This Row],[Тип смены]]="Ночь",3300,""))</f>
        <v/>
      </c>
      <c r="H169" s="14" t="n"/>
      <c r="I169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69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70">
      <c r="A170" s="5" t="n"/>
      <c r="B170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70" s="2" t="n"/>
      <c r="D170" s="2" t="n"/>
      <c r="E170" s="2" t="n"/>
      <c r="F170" s="8" t="n"/>
      <c r="G170" s="11">
        <f>IF(ТаблицаВыработки[[#This Row],[Тип смены]]="День",2700,IF(ТаблицаВыработки[[#This Row],[Тип смены]]="Ночь",3300,""))</f>
        <v/>
      </c>
      <c r="H170" s="14" t="n"/>
      <c r="I170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70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71">
      <c r="A171" s="5" t="n"/>
      <c r="B171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71" s="2" t="n"/>
      <c r="D171" s="2" t="n"/>
      <c r="E171" s="2" t="n"/>
      <c r="F171" s="8" t="n"/>
      <c r="G171" s="11">
        <f>IF(ТаблицаВыработки[[#This Row],[Тип смены]]="День",2700,IF(ТаблицаВыработки[[#This Row],[Тип смены]]="Ночь",3300,""))</f>
        <v/>
      </c>
      <c r="H171" s="14" t="n"/>
      <c r="I171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71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72">
      <c r="A172" s="5" t="n"/>
      <c r="B172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72" s="2" t="n"/>
      <c r="D172" s="2" t="n"/>
      <c r="E172" s="2" t="n"/>
      <c r="F172" s="8" t="n"/>
      <c r="G172" s="11">
        <f>IF(ТаблицаВыработки[[#This Row],[Тип смены]]="День",2700,IF(ТаблицаВыработки[[#This Row],[Тип смены]]="Ночь",3300,""))</f>
        <v/>
      </c>
      <c r="H172" s="14" t="n"/>
      <c r="I172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72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73">
      <c r="A173" s="5" t="n"/>
      <c r="B173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73" s="2" t="n"/>
      <c r="D173" s="2" t="n"/>
      <c r="E173" s="2" t="n"/>
      <c r="F173" s="8" t="n"/>
      <c r="G173" s="11">
        <f>IF(ТаблицаВыработки[[#This Row],[Тип смены]]="День",2700,IF(ТаблицаВыработки[[#This Row],[Тип смены]]="Ночь",3300,""))</f>
        <v/>
      </c>
      <c r="H173" s="14" t="n"/>
      <c r="I173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73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74">
      <c r="A174" s="5" t="n"/>
      <c r="B174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74" s="2" t="n"/>
      <c r="D174" s="2" t="n"/>
      <c r="E174" s="2" t="n"/>
      <c r="F174" s="8" t="n"/>
      <c r="G174" s="11">
        <f>IF(ТаблицаВыработки[[#This Row],[Тип смены]]="День",2700,IF(ТаблицаВыработки[[#This Row],[Тип смены]]="Ночь",3300,""))</f>
        <v/>
      </c>
      <c r="H174" s="14" t="n"/>
      <c r="I174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74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75">
      <c r="A175" s="5" t="n"/>
      <c r="B175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75" s="2" t="n"/>
      <c r="D175" s="2" t="n"/>
      <c r="E175" s="2" t="n"/>
      <c r="F175" s="8" t="n"/>
      <c r="G175" s="11">
        <f>IF(ТаблицаВыработки[[#This Row],[Тип смены]]="День",2700,IF(ТаблицаВыработки[[#This Row],[Тип смены]]="Ночь",3300,""))</f>
        <v/>
      </c>
      <c r="H175" s="14" t="n"/>
      <c r="I175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75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76">
      <c r="A176" s="5" t="n"/>
      <c r="B176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76" s="2" t="n"/>
      <c r="D176" s="2" t="n"/>
      <c r="E176" s="2" t="n"/>
      <c r="F176" s="8" t="n"/>
      <c r="G176" s="11">
        <f>IF(ТаблицаВыработки[[#This Row],[Тип смены]]="День",2700,IF(ТаблицаВыработки[[#This Row],[Тип смены]]="Ночь",3300,""))</f>
        <v/>
      </c>
      <c r="H176" s="14" t="n"/>
      <c r="I176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76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77">
      <c r="A177" s="5" t="n"/>
      <c r="B177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77" s="2" t="n"/>
      <c r="D177" s="2" t="n"/>
      <c r="E177" s="2" t="n"/>
      <c r="F177" s="8" t="n"/>
      <c r="G177" s="11">
        <f>IF(ТаблицаВыработки[[#This Row],[Тип смены]]="День",2700,IF(ТаблицаВыработки[[#This Row],[Тип смены]]="Ночь",3300,""))</f>
        <v/>
      </c>
      <c r="H177" s="14" t="n"/>
      <c r="I177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77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78">
      <c r="A178" s="5" t="n"/>
      <c r="B178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78" s="2" t="n"/>
      <c r="D178" s="2" t="n"/>
      <c r="E178" s="2" t="n"/>
      <c r="F178" s="8" t="n"/>
      <c r="G178" s="11">
        <f>IF(ТаблицаВыработки[[#This Row],[Тип смены]]="День",2700,IF(ТаблицаВыработки[[#This Row],[Тип смены]]="Ночь",3300,""))</f>
        <v/>
      </c>
      <c r="H178" s="14" t="n"/>
      <c r="I178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78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79">
      <c r="A179" s="5" t="n"/>
      <c r="B179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79" s="2" t="n"/>
      <c r="D179" s="2" t="n"/>
      <c r="E179" s="2" t="n"/>
      <c r="F179" s="8" t="n"/>
      <c r="G179" s="11">
        <f>IF(ТаблицаВыработки[[#This Row],[Тип смены]]="День",2700,IF(ТаблицаВыработки[[#This Row],[Тип смены]]="Ночь",3300,""))</f>
        <v/>
      </c>
      <c r="H179" s="14" t="n"/>
      <c r="I179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79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80">
      <c r="A180" s="5" t="n"/>
      <c r="B180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80" s="2" t="n"/>
      <c r="D180" s="2" t="n"/>
      <c r="E180" s="2" t="n"/>
      <c r="F180" s="8" t="n"/>
      <c r="G180" s="11">
        <f>IF(ТаблицаВыработки[[#This Row],[Тип смены]]="День",2700,IF(ТаблицаВыработки[[#This Row],[Тип смены]]="Ночь",3300,""))</f>
        <v/>
      </c>
      <c r="H180" s="14" t="n"/>
      <c r="I180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80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81">
      <c r="A181" s="5" t="n"/>
      <c r="B181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81" s="2" t="n"/>
      <c r="D181" s="2" t="n"/>
      <c r="E181" s="2" t="n"/>
      <c r="F181" s="8" t="n"/>
      <c r="G181" s="11">
        <f>IF(ТаблицаВыработки[[#This Row],[Тип смены]]="День",2700,IF(ТаблицаВыработки[[#This Row],[Тип смены]]="Ночь",3300,""))</f>
        <v/>
      </c>
      <c r="H181" s="14" t="n"/>
      <c r="I181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81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82">
      <c r="A182" s="5" t="n"/>
      <c r="B182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82" s="2" t="n"/>
      <c r="D182" s="2" t="n"/>
      <c r="E182" s="2" t="n"/>
      <c r="F182" s="8" t="n"/>
      <c r="G182" s="11">
        <f>IF(ТаблицаВыработки[[#This Row],[Тип смены]]="День",2700,IF(ТаблицаВыработки[[#This Row],[Тип смены]]="Ночь",3300,""))</f>
        <v/>
      </c>
      <c r="H182" s="14" t="n"/>
      <c r="I182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82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83">
      <c r="A183" s="5" t="n"/>
      <c r="B183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83" s="2" t="n"/>
      <c r="D183" s="2" t="n"/>
      <c r="E183" s="2" t="n"/>
      <c r="F183" s="8" t="n"/>
      <c r="G183" s="11">
        <f>IF(ТаблицаВыработки[[#This Row],[Тип смены]]="День",2700,IF(ТаблицаВыработки[[#This Row],[Тип смены]]="Ночь",3300,""))</f>
        <v/>
      </c>
      <c r="H183" s="14" t="n"/>
      <c r="I183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83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84">
      <c r="A184" s="5" t="n"/>
      <c r="B184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84" s="2" t="n"/>
      <c r="D184" s="2" t="n"/>
      <c r="E184" s="2" t="n"/>
      <c r="F184" s="8" t="n"/>
      <c r="G184" s="11">
        <f>IF(ТаблицаВыработки[[#This Row],[Тип смены]]="День",2700,IF(ТаблицаВыработки[[#This Row],[Тип смены]]="Ночь",3300,""))</f>
        <v/>
      </c>
      <c r="H184" s="14" t="n"/>
      <c r="I184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84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85">
      <c r="A185" s="5" t="n"/>
      <c r="B185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85" s="2" t="n"/>
      <c r="D185" s="2" t="n"/>
      <c r="E185" s="2" t="n"/>
      <c r="F185" s="8" t="n"/>
      <c r="G185" s="11">
        <f>IF(ТаблицаВыработки[[#This Row],[Тип смены]]="День",2700,IF(ТаблицаВыработки[[#This Row],[Тип смены]]="Ночь",3300,""))</f>
        <v/>
      </c>
      <c r="H185" s="14" t="n"/>
      <c r="I185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85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86">
      <c r="A186" s="5" t="n"/>
      <c r="B186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86" s="2" t="n"/>
      <c r="D186" s="2" t="n"/>
      <c r="E186" s="2" t="n"/>
      <c r="F186" s="8" t="n"/>
      <c r="G186" s="11">
        <f>IF(ТаблицаВыработки[[#This Row],[Тип смены]]="День",2700,IF(ТаблицаВыработки[[#This Row],[Тип смены]]="Ночь",3300,""))</f>
        <v/>
      </c>
      <c r="H186" s="14" t="n"/>
      <c r="I186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86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87">
      <c r="A187" s="5" t="n"/>
      <c r="B187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87" s="2" t="n"/>
      <c r="D187" s="2" t="n"/>
      <c r="E187" s="2" t="n"/>
      <c r="F187" s="8" t="n"/>
      <c r="G187" s="11">
        <f>IF(ТаблицаВыработки[[#This Row],[Тип смены]]="День",2700,IF(ТаблицаВыработки[[#This Row],[Тип смены]]="Ночь",3300,""))</f>
        <v/>
      </c>
      <c r="H187" s="14" t="n"/>
      <c r="I187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87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88">
      <c r="A188" s="5" t="n"/>
      <c r="B188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88" s="2" t="n"/>
      <c r="D188" s="2" t="n"/>
      <c r="E188" s="2" t="n"/>
      <c r="F188" s="8" t="n"/>
      <c r="G188" s="11">
        <f>IF(ТаблицаВыработки[[#This Row],[Тип смены]]="День",2700,IF(ТаблицаВыработки[[#This Row],[Тип смены]]="Ночь",3300,""))</f>
        <v/>
      </c>
      <c r="H188" s="14" t="n"/>
      <c r="I188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88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89">
      <c r="A189" s="5" t="n"/>
      <c r="B189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89" s="2" t="n"/>
      <c r="D189" s="2" t="n"/>
      <c r="E189" s="2" t="n"/>
      <c r="F189" s="8" t="n"/>
      <c r="G189" s="11">
        <f>IF(ТаблицаВыработки[[#This Row],[Тип смены]]="День",2700,IF(ТаблицаВыработки[[#This Row],[Тип смены]]="Ночь",3300,""))</f>
        <v/>
      </c>
      <c r="H189" s="14" t="n"/>
      <c r="I189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89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90">
      <c r="A190" s="5" t="n"/>
      <c r="B190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90" s="2" t="n"/>
      <c r="D190" s="2" t="n"/>
      <c r="E190" s="2" t="n"/>
      <c r="F190" s="8" t="n"/>
      <c r="G190" s="11">
        <f>IF(ТаблицаВыработки[[#This Row],[Тип смены]]="День",2700,IF(ТаблицаВыработки[[#This Row],[Тип смены]]="Ночь",3300,""))</f>
        <v/>
      </c>
      <c r="H190" s="14" t="n"/>
      <c r="I190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90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91">
      <c r="A191" s="5" t="n"/>
      <c r="B191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91" s="2" t="n"/>
      <c r="D191" s="2" t="n"/>
      <c r="E191" s="2" t="n"/>
      <c r="F191" s="8" t="n"/>
      <c r="G191" s="11">
        <f>IF(ТаблицаВыработки[[#This Row],[Тип смены]]="День",2700,IF(ТаблицаВыработки[[#This Row],[Тип смены]]="Ночь",3300,""))</f>
        <v/>
      </c>
      <c r="H191" s="14" t="n"/>
      <c r="I191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91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92">
      <c r="A192" s="5" t="n"/>
      <c r="B192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92" s="2" t="n"/>
      <c r="D192" s="2" t="n"/>
      <c r="E192" s="2" t="n"/>
      <c r="F192" s="8" t="n"/>
      <c r="G192" s="11">
        <f>IF(ТаблицаВыработки[[#This Row],[Тип смены]]="День",2700,IF(ТаблицаВыработки[[#This Row],[Тип смены]]="Ночь",3300,""))</f>
        <v/>
      </c>
      <c r="H192" s="14" t="n"/>
      <c r="I192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92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93">
      <c r="A193" s="5" t="n"/>
      <c r="B193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93" s="2" t="n"/>
      <c r="D193" s="2" t="n"/>
      <c r="E193" s="2" t="n"/>
      <c r="F193" s="8" t="n"/>
      <c r="G193" s="11">
        <f>IF(ТаблицаВыработки[[#This Row],[Тип смены]]="День",2700,IF(ТаблицаВыработки[[#This Row],[Тип смены]]="Ночь",3300,""))</f>
        <v/>
      </c>
      <c r="H193" s="14" t="n"/>
      <c r="I193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93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94">
      <c r="A194" s="5" t="n"/>
      <c r="B194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94" s="2" t="n"/>
      <c r="D194" s="2" t="n"/>
      <c r="E194" s="2" t="n"/>
      <c r="F194" s="8" t="n"/>
      <c r="G194" s="11">
        <f>IF(ТаблицаВыработки[[#This Row],[Тип смены]]="День",2700,IF(ТаблицаВыработки[[#This Row],[Тип смены]]="Ночь",3300,""))</f>
        <v/>
      </c>
      <c r="H194" s="14" t="n"/>
      <c r="I194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94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95">
      <c r="A195" s="5" t="n"/>
      <c r="B195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95" s="2" t="n"/>
      <c r="D195" s="2" t="n"/>
      <c r="E195" s="2" t="n"/>
      <c r="F195" s="8" t="n"/>
      <c r="G195" s="11">
        <f>IF(ТаблицаВыработки[[#This Row],[Тип смены]]="День",2700,IF(ТаблицаВыработки[[#This Row],[Тип смены]]="Ночь",3300,""))</f>
        <v/>
      </c>
      <c r="H195" s="14" t="n"/>
      <c r="I195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95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96">
      <c r="A196" s="5" t="n"/>
      <c r="B196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96" s="2" t="n"/>
      <c r="D196" s="2" t="n"/>
      <c r="E196" s="2" t="n"/>
      <c r="F196" s="8" t="n"/>
      <c r="G196" s="11">
        <f>IF(ТаблицаВыработки[[#This Row],[Тип смены]]="День",2700,IF(ТаблицаВыработки[[#This Row],[Тип смены]]="Ночь",3300,""))</f>
        <v/>
      </c>
      <c r="H196" s="14" t="n"/>
      <c r="I196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96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97">
      <c r="A197" s="5" t="n"/>
      <c r="B197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97" s="2" t="n"/>
      <c r="D197" s="2" t="n"/>
      <c r="E197" s="2" t="n"/>
      <c r="F197" s="8" t="n"/>
      <c r="G197" s="11">
        <f>IF(ТаблицаВыработки[[#This Row],[Тип смены]]="День",2700,IF(ТаблицаВыработки[[#This Row],[Тип смены]]="Ночь",3300,""))</f>
        <v/>
      </c>
      <c r="H197" s="14" t="n"/>
      <c r="I197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97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98">
      <c r="A198" s="5" t="n"/>
      <c r="B198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98" s="2" t="n"/>
      <c r="D198" s="2" t="n"/>
      <c r="E198" s="2" t="n"/>
      <c r="F198" s="8" t="n"/>
      <c r="G198" s="11">
        <f>IF(ТаблицаВыработки[[#This Row],[Тип смены]]="День",2700,IF(ТаблицаВыработки[[#This Row],[Тип смены]]="Ночь",3300,""))</f>
        <v/>
      </c>
      <c r="H198" s="14" t="n"/>
      <c r="I198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98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199">
      <c r="A199" s="5" t="n"/>
      <c r="B199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199" s="2" t="n"/>
      <c r="D199" s="2" t="n"/>
      <c r="E199" s="2" t="n"/>
      <c r="F199" s="8" t="n"/>
      <c r="G199" s="11">
        <f>IF(ТаблицаВыработки[[#This Row],[Тип смены]]="День",2700,IF(ТаблицаВыработки[[#This Row],[Тип смены]]="Ночь",3300,""))</f>
        <v/>
      </c>
      <c r="H199" s="14" t="n"/>
      <c r="I199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199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200">
      <c r="A200" s="5" t="n"/>
      <c r="B200" s="16">
        <f>IF(ТаблицаВыработки[[#This Row],[Дата]]="","",DATE(VALUE(RIGHT(ТаблицаВыработки[[#This Row],[Дата]],4)),VALUE(MID(ТаблицаВыработки[[#This Row],[Дата]],4,2)),1))</f>
        <v/>
      </c>
      <c r="C200" s="2" t="n"/>
      <c r="D200" s="2" t="n"/>
      <c r="E200" s="2" t="n"/>
      <c r="F200" s="8" t="n"/>
      <c r="G200" s="11">
        <f>IF(ТаблицаВыработки[[#This Row],[Тип смены]]="День",2700,IF(ТаблицаВыработки[[#This Row],[Тип смены]]="Ночь",3300,""))</f>
        <v/>
      </c>
      <c r="H200" s="14" t="n"/>
      <c r="I200" s="14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200" s="14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  <row r="201">
      <c r="A201" s="6" t="n"/>
      <c r="B201" s="17">
        <f>IF(ТаблицаВыработки[[#This Row],[Дата]]="","",DATE(VALUE(RIGHT(ТаблицаВыработки[[#This Row],[Дата]],4)),VALUE(MID(ТаблицаВыработки[[#This Row],[Дата]],4,2)),1))</f>
        <v/>
      </c>
      <c r="C201" s="3" t="n"/>
      <c r="D201" s="3" t="n"/>
      <c r="E201" s="3" t="n"/>
      <c r="F201" s="9" t="n"/>
      <c r="G201" s="12">
        <f>IF(ТаблицаВыработки[[#This Row],[Тип смены]]="День",2700,IF(ТаблицаВыработки[[#This Row],[Тип смены]]="Ночь",3300,""))</f>
        <v/>
      </c>
      <c r="H201" s="15" t="n"/>
      <c r="I201" s="15">
        <f>SUMIFS(рапорт!$K:$K,рапорт!$A:$A,DATE(VALUE(RIGHT(ТаблицаВыработки[[#This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  <c r="J201" s="15">
        <f>SUMIFS(рапорт!$L:$L,рапорт!$A:$A,DATE(VALUE(RIGHT(ТаблицаВыработки[[#This Row],[Дата]],4)),VALUE(MID(ТаблицаВыработки[[#This Row],[Дата]],4,2)),VALUE(LEFT(ТаблицаВыработки[[#This Row],[Дата]],2))),рапорт!$D:$D,LOWER(ТаблицаВыработки[[#This Row],[Тип смены]])&amp;"*",рапорт!$E:$E,LEFT(ТаблицаВыработки[[#This Row],[Мастер]],SEARCH(" ",ТаблицаВыработки[[#This Row],[Мастер]]&amp;" ")-1)&amp;"*")</f>
        <v/>
      </c>
    </row>
  </sheetData>
  <dataValidations count="4">
    <dataValidation sqref="D2:D201" showDropDown="0" showInputMessage="1" showErrorMessage="1" allowBlank="1" promptTitle="Линия" prompt="Выберите Линия 1 или Линия 2" type="list">
      <formula1>"Линия 1,Линия 2"</formula1>
    </dataValidation>
    <dataValidation sqref="C2:C201" showDropDown="0" showInputMessage="1" showErrorMessage="1" allowBlank="1" promptTitle="Тип смены" prompt="Выберите День или Ночь" type="list">
      <formula1>"День,Ночь"</formula1>
    </dataValidation>
    <dataValidation sqref="E2:E201" showDropDown="0" showInputMessage="1" showErrorMessage="1" allowBlank="1" errorTitle="Некорректный мастер" error="Выберите значение из выпадающего списка." promptTitle="Выберите мастера" prompt="Выберите мастера из списка." type="list">
      <formula1>MasterList</formula1>
    </dataValidation>
    <dataValidation sqref="F2:F201" showDropDown="0" showInputMessage="1" showErrorMessage="1" allowBlank="1" errorTitle="Некорректная смена" error="Выберите значение из выпадающего списка." promptTitle="Выберите смену" prompt="Выберите номер смены из списка." type="list">
      <formula1>ShiftList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FFFF00"/>
    <outlinePr summaryBelow="1" summaryRight="1"/>
    <pageSetUpPr/>
  </sheetPr>
  <dimension ref="A1:AX1259"/>
  <sheetViews>
    <sheetView zoomScale="71" zoomScaleNormal="71" workbookViewId="0">
      <pane xSplit="4" ySplit="2" topLeftCell="E203" activePane="bottomRight" state="frozen"/>
      <selection activeCell="F8" sqref="F8"/>
      <selection pane="topRight" activeCell="F8" sqref="F8"/>
      <selection pane="bottomLeft" activeCell="F8" sqref="F8"/>
      <selection pane="bottomRight" activeCell="A220" sqref="A220:XFD220"/>
    </sheetView>
  </sheetViews>
  <sheetFormatPr baseColWidth="8" defaultColWidth="9.140625" defaultRowHeight="12.75"/>
  <cols>
    <col width="10.5703125" customWidth="1" style="43" min="1" max="1"/>
    <col width="6.5703125" customWidth="1" style="43" min="2" max="2"/>
    <col width="8.5703125" customWidth="1" style="43" min="3" max="3"/>
    <col width="10.7109375" customWidth="1" style="43" min="4" max="4"/>
    <col width="16.28515625" customWidth="1" style="43" min="5" max="5"/>
    <col width="22.7109375" customWidth="1" style="43" min="6" max="6"/>
    <col width="5.42578125" customWidth="1" style="43" min="7" max="7"/>
    <col width="9.7109375" customWidth="1" style="43" min="8" max="8"/>
    <col width="11.7109375" customWidth="1" style="43" min="9" max="9"/>
    <col width="8.7109375" customWidth="1" style="43" min="10" max="10"/>
    <col width="7.85546875" customWidth="1" style="43" min="11" max="11"/>
    <col width="7" customWidth="1" style="43" min="12" max="12"/>
    <col width="11.28515625" customWidth="1" style="43" min="13" max="13"/>
    <col width="8.28515625" customWidth="1" style="43" min="14" max="16"/>
    <col width="7.5703125" customWidth="1" style="43" min="17" max="17"/>
    <col width="8" customWidth="1" style="43" min="18" max="18"/>
    <col width="7.7109375" customWidth="1" style="43" min="19" max="19"/>
    <col width="7.42578125" customWidth="1" style="43" min="20" max="20"/>
    <col width="7.85546875" customWidth="1" style="43" min="21" max="21"/>
    <col width="12.140625" customWidth="1" style="43" min="22" max="22"/>
    <col width="9.140625" customWidth="1" style="43" min="23" max="23"/>
    <col width="10.28515625" customWidth="1" style="43" min="24" max="24"/>
    <col width="7.5703125" customWidth="1" style="43" min="25" max="25"/>
    <col width="9.7109375" customWidth="1" style="43" min="26" max="26"/>
    <col width="9.85546875" customWidth="1" style="43" min="27" max="28"/>
    <col width="10.5703125" customWidth="1" style="43" min="29" max="29"/>
    <col width="8.28515625" customWidth="1" style="43" min="30" max="30"/>
    <col width="10" bestFit="1" customWidth="1" style="43" min="31" max="31"/>
    <col width="8.5703125" bestFit="1" customWidth="1" style="43" min="32" max="32"/>
    <col width="6.85546875" bestFit="1" customWidth="1" style="43" min="33" max="33"/>
    <col width="10.140625" bestFit="1" customWidth="1" style="43" min="34" max="34"/>
    <col width="8.7109375" bestFit="1" customWidth="1" style="43" min="35" max="35"/>
    <col width="6.85546875" bestFit="1" customWidth="1" style="43" min="36" max="36"/>
    <col width="11.28515625" bestFit="1" customWidth="1" style="43" min="37" max="37"/>
    <col width="9.7109375" bestFit="1" customWidth="1" style="43" min="38" max="38"/>
    <col width="6.85546875" bestFit="1" customWidth="1" style="43" min="39" max="39"/>
    <col width="10.85546875" bestFit="1" customWidth="1" style="43" min="40" max="40"/>
    <col width="9.42578125" bestFit="1" customWidth="1" style="43" min="41" max="41"/>
    <col width="6.85546875" bestFit="1" customWidth="1" style="43" min="42" max="42"/>
    <col width="11.28515625" bestFit="1" customWidth="1" style="43" min="43" max="43"/>
    <col width="9.7109375" bestFit="1" customWidth="1" style="43" min="44" max="44"/>
    <col width="6.85546875" bestFit="1" customWidth="1" style="43" min="45" max="45"/>
    <col width="12" bestFit="1" customWidth="1" style="43" min="46" max="46"/>
    <col width="10.5703125" bestFit="1" customWidth="1" style="43" min="47" max="47"/>
    <col width="6.85546875" bestFit="1" customWidth="1" style="43" min="48" max="48"/>
    <col width="9.140625" customWidth="1" style="43" min="49" max="16384"/>
  </cols>
  <sheetData>
    <row r="1" ht="23.45" customHeight="1" s="35">
      <c r="A1" s="47" t="inlineStr">
        <is>
          <t>дата</t>
        </is>
      </c>
      <c r="B1" s="37" t="inlineStr">
        <is>
          <t>№ партии</t>
        </is>
      </c>
      <c r="C1" s="47" t="inlineStr">
        <is>
          <t>линия</t>
        </is>
      </c>
      <c r="D1" s="47" t="inlineStr">
        <is>
          <t>смена</t>
        </is>
      </c>
      <c r="E1" s="47" t="inlineStr">
        <is>
          <t>мастер</t>
        </is>
      </c>
      <c r="F1" s="47" t="inlineStr">
        <is>
          <t>продукт</t>
        </is>
      </c>
      <c r="G1" s="47" t="inlineStr">
        <is>
          <t>замес</t>
        </is>
      </c>
      <c r="H1" s="37" t="inlineStr">
        <is>
          <t>Формовка, лист</t>
        </is>
      </c>
      <c r="I1" s="37" t="inlineStr">
        <is>
          <t>Формовка, тонна</t>
        </is>
      </c>
      <c r="J1" s="37" t="inlineStr">
        <is>
          <t>На склад</t>
        </is>
      </c>
      <c r="K1" s="47" t="inlineStr">
        <is>
          <t>1-сорт</t>
        </is>
      </c>
      <c r="L1" s="47" t="inlineStr">
        <is>
          <t>брак</t>
        </is>
      </c>
      <c r="M1" s="37" t="inlineStr">
        <is>
          <t>количество сбросов наката</t>
        </is>
      </c>
      <c r="N1" s="47" t="inlineStr">
        <is>
          <t>асбест</t>
        </is>
      </c>
      <c r="O1" s="47" t="inlineStr">
        <is>
          <t>Цемент</t>
        </is>
      </c>
      <c r="P1" s="95" t="n"/>
      <c r="Q1" s="95" t="n"/>
      <c r="R1" s="96" t="n"/>
      <c r="S1" s="47" t="inlineStr">
        <is>
          <t>цемент</t>
        </is>
      </c>
      <c r="T1" s="47" t="inlineStr">
        <is>
          <t>асб-слив</t>
        </is>
      </c>
      <c r="U1" s="47" t="inlineStr">
        <is>
          <t>цем-слив</t>
        </is>
      </c>
      <c r="V1" s="39" t="inlineStr">
        <is>
          <t>Лапрорл</t>
        </is>
      </c>
      <c r="W1" s="97" t="n"/>
      <c r="X1" s="39" t="inlineStr">
        <is>
          <t>Целлюлоза</t>
        </is>
      </c>
      <c r="Y1" s="97" t="n"/>
      <c r="Z1" s="39" t="inlineStr">
        <is>
          <t>Стекловолокно</t>
        </is>
      </c>
      <c r="AA1" s="97" t="n"/>
      <c r="AB1" s="39" t="inlineStr">
        <is>
          <t>Д/ШИФЕР</t>
        </is>
      </c>
      <c r="AC1" s="97" t="n"/>
      <c r="AD1" s="47" t="inlineStr">
        <is>
          <t>асбозурит</t>
        </is>
      </c>
      <c r="AE1" s="47" t="inlineStr">
        <is>
          <t>норма А</t>
        </is>
      </c>
      <c r="AF1" s="47" t="inlineStr">
        <is>
          <t>факт А</t>
        </is>
      </c>
      <c r="AG1" s="47" t="inlineStr">
        <is>
          <t>откл</t>
        </is>
      </c>
      <c r="AH1" s="47" t="inlineStr">
        <is>
          <t>норма Ц</t>
        </is>
      </c>
      <c r="AI1" s="47" t="inlineStr">
        <is>
          <t>факт Ц</t>
        </is>
      </c>
      <c r="AJ1" s="47" t="inlineStr">
        <is>
          <t>откл</t>
        </is>
      </c>
      <c r="AK1" s="47" t="inlineStr">
        <is>
          <t>норма ЦЛ</t>
        </is>
      </c>
      <c r="AL1" s="47" t="inlineStr">
        <is>
          <t>факт ЦЛ</t>
        </is>
      </c>
      <c r="AM1" s="47" t="inlineStr">
        <is>
          <t>откл</t>
        </is>
      </c>
      <c r="AN1" s="47" t="inlineStr">
        <is>
          <t>норма СВ</t>
        </is>
      </c>
      <c r="AO1" s="47" t="inlineStr">
        <is>
          <t>факт СВ</t>
        </is>
      </c>
      <c r="AP1" s="47" t="inlineStr">
        <is>
          <t>откл</t>
        </is>
      </c>
      <c r="AQ1" s="47" t="inlineStr">
        <is>
          <t>норма ФБ</t>
        </is>
      </c>
      <c r="AR1" s="47" t="inlineStr">
        <is>
          <t>факт ФБ</t>
        </is>
      </c>
      <c r="AS1" s="47" t="inlineStr">
        <is>
          <t>откл</t>
        </is>
      </c>
      <c r="AT1" s="47" t="inlineStr">
        <is>
          <t>норма АСБ</t>
        </is>
      </c>
      <c r="AU1" s="47" t="inlineStr">
        <is>
          <t>факт АСБ</t>
        </is>
      </c>
      <c r="AV1" s="47" t="inlineStr">
        <is>
          <t>откл</t>
        </is>
      </c>
      <c r="AW1" s="42" t="n"/>
      <c r="AX1" s="47" t="inlineStr">
        <is>
          <t>масса, тн</t>
        </is>
      </c>
    </row>
    <row r="2" ht="39" customFormat="1" customHeight="1" s="49">
      <c r="A2" s="98" t="n"/>
      <c r="B2" s="98" t="n"/>
      <c r="C2" s="98" t="n"/>
      <c r="D2" s="98" t="n"/>
      <c r="E2" s="98" t="n"/>
      <c r="F2" s="98" t="n"/>
      <c r="G2" s="98" t="n"/>
      <c r="H2" s="98" t="n"/>
      <c r="I2" s="98" t="n"/>
      <c r="J2" s="98" t="n"/>
      <c r="K2" s="98" t="n"/>
      <c r="L2" s="98" t="n"/>
      <c r="M2" s="98" t="n"/>
      <c r="N2" s="98" t="n"/>
      <c r="O2" s="45" t="inlineStr">
        <is>
          <t>1 силос</t>
        </is>
      </c>
      <c r="P2" s="45" t="inlineStr">
        <is>
          <t>2 силос</t>
        </is>
      </c>
      <c r="Q2" s="45" t="inlineStr">
        <is>
          <t>3 силос</t>
        </is>
      </c>
      <c r="R2" s="45" t="inlineStr">
        <is>
          <t>4 силос</t>
        </is>
      </c>
      <c r="S2" s="98" t="n"/>
      <c r="T2" s="98" t="n"/>
      <c r="U2" s="98" t="n"/>
      <c r="V2" s="47" t="inlineStr">
        <is>
          <t>Приход</t>
        </is>
      </c>
      <c r="W2" s="47" t="inlineStr">
        <is>
          <t>Расход</t>
        </is>
      </c>
      <c r="X2" s="47" t="inlineStr">
        <is>
          <t>Приход</t>
        </is>
      </c>
      <c r="Y2" s="47" t="inlineStr">
        <is>
          <t>Расход</t>
        </is>
      </c>
      <c r="Z2" s="45" t="inlineStr">
        <is>
          <t>Приход</t>
        </is>
      </c>
      <c r="AA2" s="45" t="inlineStr">
        <is>
          <t>Расход</t>
        </is>
      </c>
      <c r="AB2" s="45" t="inlineStr">
        <is>
          <t>Приход</t>
        </is>
      </c>
      <c r="AC2" s="45" t="inlineStr">
        <is>
          <t>Расход</t>
        </is>
      </c>
      <c r="AD2" s="98" t="n"/>
      <c r="AE2" s="98" t="n"/>
      <c r="AF2" s="98" t="n"/>
      <c r="AG2" s="98" t="n"/>
      <c r="AH2" s="98" t="n"/>
      <c r="AI2" s="98" t="n"/>
      <c r="AJ2" s="98" t="n"/>
      <c r="AK2" s="98" t="n"/>
      <c r="AL2" s="98" t="n"/>
      <c r="AM2" s="98" t="n"/>
      <c r="AN2" s="98" t="n"/>
      <c r="AO2" s="98" t="n"/>
      <c r="AP2" s="98" t="n"/>
      <c r="AQ2" s="98" t="n"/>
      <c r="AR2" s="98" t="n"/>
      <c r="AS2" s="98" t="n"/>
      <c r="AT2" s="98" t="n"/>
      <c r="AU2" s="98" t="n"/>
      <c r="AV2" s="98" t="n"/>
      <c r="AW2" s="48" t="n"/>
      <c r="AX2" s="98" t="n"/>
    </row>
    <row r="3">
      <c r="A3" s="50" t="n">
        <v>46069</v>
      </c>
      <c r="B3" s="51" t="inlineStr">
        <is>
          <t>0001</t>
        </is>
      </c>
      <c r="C3" s="52" t="inlineStr">
        <is>
          <t>Линия 1</t>
        </is>
      </c>
      <c r="D3" s="53" t="inlineStr">
        <is>
          <t>день</t>
        </is>
      </c>
      <c r="E3" s="54" t="inlineStr">
        <is>
          <t>Монаев</t>
        </is>
      </c>
      <c r="F3" s="55" t="inlineStr">
        <is>
          <t>РП</t>
        </is>
      </c>
      <c r="G3" s="56" t="n">
        <v>9</v>
      </c>
      <c r="H3" s="56" t="n">
        <v>268</v>
      </c>
      <c r="I3" s="57">
        <f>IFERROR(H3*VLOOKUP(F3,[1]инфо!$A$15:$C$28,3,FALSE)/1000,0)</f>
        <v/>
      </c>
      <c r="J3" s="56" t="n"/>
      <c r="K3" s="55" t="n"/>
      <c r="L3" s="55" t="n"/>
      <c r="M3" s="55" t="n"/>
      <c r="N3" s="55" t="n">
        <v>908</v>
      </c>
      <c r="O3" s="58" t="n">
        <v>5400</v>
      </c>
      <c r="P3" s="58" t="n">
        <v>0</v>
      </c>
      <c r="Q3" s="58" t="n">
        <v>0</v>
      </c>
      <c r="R3" s="58" t="n">
        <v>0</v>
      </c>
      <c r="S3" s="59">
        <f>SUM(O3:R3)</f>
        <v/>
      </c>
      <c r="T3" s="52" t="n">
        <v>0</v>
      </c>
      <c r="U3" s="53" t="n">
        <v>0</v>
      </c>
      <c r="V3" s="58" t="n"/>
      <c r="W3" s="58" t="n"/>
      <c r="X3" s="58" t="n"/>
      <c r="Y3" s="52" t="n">
        <v>90</v>
      </c>
      <c r="Z3" s="58" t="n"/>
      <c r="AA3" s="58" t="n">
        <v>0</v>
      </c>
      <c r="AB3" s="58" t="n"/>
      <c r="AC3" s="60" t="n">
        <v>90</v>
      </c>
      <c r="AD3" s="53" t="n">
        <v>0</v>
      </c>
      <c r="AE3" s="61">
        <f>SUMIFS([1]инфо!$D$15:$D$28,[1]инфо!$A$15:$A$28,F3)</f>
        <v/>
      </c>
      <c r="AF3" s="62">
        <f>IF(H3=0,0,N3/H3)</f>
        <v/>
      </c>
      <c r="AG3" s="63">
        <f>AF3-AE3</f>
        <v/>
      </c>
      <c r="AH3" s="61">
        <f>SUMIFS([1]инфо!$E$15:$E$28,[1]инфо!$A$15:$A$28,F3)</f>
        <v/>
      </c>
      <c r="AI3" s="62">
        <f>IF(H3=0,0,S3/H3)</f>
        <v/>
      </c>
      <c r="AJ3" s="63">
        <f>AI3-AH3</f>
        <v/>
      </c>
      <c r="AK3" s="61">
        <f>SUMIFS([1]инфо!$F$15:$F$28,[1]инфо!$A$15:$A$28,F3)</f>
        <v/>
      </c>
      <c r="AL3" s="64">
        <f>IF(H3=0,0,Y3/H3)</f>
        <v/>
      </c>
      <c r="AM3" s="63">
        <f>AL3-AK3</f>
        <v/>
      </c>
      <c r="AN3" s="61">
        <f>SUMIFS([1]инфо!$G$15:$G$28,[1]инфо!$A$15:$A$28,F3)</f>
        <v/>
      </c>
      <c r="AO3" s="64">
        <f>IF(H3=0,0,AA3/H3)</f>
        <v/>
      </c>
      <c r="AP3" s="63">
        <f>AO3-AN3</f>
        <v/>
      </c>
      <c r="AQ3" s="61">
        <f>SUMIFS([1]инфо!$H$15:$H$28,[1]инфо!$A$15:$A$28,F3)</f>
        <v/>
      </c>
      <c r="AR3" s="62">
        <f>IF(H3=0,0,AC3/H3)</f>
        <v/>
      </c>
      <c r="AS3" s="63">
        <f>AR3-AQ3</f>
        <v/>
      </c>
      <c r="AT3" s="61">
        <f>SUMIFS([1]инфо!$I$15:$I$28,[1]инфо!$A$15:$A$28,F3)</f>
        <v/>
      </c>
      <c r="AU3" s="62">
        <f>IF(H3=0,0,AD3/H3)</f>
        <v/>
      </c>
      <c r="AV3" s="63">
        <f>AU3-AT3</f>
        <v/>
      </c>
      <c r="AX3" s="59">
        <f>SUMIFS([1]инфо!$C$15:$C$28,[1]инфо!$A$15:$A$28,F3)*H3</f>
        <v/>
      </c>
    </row>
    <row r="4">
      <c r="A4" s="50" t="n">
        <v>46069</v>
      </c>
      <c r="B4" s="65" t="inlineStr">
        <is>
          <t>0002</t>
        </is>
      </c>
      <c r="C4" s="52" t="inlineStr">
        <is>
          <t>Линия 1</t>
        </is>
      </c>
      <c r="D4" s="53" t="inlineStr">
        <is>
          <t>ночь</t>
        </is>
      </c>
      <c r="E4" s="66" t="inlineStr">
        <is>
          <t>Дауылбай</t>
        </is>
      </c>
      <c r="F4" s="67" t="inlineStr">
        <is>
          <t>РП коричневый</t>
        </is>
      </c>
      <c r="G4" s="68" t="n">
        <v>27</v>
      </c>
      <c r="H4" s="68" t="n">
        <v>1265</v>
      </c>
      <c r="I4" s="57">
        <f>IFERROR(H4*VLOOKUP(F4,[1]инфо!$A$15:$C$28,3,FALSE)/1000,0)</f>
        <v/>
      </c>
      <c r="J4" s="68" t="n"/>
      <c r="K4" s="68" t="n">
        <v>13</v>
      </c>
      <c r="L4" s="68" t="n">
        <v>47</v>
      </c>
      <c r="M4" s="55" t="n"/>
      <c r="N4" s="55" t="n">
        <v>2706</v>
      </c>
      <c r="O4" s="58" t="n">
        <v>16186</v>
      </c>
      <c r="P4" s="58" t="n"/>
      <c r="Q4" s="58" t="n"/>
      <c r="R4" s="58" t="n"/>
      <c r="S4" s="59">
        <f>SUM(O4:R4)</f>
        <v/>
      </c>
      <c r="T4" s="52" t="n"/>
      <c r="U4" s="53" t="n"/>
      <c r="V4" s="58" t="n"/>
      <c r="W4" s="58" t="n"/>
      <c r="X4" s="58" t="n"/>
      <c r="Y4" s="52" t="n">
        <v>270</v>
      </c>
      <c r="Z4" s="58" t="n"/>
      <c r="AA4" s="58" t="n"/>
      <c r="AB4" s="58" t="n"/>
      <c r="AC4" s="69" t="n">
        <v>270</v>
      </c>
      <c r="AD4" s="53" t="n"/>
      <c r="AE4" s="61">
        <f>SUMIFS([1]инфо!$D$15:$D$28,[1]инфо!$A$15:$A$28,F4)</f>
        <v/>
      </c>
      <c r="AF4" s="62">
        <f>IF(H4=0,0,N4/H4)</f>
        <v/>
      </c>
      <c r="AG4" s="63">
        <f>AF4-AE4</f>
        <v/>
      </c>
      <c r="AH4" s="61">
        <f>SUMIFS([1]инфо!$E$15:$E$28,[1]инфо!$A$15:$A$28,F4)</f>
        <v/>
      </c>
      <c r="AI4" s="64">
        <f>IF(H4=0,0,S4/H4)</f>
        <v/>
      </c>
      <c r="AJ4" s="63">
        <f>AI4-AH4</f>
        <v/>
      </c>
      <c r="AK4" s="61">
        <f>SUMIFS([1]инфо!$F$15:$F$28,[1]инфо!$A$15:$A$28,F4)</f>
        <v/>
      </c>
      <c r="AL4" s="64">
        <f>IF(H4=0,0,Y4/H4)</f>
        <v/>
      </c>
      <c r="AM4" s="63">
        <f>AL4-AK4</f>
        <v/>
      </c>
      <c r="AN4" s="61">
        <f>SUMIFS([1]инфо!$G$15:$G$28,[1]инфо!$A$15:$A$28,F4)</f>
        <v/>
      </c>
      <c r="AO4" s="64">
        <f>IF(H4=0,0,AA4/H4)</f>
        <v/>
      </c>
      <c r="AP4" s="63">
        <f>AO4-AN4</f>
        <v/>
      </c>
      <c r="AQ4" s="61">
        <f>SUMIFS([1]инфо!$H$15:$H$28,[1]инфо!$A$15:$A$28,F4)</f>
        <v/>
      </c>
      <c r="AR4" s="62">
        <f>IF(H4=0,0,AC4/H4)</f>
        <v/>
      </c>
      <c r="AS4" s="63">
        <f>AR4-AQ4</f>
        <v/>
      </c>
      <c r="AT4" s="61">
        <f>SUMIFS([1]инфо!$I$15:$I$28,[1]инфо!$A$15:$A$28,F4)</f>
        <v/>
      </c>
      <c r="AU4" s="62">
        <f>IF(H4=0,0,AD4/H4)</f>
        <v/>
      </c>
      <c r="AV4" s="63">
        <f>AU4-AT4</f>
        <v/>
      </c>
      <c r="AX4" s="70">
        <f>SUMIFS([1]инфо!$C$15:$C$28,[1]инфо!$A$15:$A$28,F4)*H4</f>
        <v/>
      </c>
    </row>
    <row r="5">
      <c r="A5" s="71">
        <f>A3+1</f>
        <v/>
      </c>
      <c r="B5" s="65" t="inlineStr">
        <is>
          <t>0003</t>
        </is>
      </c>
      <c r="C5" s="72" t="inlineStr">
        <is>
          <t>Линия 1</t>
        </is>
      </c>
      <c r="D5" s="73" t="inlineStr">
        <is>
          <t>день</t>
        </is>
      </c>
      <c r="E5" s="66" t="inlineStr">
        <is>
          <t>Султанулы</t>
        </is>
      </c>
      <c r="F5" s="67" t="inlineStr">
        <is>
          <t>РП коричневый</t>
        </is>
      </c>
      <c r="G5" s="68" t="n">
        <v>20</v>
      </c>
      <c r="H5" s="68" t="n">
        <v>996</v>
      </c>
      <c r="I5" s="57">
        <f>IFERROR(H5*VLOOKUP(F5,[1]инфо!$A$15:$C$28,3,FALSE)/1000,0)</f>
        <v/>
      </c>
      <c r="J5" s="68" t="n"/>
      <c r="K5" s="68" t="n">
        <v>12</v>
      </c>
      <c r="L5" s="68" t="n"/>
      <c r="M5" s="67" t="n"/>
      <c r="N5" s="67" t="n">
        <v>2003</v>
      </c>
      <c r="O5" s="74" t="n">
        <v>12092</v>
      </c>
      <c r="P5" s="74" t="n"/>
      <c r="Q5" s="74" t="n"/>
      <c r="R5" s="74" t="n"/>
      <c r="S5" s="70">
        <f>SUM(O5:R5)</f>
        <v/>
      </c>
      <c r="T5" s="72" t="n"/>
      <c r="U5" s="73" t="n"/>
      <c r="V5" s="74" t="n"/>
      <c r="W5" s="74" t="n"/>
      <c r="X5" s="74" t="n"/>
      <c r="Y5" s="72" t="n">
        <v>200</v>
      </c>
      <c r="Z5" s="74" t="n"/>
      <c r="AA5" s="74" t="n"/>
      <c r="AB5" s="74" t="n"/>
      <c r="AC5" s="69" t="n">
        <v>190</v>
      </c>
      <c r="AD5" s="73" t="n"/>
      <c r="AE5" s="75">
        <f>SUMIFS([1]инфо!$D$15:$D$28,[1]инфо!$A$15:$A$28,F5)</f>
        <v/>
      </c>
      <c r="AF5" s="62">
        <f>IF(H5=0,0,N5/H5)</f>
        <v/>
      </c>
      <c r="AG5" s="76">
        <f>AF5-AE5</f>
        <v/>
      </c>
      <c r="AH5" s="61">
        <f>SUMIFS([1]инфо!$E$15:$E$28,[1]инфо!$A$15:$A$28,F5)</f>
        <v/>
      </c>
      <c r="AI5" s="64">
        <f>IF(H5=0,0,S5/H5)</f>
        <v/>
      </c>
      <c r="AJ5" s="76">
        <f>AI5-AH5</f>
        <v/>
      </c>
      <c r="AK5" s="75">
        <f>SUMIFS([1]инфо!$F$15:$F$28,[1]инфо!$A$15:$A$28,F5)</f>
        <v/>
      </c>
      <c r="AL5" s="64">
        <f>IF(H5=0,0,Y5/H5)</f>
        <v/>
      </c>
      <c r="AM5" s="76">
        <f>AL5-AK5</f>
        <v/>
      </c>
      <c r="AN5" s="75">
        <f>SUMIFS([1]инфо!$G$15:$G$28,[1]инфо!$A$15:$A$28,F5)</f>
        <v/>
      </c>
      <c r="AO5" s="64">
        <f>IF(H5=0,0,AA5/H5)</f>
        <v/>
      </c>
      <c r="AP5" s="76">
        <f>AO5-AN5</f>
        <v/>
      </c>
      <c r="AQ5" s="75">
        <f>SUMIFS([1]инфо!$H$15:$H$28,[1]инфо!$A$15:$A$28,F5)</f>
        <v/>
      </c>
      <c r="AR5" s="62">
        <f>IF(H5=0,0,AC5/H5)</f>
        <v/>
      </c>
      <c r="AS5" s="76">
        <f>AR5-AQ5</f>
        <v/>
      </c>
      <c r="AT5" s="75">
        <f>SUMIFS([1]инфо!$I$15:$I$28,[1]инфо!$A$15:$A$28,F5)</f>
        <v/>
      </c>
      <c r="AU5" s="62">
        <f>IF(H5=0,0,AD5/H5)</f>
        <v/>
      </c>
      <c r="AV5" s="76">
        <f>AU5-AT5</f>
        <v/>
      </c>
      <c r="AX5" s="70">
        <f>SUMIFS([1]инфо!$C$15:$C$28,[1]инфо!$A$15:$A$28,F5)*H5</f>
        <v/>
      </c>
    </row>
    <row r="6">
      <c r="A6" s="71" t="n">
        <v>46070</v>
      </c>
      <c r="B6" s="65" t="inlineStr">
        <is>
          <t>0004</t>
        </is>
      </c>
      <c r="C6" s="72" t="inlineStr">
        <is>
          <t>Линия 1</t>
        </is>
      </c>
      <c r="D6" s="73" t="inlineStr">
        <is>
          <t>ночь</t>
        </is>
      </c>
      <c r="E6" s="66" t="inlineStr">
        <is>
          <t>Монаев</t>
        </is>
      </c>
      <c r="F6" s="67" t="inlineStr">
        <is>
          <t>РП коричневый</t>
        </is>
      </c>
      <c r="G6" s="68" t="n">
        <v>31</v>
      </c>
      <c r="H6" s="68" t="n">
        <v>1441</v>
      </c>
      <c r="I6" s="57">
        <f>IFERROR(H6*VLOOKUP(F6,[1]инфо!$A$15:$C$28,3,FALSE)/1000,0)</f>
        <v/>
      </c>
      <c r="J6" s="68" t="n"/>
      <c r="K6" s="68" t="n">
        <v>2</v>
      </c>
      <c r="L6" s="68" t="n">
        <v>4</v>
      </c>
      <c r="M6" s="67" t="n"/>
      <c r="N6" s="67" t="n">
        <v>3117</v>
      </c>
      <c r="O6" s="74" t="n">
        <v>18988</v>
      </c>
      <c r="P6" s="74" t="n"/>
      <c r="Q6" s="74" t="n"/>
      <c r="R6" s="74" t="n"/>
      <c r="S6" s="70">
        <f>SUM(O6:R6)</f>
        <v/>
      </c>
      <c r="T6" s="72" t="n"/>
      <c r="U6" s="73" t="n"/>
      <c r="V6" s="74" t="n"/>
      <c r="W6" s="74" t="n"/>
      <c r="X6" s="74" t="n"/>
      <c r="Y6" s="72" t="n">
        <v>310</v>
      </c>
      <c r="Z6" s="74" t="n"/>
      <c r="AA6" s="74" t="n"/>
      <c r="AB6" s="74" t="n"/>
      <c r="AC6" s="69" t="n">
        <v>310</v>
      </c>
      <c r="AD6" s="73" t="n">
        <v>155</v>
      </c>
      <c r="AE6" s="75">
        <f>SUMIFS([1]инфо!$D$15:$D$28,[1]инфо!$A$15:$A$28,F6)</f>
        <v/>
      </c>
      <c r="AF6" s="62">
        <f>IF(H6=0,0,N6/H6)</f>
        <v/>
      </c>
      <c r="AG6" s="76">
        <f>AF6-AE6</f>
        <v/>
      </c>
      <c r="AH6" s="61">
        <f>SUMIFS([1]инфо!$E$15:$E$28,[1]инфо!$A$15:$A$28,F6)</f>
        <v/>
      </c>
      <c r="AI6" s="64">
        <f>IF(H6=0,0,S6/H6)</f>
        <v/>
      </c>
      <c r="AJ6" s="76">
        <f>AI6-AH6</f>
        <v/>
      </c>
      <c r="AK6" s="75">
        <f>SUMIFS([1]инфо!$F$15:$F$28,[1]инфо!$A$15:$A$28,F6)</f>
        <v/>
      </c>
      <c r="AL6" s="64">
        <f>IF(H6=0,0,Y6/H6)</f>
        <v/>
      </c>
      <c r="AM6" s="76">
        <f>AL6-AK6</f>
        <v/>
      </c>
      <c r="AN6" s="75">
        <f>SUMIFS([1]инфо!$G$15:$G$28,[1]инфо!$A$15:$A$28,F6)</f>
        <v/>
      </c>
      <c r="AO6" s="64">
        <f>IF(H6=0,0,AA6/H6)</f>
        <v/>
      </c>
      <c r="AP6" s="76">
        <f>AO6-AN6</f>
        <v/>
      </c>
      <c r="AQ6" s="75">
        <f>SUMIFS([1]инфо!$H$15:$H$28,[1]инфо!$A$15:$A$28,F6)</f>
        <v/>
      </c>
      <c r="AR6" s="62">
        <f>IF(H6=0,0,AC6/H6)</f>
        <v/>
      </c>
      <c r="AS6" s="76">
        <f>AR6-AQ6</f>
        <v/>
      </c>
      <c r="AT6" s="75">
        <f>SUMIFS([1]инфо!$I$15:$I$28,[1]инфо!$A$15:$A$28,F6)</f>
        <v/>
      </c>
      <c r="AU6" s="62">
        <f>IF(H6=0,0,AD6/H6)</f>
        <v/>
      </c>
      <c r="AV6" s="76">
        <f>AU6-AT6</f>
        <v/>
      </c>
      <c r="AX6" s="70">
        <f>SUMIFS([1]инфо!$C$15:$C$28,[1]инфо!$A$15:$A$28,F6)*H6</f>
        <v/>
      </c>
    </row>
    <row r="7">
      <c r="A7" s="50" t="n">
        <v>46071</v>
      </c>
      <c r="B7" s="65" t="inlineStr">
        <is>
          <t>0005</t>
        </is>
      </c>
      <c r="C7" s="52" t="inlineStr">
        <is>
          <t>Линия 1</t>
        </is>
      </c>
      <c r="D7" s="53" t="inlineStr">
        <is>
          <t>день</t>
        </is>
      </c>
      <c r="E7" s="66" t="inlineStr">
        <is>
          <t>Султанулы</t>
        </is>
      </c>
      <c r="F7" s="67" t="inlineStr">
        <is>
          <t>РП коричневый</t>
        </is>
      </c>
      <c r="G7" s="68" t="n">
        <v>13</v>
      </c>
      <c r="H7" s="68" t="n">
        <v>612</v>
      </c>
      <c r="I7" s="57">
        <f>IFERROR(H7*VLOOKUP(F7,[1]инфо!$A$15:$C$28,3,FALSE)/1000,0)</f>
        <v/>
      </c>
      <c r="J7" s="68" t="n"/>
      <c r="K7" s="68" t="n">
        <v>4</v>
      </c>
      <c r="L7" s="68" t="n">
        <v>6</v>
      </c>
      <c r="M7" s="55" t="n"/>
      <c r="N7" s="55" t="n">
        <v>1328</v>
      </c>
      <c r="O7" s="58" t="n">
        <v>1223</v>
      </c>
      <c r="P7" s="58" t="n">
        <v>6617</v>
      </c>
      <c r="Q7" s="58" t="n"/>
      <c r="R7" s="58" t="n"/>
      <c r="S7" s="59">
        <f>SUM(O7:R7)</f>
        <v/>
      </c>
      <c r="T7" s="52" t="n"/>
      <c r="U7" s="53" t="n"/>
      <c r="V7" s="58" t="n"/>
      <c r="W7" s="58" t="n"/>
      <c r="X7" s="58" t="n"/>
      <c r="Y7" s="52" t="n">
        <v>130</v>
      </c>
      <c r="Z7" s="58" t="n"/>
      <c r="AA7" s="58" t="n"/>
      <c r="AB7" s="58" t="n"/>
      <c r="AC7" s="69" t="n">
        <v>110</v>
      </c>
      <c r="AD7" s="53" t="n"/>
      <c r="AE7" s="61">
        <f>SUMIFS([1]инфо!$D$15:$D$28,[1]инфо!$A$15:$A$28,F7)</f>
        <v/>
      </c>
      <c r="AF7" s="62">
        <f>IF(H7=0,0,N7/H7)</f>
        <v/>
      </c>
      <c r="AG7" s="63">
        <f>AF7-AE7</f>
        <v/>
      </c>
      <c r="AH7" s="61">
        <f>SUMIFS([1]инфо!$E$15:$E$28,[1]инфо!$A$15:$A$28,F7)</f>
        <v/>
      </c>
      <c r="AI7" s="64">
        <f>IF(H7=0,0,S7/H7)</f>
        <v/>
      </c>
      <c r="AJ7" s="63">
        <f>AI7-AH7</f>
        <v/>
      </c>
      <c r="AK7" s="61">
        <f>SUMIFS([1]инфо!$F$15:$F$28,[1]инфо!$A$15:$A$28,F7)</f>
        <v/>
      </c>
      <c r="AL7" s="64">
        <f>IF(H7=0,0,Y7/H7)</f>
        <v/>
      </c>
      <c r="AM7" s="63">
        <f>AL7-AK7</f>
        <v/>
      </c>
      <c r="AN7" s="61">
        <f>SUMIFS([1]инфо!$G$15:$G$28,[1]инфо!$A$15:$A$28,F7)</f>
        <v/>
      </c>
      <c r="AO7" s="64">
        <f>IF(H7=0,0,AA7/H7)</f>
        <v/>
      </c>
      <c r="AP7" s="63">
        <f>AO7-AN7</f>
        <v/>
      </c>
      <c r="AQ7" s="61">
        <f>SUMIFS([1]инфо!$H$15:$H$28,[1]инфо!$A$15:$A$28,F7)</f>
        <v/>
      </c>
      <c r="AR7" s="62">
        <f>IF(H7=0,0,AC7/H7)</f>
        <v/>
      </c>
      <c r="AS7" s="63">
        <f>AR7-AQ7</f>
        <v/>
      </c>
      <c r="AT7" s="61">
        <f>SUMIFS([1]инфо!$I$15:$I$28,[1]инфо!$A$15:$A$28,F7)</f>
        <v/>
      </c>
      <c r="AU7" s="62">
        <f>IF(H7=0,0,AD7/H7)</f>
        <v/>
      </c>
      <c r="AV7" s="63">
        <f>AU7-AT7</f>
        <v/>
      </c>
      <c r="AX7" s="70">
        <f>SUMIFS([1]инфо!$C$15:$C$28,[1]инфо!$A$15:$A$28,F7)*H7</f>
        <v/>
      </c>
    </row>
    <row r="8">
      <c r="A8" s="71">
        <f>A6+1</f>
        <v/>
      </c>
      <c r="B8" s="65" t="inlineStr">
        <is>
          <t>0006</t>
        </is>
      </c>
      <c r="C8" s="72" t="inlineStr">
        <is>
          <t>Линия 1</t>
        </is>
      </c>
      <c r="D8" s="73" t="inlineStr">
        <is>
          <t>ночь</t>
        </is>
      </c>
      <c r="E8" s="66" t="inlineStr">
        <is>
          <t>Монаев</t>
        </is>
      </c>
      <c r="F8" s="67" t="inlineStr">
        <is>
          <t>РП коричневый</t>
        </is>
      </c>
      <c r="G8" s="68" t="n">
        <v>31</v>
      </c>
      <c r="H8" s="68" t="n">
        <v>1491</v>
      </c>
      <c r="I8" s="57">
        <f>IFERROR(H8*VLOOKUP(F8,[1]инфо!$A$15:$C$28,3,FALSE)/1000,0)</f>
        <v/>
      </c>
      <c r="J8" s="68" t="n"/>
      <c r="K8" s="68" t="n">
        <v>17</v>
      </c>
      <c r="L8" s="68" t="n">
        <v>8</v>
      </c>
      <c r="M8" s="67" t="n"/>
      <c r="N8" s="67" t="n">
        <v>3117</v>
      </c>
      <c r="O8" s="74" t="n">
        <v>12200</v>
      </c>
      <c r="P8" s="74" t="n">
        <v>6719</v>
      </c>
      <c r="Q8" s="74" t="n"/>
      <c r="R8" s="74" t="n"/>
      <c r="S8" s="70">
        <f>SUM(O8:R8)</f>
        <v/>
      </c>
      <c r="T8" s="72" t="n"/>
      <c r="U8" s="73" t="n"/>
      <c r="V8" s="74" t="n"/>
      <c r="W8" s="74" t="n"/>
      <c r="X8" s="74" t="n"/>
      <c r="Y8" s="72" t="n">
        <v>310</v>
      </c>
      <c r="Z8" s="74" t="n"/>
      <c r="AA8" s="74" t="n"/>
      <c r="AB8" s="74" t="n"/>
      <c r="AC8" s="69" t="n">
        <v>310</v>
      </c>
      <c r="AD8" s="73" t="n"/>
      <c r="AE8" s="75">
        <f>SUMIFS([1]инфо!$D$15:$D$28,[1]инфо!$A$15:$A$28,F8)</f>
        <v/>
      </c>
      <c r="AF8" s="62">
        <f>IF(H8=0,0,N8/H8)</f>
        <v/>
      </c>
      <c r="AG8" s="76">
        <f>AF8-AE8</f>
        <v/>
      </c>
      <c r="AH8" s="61">
        <f>SUMIFS([1]инфо!$E$15:$E$28,[1]инфо!$A$15:$A$28,F8)</f>
        <v/>
      </c>
      <c r="AI8" s="64">
        <f>IF(H8=0,0,S8/H8)</f>
        <v/>
      </c>
      <c r="AJ8" s="76">
        <f>AI8-AH8</f>
        <v/>
      </c>
      <c r="AK8" s="75">
        <f>SUMIFS([1]инфо!$F$15:$F$28,[1]инфо!$A$15:$A$28,F8)</f>
        <v/>
      </c>
      <c r="AL8" s="64">
        <f>IF(H8=0,0,Y8/H8)</f>
        <v/>
      </c>
      <c r="AM8" s="76">
        <f>AL8-AK8</f>
        <v/>
      </c>
      <c r="AN8" s="75">
        <f>SUMIFS([1]инфо!$G$15:$G$28,[1]инфо!$A$15:$A$28,F8)</f>
        <v/>
      </c>
      <c r="AO8" s="64">
        <f>IF(H8=0,0,AA8/H8)</f>
        <v/>
      </c>
      <c r="AP8" s="76">
        <f>AO8-AN8</f>
        <v/>
      </c>
      <c r="AQ8" s="75">
        <f>SUMIFS([1]инфо!$H$15:$H$28,[1]инфо!$A$15:$A$28,F8)</f>
        <v/>
      </c>
      <c r="AR8" s="62">
        <f>IF(H8=0,0,AC8/H8)</f>
        <v/>
      </c>
      <c r="AS8" s="76">
        <f>AR8-AQ8</f>
        <v/>
      </c>
      <c r="AT8" s="75">
        <f>SUMIFS([1]инфо!$I$15:$I$28,[1]инфо!$A$15:$A$28,F8)</f>
        <v/>
      </c>
      <c r="AU8" s="62">
        <f>IF(H8=0,0,AD8/H8)</f>
        <v/>
      </c>
      <c r="AV8" s="76">
        <f>AU8-AT8</f>
        <v/>
      </c>
      <c r="AX8" s="70">
        <f>SUMIFS([1]инфо!$C$15:$C$28,[1]инфо!$A$15:$A$28,F8)*H8</f>
        <v/>
      </c>
    </row>
    <row r="9">
      <c r="A9" s="50">
        <f>A7+1</f>
        <v/>
      </c>
      <c r="B9" s="65" t="inlineStr">
        <is>
          <t>0007</t>
        </is>
      </c>
      <c r="C9" s="52" t="inlineStr">
        <is>
          <t>Линия 1</t>
        </is>
      </c>
      <c r="D9" s="53" t="inlineStr">
        <is>
          <t>день</t>
        </is>
      </c>
      <c r="E9" s="66" t="inlineStr">
        <is>
          <t>Дауылбай</t>
        </is>
      </c>
      <c r="F9" s="67" t="inlineStr">
        <is>
          <t>РП коричневый</t>
        </is>
      </c>
      <c r="G9" s="68" t="n">
        <v>32</v>
      </c>
      <c r="H9" s="68" t="n">
        <v>1575</v>
      </c>
      <c r="I9" s="57">
        <f>IFERROR(H9*VLOOKUP(F9,[1]инфо!$A$15:$C$28,3,FALSE)/1000,0)</f>
        <v/>
      </c>
      <c r="J9" s="68" t="n"/>
      <c r="K9" s="68" t="n">
        <v>9</v>
      </c>
      <c r="L9" s="68" t="n">
        <v>4</v>
      </c>
      <c r="M9" s="55" t="n"/>
      <c r="N9" s="55" t="n">
        <v>3210</v>
      </c>
      <c r="O9" s="58" t="n">
        <v>19586</v>
      </c>
      <c r="P9" s="58" t="n">
        <v>0</v>
      </c>
      <c r="Q9" s="58" t="n"/>
      <c r="R9" s="58" t="n"/>
      <c r="S9" s="59">
        <f>SUM(O9:R9)</f>
        <v/>
      </c>
      <c r="T9" s="52" t="n"/>
      <c r="U9" s="53" t="n"/>
      <c r="V9" s="58" t="n"/>
      <c r="W9" s="58" t="n"/>
      <c r="X9" s="58" t="n"/>
      <c r="Y9" s="52" t="n">
        <v>320</v>
      </c>
      <c r="Z9" s="58" t="n"/>
      <c r="AA9" s="58" t="n"/>
      <c r="AB9" s="58" t="n"/>
      <c r="AC9" s="69" t="n">
        <v>320</v>
      </c>
      <c r="AD9" s="53" t="n">
        <v>160</v>
      </c>
      <c r="AE9" s="61">
        <f>SUMIFS([1]инфо!$D$15:$D$28,[1]инфо!$A$15:$A$28,F9)</f>
        <v/>
      </c>
      <c r="AF9" s="62">
        <f>IF(H9=0,0,N9/H9)</f>
        <v/>
      </c>
      <c r="AG9" s="63">
        <f>AF9-AE9</f>
        <v/>
      </c>
      <c r="AH9" s="61">
        <f>SUMIFS([1]инфо!$E$15:$E$28,[1]инфо!$A$15:$A$28,F9)</f>
        <v/>
      </c>
      <c r="AI9" s="64">
        <f>IF(H9=0,0,S9/H9)</f>
        <v/>
      </c>
      <c r="AJ9" s="63">
        <f>AI9-AH9</f>
        <v/>
      </c>
      <c r="AK9" s="61">
        <f>SUMIFS([1]инфо!$F$15:$F$28,[1]инфо!$A$15:$A$28,F9)</f>
        <v/>
      </c>
      <c r="AL9" s="64">
        <f>IF(H9=0,0,Y9/H9)</f>
        <v/>
      </c>
      <c r="AM9" s="63">
        <f>AL9-AK9</f>
        <v/>
      </c>
      <c r="AN9" s="61">
        <f>SUMIFS([1]инфо!$G$15:$G$28,[1]инфо!$A$15:$A$28,F9)</f>
        <v/>
      </c>
      <c r="AO9" s="64">
        <f>IF(H9=0,0,AA9/H9)</f>
        <v/>
      </c>
      <c r="AP9" s="63">
        <f>AO9-AN9</f>
        <v/>
      </c>
      <c r="AQ9" s="61">
        <f>SUMIFS([1]инфо!$H$15:$H$28,[1]инфо!$A$15:$A$28,F9)</f>
        <v/>
      </c>
      <c r="AR9" s="62">
        <f>IF(H9=0,0,AC9/H9)</f>
        <v/>
      </c>
      <c r="AS9" s="63">
        <f>AR9-AQ9</f>
        <v/>
      </c>
      <c r="AT9" s="61">
        <f>SUMIFS([1]инфо!$I$15:$I$28,[1]инфо!$A$15:$A$28,F9)</f>
        <v/>
      </c>
      <c r="AU9" s="62">
        <f>IF(H9=0,0,AD9/H9)</f>
        <v/>
      </c>
      <c r="AV9" s="63">
        <f>AU9-AT9</f>
        <v/>
      </c>
      <c r="AX9" s="70">
        <f>SUMIFS([1]инфо!$C$15:$C$28,[1]инфо!$A$15:$A$28,F9)*H9</f>
        <v/>
      </c>
    </row>
    <row r="10">
      <c r="A10" s="50" t="n">
        <v>46072</v>
      </c>
      <c r="B10" s="65" t="inlineStr">
        <is>
          <t>0008</t>
        </is>
      </c>
      <c r="C10" s="77" t="inlineStr">
        <is>
          <t>Линия 1</t>
        </is>
      </c>
      <c r="D10" s="78" t="inlineStr">
        <is>
          <t>ночь</t>
        </is>
      </c>
      <c r="E10" s="66" t="inlineStr">
        <is>
          <t>Султанулы</t>
        </is>
      </c>
      <c r="F10" s="67" t="inlineStr">
        <is>
          <t>РП коричневый</t>
        </is>
      </c>
      <c r="G10" s="68" t="n">
        <v>35</v>
      </c>
      <c r="H10" s="68" t="n">
        <v>1770</v>
      </c>
      <c r="I10" s="57">
        <f>IFERROR(H10*VLOOKUP(F10,[1]инфо!$A$15:$C$28,3,FALSE)/1000,0)</f>
        <v/>
      </c>
      <c r="J10" s="68" t="n"/>
      <c r="K10" s="68" t="n">
        <v>4</v>
      </c>
      <c r="L10" s="68" t="n">
        <v>1</v>
      </c>
      <c r="M10" s="56" t="n"/>
      <c r="N10" s="56" t="n">
        <v>3538</v>
      </c>
      <c r="O10" s="79" t="n">
        <v>12247</v>
      </c>
      <c r="P10" s="79" t="n">
        <v>9186</v>
      </c>
      <c r="Q10" s="79" t="n"/>
      <c r="R10" s="79" t="n"/>
      <c r="S10" s="80">
        <f>SUM(O10:R10)</f>
        <v/>
      </c>
      <c r="T10" s="77" t="n"/>
      <c r="U10" s="78" t="n"/>
      <c r="V10" s="79" t="n"/>
      <c r="W10" s="79" t="n"/>
      <c r="X10" s="79" t="n"/>
      <c r="Y10" s="77" t="n">
        <v>350</v>
      </c>
      <c r="Z10" s="79" t="n"/>
      <c r="AA10" s="79" t="n"/>
      <c r="AB10" s="79" t="n"/>
      <c r="AC10" s="69" t="n">
        <v>350</v>
      </c>
      <c r="AD10" s="78" t="n"/>
      <c r="AE10" s="81">
        <f>SUMIFS([1]инфо!$D$15:$D$28,[1]инфо!$A$15:$A$28,F10)</f>
        <v/>
      </c>
      <c r="AF10" s="62">
        <f>IF(H10=0,0,N10/H10)</f>
        <v/>
      </c>
      <c r="AG10" s="82">
        <f>AF10-AE10</f>
        <v/>
      </c>
      <c r="AH10" s="61">
        <f>SUMIFS([1]инфо!$E$15:$E$28,[1]инфо!$A$15:$A$28,F10)</f>
        <v/>
      </c>
      <c r="AI10" s="64">
        <f>IF(H10=0,0,S10/H10)</f>
        <v/>
      </c>
      <c r="AJ10" s="82">
        <f>AI10-AH10</f>
        <v/>
      </c>
      <c r="AK10" s="81">
        <f>SUMIFS([1]инфо!$F$15:$F$28,[1]инфо!$A$15:$A$28,F10)</f>
        <v/>
      </c>
      <c r="AL10" s="64">
        <f>IF(H10=0,0,Y10/H10)</f>
        <v/>
      </c>
      <c r="AM10" s="82">
        <f>AL10-AK10</f>
        <v/>
      </c>
      <c r="AN10" s="81">
        <f>SUMIFS([1]инфо!$G$15:$G$28,[1]инфо!$A$15:$A$28,F10)</f>
        <v/>
      </c>
      <c r="AO10" s="64">
        <f>IF(H10=0,0,AA10/H10)</f>
        <v/>
      </c>
      <c r="AP10" s="82">
        <f>AO10-AN10</f>
        <v/>
      </c>
      <c r="AQ10" s="81">
        <f>SUMIFS([1]инфо!$H$15:$H$28,[1]инфо!$A$15:$A$28,F10)</f>
        <v/>
      </c>
      <c r="AR10" s="62">
        <f>IF(H10=0,0,AC10/H10)</f>
        <v/>
      </c>
      <c r="AS10" s="82">
        <f>AR10-AQ10</f>
        <v/>
      </c>
      <c r="AT10" s="81">
        <f>SUMIFS([1]инфо!$I$15:$I$28,[1]инфо!$A$15:$A$28,F10)</f>
        <v/>
      </c>
      <c r="AU10" s="62">
        <f>IF(H10=0,0,AD10/H10)</f>
        <v/>
      </c>
      <c r="AV10" s="82">
        <f>AU10-AT10</f>
        <v/>
      </c>
      <c r="AX10" s="70">
        <f>SUMIFS([1]инфо!$C$15:$C$28,[1]инфо!$A$15:$A$28,F10)*H10</f>
        <v/>
      </c>
    </row>
    <row r="11">
      <c r="A11" s="71" t="n">
        <v>46073</v>
      </c>
      <c r="B11" s="65" t="inlineStr">
        <is>
          <t>0009</t>
        </is>
      </c>
      <c r="C11" s="72" t="inlineStr">
        <is>
          <t>Линия 1</t>
        </is>
      </c>
      <c r="D11" s="73" t="inlineStr">
        <is>
          <t>день</t>
        </is>
      </c>
      <c r="E11" s="66" t="inlineStr">
        <is>
          <t>Дауылбай</t>
        </is>
      </c>
      <c r="F11" s="67" t="inlineStr">
        <is>
          <t>РП коричневый</t>
        </is>
      </c>
      <c r="G11" s="68" t="n">
        <v>28</v>
      </c>
      <c r="H11" s="68" t="n">
        <v>1365</v>
      </c>
      <c r="I11" s="57">
        <f>IFERROR(H11*VLOOKUP(F11,[1]инфо!$A$15:$C$28,3,FALSE)/1000,0)</f>
        <v/>
      </c>
      <c r="J11" s="68" t="n"/>
      <c r="K11" s="68" t="n">
        <v>25</v>
      </c>
      <c r="L11" s="68" t="n">
        <v>4</v>
      </c>
      <c r="M11" s="67" t="n"/>
      <c r="N11" s="67" t="n">
        <v>2833</v>
      </c>
      <c r="O11" s="74" t="n">
        <v>8548</v>
      </c>
      <c r="P11" s="74" t="n">
        <v>8573</v>
      </c>
      <c r="Q11" s="74" t="n"/>
      <c r="R11" s="74" t="n"/>
      <c r="S11" s="70">
        <f>SUM(O11:R11)</f>
        <v/>
      </c>
      <c r="T11" s="72" t="n"/>
      <c r="U11" s="73" t="n"/>
      <c r="V11" s="74" t="n"/>
      <c r="W11" s="74" t="n"/>
      <c r="X11" s="74" t="n"/>
      <c r="Y11" s="72" t="n">
        <v>280</v>
      </c>
      <c r="Z11" s="74" t="n"/>
      <c r="AA11" s="74" t="n"/>
      <c r="AB11" s="74" t="n"/>
      <c r="AC11" s="69" t="n">
        <v>280</v>
      </c>
      <c r="AD11" s="73" t="n">
        <v>140</v>
      </c>
      <c r="AE11" s="75">
        <f>SUMIFS([1]инфо!$D$15:$D$28,[1]инфо!$A$15:$A$28,F11)</f>
        <v/>
      </c>
      <c r="AF11" s="62">
        <f>IF(H11=0,0,N11/H11)</f>
        <v/>
      </c>
      <c r="AG11" s="76">
        <f>AF11-AE11</f>
        <v/>
      </c>
      <c r="AH11" s="61">
        <f>SUMIFS([1]инфо!$E$15:$E$28,[1]инфо!$A$15:$A$28,F11)</f>
        <v/>
      </c>
      <c r="AI11" s="64">
        <f>IF(H11=0,0,S11/H11)</f>
        <v/>
      </c>
      <c r="AJ11" s="76">
        <f>AI11-AH11</f>
        <v/>
      </c>
      <c r="AK11" s="75">
        <f>SUMIFS([1]инфо!$F$15:$F$28,[1]инфо!$A$15:$A$28,F11)</f>
        <v/>
      </c>
      <c r="AL11" s="64">
        <f>IF(H11=0,0,Y11/H11)</f>
        <v/>
      </c>
      <c r="AM11" s="76">
        <f>AL11-AK11</f>
        <v/>
      </c>
      <c r="AN11" s="75">
        <f>SUMIFS([1]инфо!$G$15:$G$28,[1]инфо!$A$15:$A$28,F11)</f>
        <v/>
      </c>
      <c r="AO11" s="64">
        <f>IF(H11=0,0,AA11/H11)</f>
        <v/>
      </c>
      <c r="AP11" s="76">
        <f>AO11-AN11</f>
        <v/>
      </c>
      <c r="AQ11" s="75">
        <f>SUMIFS([1]инфо!$H$15:$H$28,[1]инфо!$A$15:$A$28,F11)</f>
        <v/>
      </c>
      <c r="AR11" s="62">
        <f>IF(H11=0,0,AC11/H11)</f>
        <v/>
      </c>
      <c r="AS11" s="76">
        <f>AR11-AQ11</f>
        <v/>
      </c>
      <c r="AT11" s="75">
        <f>SUMIFS([1]инфо!$I$15:$I$28,[1]инфо!$A$15:$A$28,F11)</f>
        <v/>
      </c>
      <c r="AU11" s="62">
        <f>IF(H11=0,0,AD11/H11)</f>
        <v/>
      </c>
      <c r="AV11" s="76">
        <f>AU11-AT11</f>
        <v/>
      </c>
      <c r="AX11" s="70">
        <f>SUMIFS([1]инфо!$C$15:$C$28,[1]инфо!$A$15:$A$28,F11)*H11</f>
        <v/>
      </c>
    </row>
    <row r="12">
      <c r="A12" s="50" t="n">
        <v>46073</v>
      </c>
      <c r="B12" s="65" t="inlineStr">
        <is>
          <t>0010</t>
        </is>
      </c>
      <c r="C12" s="52" t="inlineStr">
        <is>
          <t>Линия 1</t>
        </is>
      </c>
      <c r="D12" s="53" t="inlineStr">
        <is>
          <t>ночь</t>
        </is>
      </c>
      <c r="E12" s="66" t="inlineStr">
        <is>
          <t>Султанулы</t>
        </is>
      </c>
      <c r="F12" s="67" t="inlineStr">
        <is>
          <t>РП красный</t>
        </is>
      </c>
      <c r="G12" s="68" t="n">
        <v>43</v>
      </c>
      <c r="H12" s="68" t="n">
        <v>2096</v>
      </c>
      <c r="I12" s="57">
        <f>IFERROR(H12*VLOOKUP(F12,[1]инфо!$A$15:$C$28,3,FALSE)/1000,0)</f>
        <v/>
      </c>
      <c r="J12" s="68" t="n"/>
      <c r="K12" s="68" t="n">
        <v>23</v>
      </c>
      <c r="L12" s="68" t="n">
        <v>1</v>
      </c>
      <c r="M12" s="55" t="n"/>
      <c r="N12" s="55" t="n">
        <v>4347</v>
      </c>
      <c r="O12" s="58" t="n">
        <v>13442</v>
      </c>
      <c r="P12" s="58" t="n">
        <v>12846</v>
      </c>
      <c r="Q12" s="58" t="n"/>
      <c r="R12" s="58" t="n"/>
      <c r="S12" s="59">
        <f>SUM(O12:R12)</f>
        <v/>
      </c>
      <c r="T12" s="52" t="n"/>
      <c r="U12" s="53" t="n"/>
      <c r="V12" s="58" t="n"/>
      <c r="W12" s="58" t="n"/>
      <c r="X12" s="58" t="n"/>
      <c r="Y12" s="52" t="n">
        <v>430</v>
      </c>
      <c r="Z12" s="58" t="n"/>
      <c r="AA12" s="58" t="n"/>
      <c r="AB12" s="58" t="n"/>
      <c r="AC12" s="69" t="n">
        <v>430</v>
      </c>
      <c r="AD12" s="53" t="n">
        <v>215</v>
      </c>
      <c r="AE12" s="61">
        <f>SUMIFS([1]инфо!$D$15:$D$28,[1]инфо!$A$15:$A$28,F12)</f>
        <v/>
      </c>
      <c r="AF12" s="62">
        <f>IF(H12=0,0,N12/H12)</f>
        <v/>
      </c>
      <c r="AG12" s="63">
        <f>AF12-AE12</f>
        <v/>
      </c>
      <c r="AH12" s="61">
        <f>SUMIFS([1]инфо!$E$15:$E$28,[1]инфо!$A$15:$A$28,F12)</f>
        <v/>
      </c>
      <c r="AI12" s="64">
        <f>IF(H12=0,0,S12/H12)</f>
        <v/>
      </c>
      <c r="AJ12" s="63">
        <f>AI12-AH12</f>
        <v/>
      </c>
      <c r="AK12" s="61">
        <f>SUMIFS([1]инфо!$F$15:$F$28,[1]инфо!$A$15:$A$28,F12)</f>
        <v/>
      </c>
      <c r="AL12" s="64">
        <f>IF(H12=0,0,Y12/H12)</f>
        <v/>
      </c>
      <c r="AM12" s="63">
        <f>AL12-AK12</f>
        <v/>
      </c>
      <c r="AN12" s="61">
        <f>SUMIFS([1]инфо!$G$15:$G$28,[1]инфо!$A$15:$A$28,F12)</f>
        <v/>
      </c>
      <c r="AO12" s="64">
        <f>IF(H12=0,0,AA12/H12)</f>
        <v/>
      </c>
      <c r="AP12" s="63">
        <f>AO12-AN12</f>
        <v/>
      </c>
      <c r="AQ12" s="61">
        <f>SUMIFS([1]инфо!$H$15:$H$28,[1]инфо!$A$15:$A$28,F12)</f>
        <v/>
      </c>
      <c r="AR12" s="62">
        <f>IF(H12=0,0,AC12/H12)</f>
        <v/>
      </c>
      <c r="AS12" s="63">
        <f>AR12-AQ12</f>
        <v/>
      </c>
      <c r="AT12" s="61">
        <f>SUMIFS([1]инфо!$I$15:$I$28,[1]инфо!$A$15:$A$28,F12)</f>
        <v/>
      </c>
      <c r="AU12" s="62">
        <f>IF(H12=0,0,AD12/H12)</f>
        <v/>
      </c>
      <c r="AV12" s="63">
        <f>AU12-AT12</f>
        <v/>
      </c>
      <c r="AX12" s="70">
        <f>SUMIFS([1]инфо!$C$15:$C$28,[1]инфо!$A$15:$A$28,F12)*H12</f>
        <v/>
      </c>
    </row>
    <row r="13">
      <c r="A13" s="50">
        <f>A11+1</f>
        <v/>
      </c>
      <c r="B13" s="65" t="inlineStr">
        <is>
          <t>0011</t>
        </is>
      </c>
      <c r="C13" s="72" t="inlineStr">
        <is>
          <t>Линия 1</t>
        </is>
      </c>
      <c r="D13" s="73" t="inlineStr">
        <is>
          <t>день</t>
        </is>
      </c>
      <c r="E13" s="66" t="inlineStr">
        <is>
          <t>Монаев</t>
        </is>
      </c>
      <c r="F13" s="67" t="inlineStr">
        <is>
          <t>РП красный</t>
        </is>
      </c>
      <c r="G13" s="68" t="n">
        <v>37</v>
      </c>
      <c r="H13" s="68" t="n">
        <v>1760</v>
      </c>
      <c r="I13" s="57">
        <f>IFERROR(H13*VLOOKUP(F13,[1]инфо!$A$15:$C$28,3,FALSE)/1000,0)</f>
        <v/>
      </c>
      <c r="J13" s="68" t="n">
        <v>1700</v>
      </c>
      <c r="K13" s="68" t="n">
        <v>23</v>
      </c>
      <c r="L13" s="68" t="n">
        <v>2</v>
      </c>
      <c r="M13" s="67" t="n"/>
      <c r="N13" s="67" t="n">
        <v>3737</v>
      </c>
      <c r="O13" s="74" t="n">
        <v>11620</v>
      </c>
      <c r="P13" s="74" t="n">
        <v>11009</v>
      </c>
      <c r="Q13" s="74" t="n"/>
      <c r="R13" s="74" t="n"/>
      <c r="S13" s="70">
        <f>SUM(O13:R13)</f>
        <v/>
      </c>
      <c r="T13" s="72" t="n"/>
      <c r="U13" s="73" t="n"/>
      <c r="V13" s="74" t="n"/>
      <c r="W13" s="74" t="n"/>
      <c r="X13" s="74" t="n"/>
      <c r="Y13" s="72" t="n">
        <v>370</v>
      </c>
      <c r="Z13" s="74" t="n"/>
      <c r="AA13" s="74" t="n"/>
      <c r="AB13" s="74" t="n"/>
      <c r="AC13" s="69" t="n">
        <v>370</v>
      </c>
      <c r="AD13" s="73" t="n">
        <v>185</v>
      </c>
      <c r="AE13" s="75">
        <f>SUMIFS([1]инфо!$D$15:$D$28,[1]инфо!$A$15:$A$28,F13)</f>
        <v/>
      </c>
      <c r="AF13" s="62">
        <f>IF(H13=0,0,N13/H13)</f>
        <v/>
      </c>
      <c r="AG13" s="76">
        <f>AF13-AE13</f>
        <v/>
      </c>
      <c r="AH13" s="61">
        <f>SUMIFS([1]инфо!$E$15:$E$28,[1]инфо!$A$15:$A$28,F13)</f>
        <v/>
      </c>
      <c r="AI13" s="64">
        <f>IF(H13=0,0,S13/H13)</f>
        <v/>
      </c>
      <c r="AJ13" s="76">
        <f>AI13-AH13</f>
        <v/>
      </c>
      <c r="AK13" s="75">
        <f>SUMIFS([1]инфо!$F$15:$F$28,[1]инфо!$A$15:$A$28,F13)</f>
        <v/>
      </c>
      <c r="AL13" s="64">
        <f>IF(H13=0,0,Y13/H13)</f>
        <v/>
      </c>
      <c r="AM13" s="76">
        <f>AL13-AK13</f>
        <v/>
      </c>
      <c r="AN13" s="75">
        <f>SUMIFS([1]инфо!$G$15:$G$28,[1]инфо!$A$15:$A$28,F13)</f>
        <v/>
      </c>
      <c r="AO13" s="64">
        <f>IF(H13=0,0,AA13/H13)</f>
        <v/>
      </c>
      <c r="AP13" s="76">
        <f>AO13-AN13</f>
        <v/>
      </c>
      <c r="AQ13" s="75">
        <f>SUMIFS([1]инфо!$H$15:$H$28,[1]инфо!$A$15:$A$28,F13)</f>
        <v/>
      </c>
      <c r="AR13" s="62">
        <f>IF(H13=0,0,AC13/H13)</f>
        <v/>
      </c>
      <c r="AS13" s="76">
        <f>AR13-AQ13</f>
        <v/>
      </c>
      <c r="AT13" s="75">
        <f>SUMIFS([1]инфо!$I$15:$I$28,[1]инфо!$A$15:$A$28,F13)</f>
        <v/>
      </c>
      <c r="AU13" s="62">
        <f>IF(H13=0,0,AD13/H13)</f>
        <v/>
      </c>
      <c r="AV13" s="76">
        <f>AU13-AT13</f>
        <v/>
      </c>
      <c r="AX13" s="70">
        <f>SUMIFS([1]инфо!$C$15:$C$28,[1]инфо!$A$15:$A$28,F13)*H13</f>
        <v/>
      </c>
    </row>
    <row r="14">
      <c r="A14" s="50">
        <f>A12+1</f>
        <v/>
      </c>
      <c r="B14" s="65" t="inlineStr">
        <is>
          <t>0012</t>
        </is>
      </c>
      <c r="C14" s="52" t="inlineStr">
        <is>
          <t>Линия 1</t>
        </is>
      </c>
      <c r="D14" s="53" t="inlineStr">
        <is>
          <t>ночь</t>
        </is>
      </c>
      <c r="E14" s="66" t="inlineStr">
        <is>
          <t>Дауылбай</t>
        </is>
      </c>
      <c r="F14" s="67" t="inlineStr">
        <is>
          <t>РП красный</t>
        </is>
      </c>
      <c r="G14" s="68" t="n">
        <v>41</v>
      </c>
      <c r="H14" s="68" t="n">
        <v>1935</v>
      </c>
      <c r="I14" s="57">
        <f>IFERROR(H14*VLOOKUP(F14,[1]инфо!$A$15:$C$28,3,FALSE)/1000,0)</f>
        <v/>
      </c>
      <c r="J14" s="68" t="n">
        <v>1900</v>
      </c>
      <c r="K14" s="68" t="n">
        <v>10</v>
      </c>
      <c r="L14" s="68" t="n">
        <v>8</v>
      </c>
      <c r="M14" s="55" t="n"/>
      <c r="N14" s="55" t="n">
        <v>4142</v>
      </c>
      <c r="O14" s="58" t="n">
        <v>12831</v>
      </c>
      <c r="P14" s="58" t="n">
        <v>12243</v>
      </c>
      <c r="Q14" s="58" t="n"/>
      <c r="R14" s="58" t="n"/>
      <c r="S14" s="59">
        <f>SUM(O14:R14)</f>
        <v/>
      </c>
      <c r="T14" s="52" t="n"/>
      <c r="U14" s="53" t="n"/>
      <c r="V14" s="58" t="n"/>
      <c r="W14" s="58" t="n"/>
      <c r="X14" s="58" t="n"/>
      <c r="Y14" s="52" t="n">
        <v>380</v>
      </c>
      <c r="Z14" s="58" t="n"/>
      <c r="AA14" s="58" t="n"/>
      <c r="AB14" s="58" t="n"/>
      <c r="AC14" s="69" t="n">
        <v>410</v>
      </c>
      <c r="AD14" s="53" t="n">
        <v>205</v>
      </c>
      <c r="AE14" s="61">
        <f>SUMIFS([1]инфо!$D$15:$D$28,[1]инфо!$A$15:$A$28,F14)</f>
        <v/>
      </c>
      <c r="AF14" s="62">
        <f>IF(H14=0,0,N14/H14)</f>
        <v/>
      </c>
      <c r="AG14" s="63">
        <f>AF14-AE14</f>
        <v/>
      </c>
      <c r="AH14" s="61">
        <f>SUMIFS([1]инфо!$E$15:$E$28,[1]инфо!$A$15:$A$28,F14)</f>
        <v/>
      </c>
      <c r="AI14" s="64">
        <f>IF(H14=0,0,S14/H14)</f>
        <v/>
      </c>
      <c r="AJ14" s="63">
        <f>AI14-AH14</f>
        <v/>
      </c>
      <c r="AK14" s="61">
        <f>SUMIFS([1]инфо!$F$15:$F$28,[1]инфо!$A$15:$A$28,F14)</f>
        <v/>
      </c>
      <c r="AL14" s="64">
        <f>IF(H14=0,0,Y14/H14)</f>
        <v/>
      </c>
      <c r="AM14" s="63">
        <f>AL14-AK14</f>
        <v/>
      </c>
      <c r="AN14" s="61">
        <f>SUMIFS([1]инфо!$G$15:$G$28,[1]инфо!$A$15:$A$28,F14)</f>
        <v/>
      </c>
      <c r="AO14" s="64">
        <f>IF(H14=0,0,AA14/H14)</f>
        <v/>
      </c>
      <c r="AP14" s="63">
        <f>AO14-AN14</f>
        <v/>
      </c>
      <c r="AQ14" s="61">
        <f>SUMIFS([1]инфо!$H$15:$H$28,[1]инфо!$A$15:$A$28,F14)</f>
        <v/>
      </c>
      <c r="AR14" s="62">
        <f>IF(H14=0,0,AC14/H14)</f>
        <v/>
      </c>
      <c r="AS14" s="63">
        <f>AR14-AQ14</f>
        <v/>
      </c>
      <c r="AT14" s="61">
        <f>SUMIFS([1]инфо!$I$15:$I$28,[1]инфо!$A$15:$A$28,F14)</f>
        <v/>
      </c>
      <c r="AU14" s="62">
        <f>IF(H14=0,0,AD14/H14)</f>
        <v/>
      </c>
      <c r="AV14" s="63">
        <f>AU14-AT14</f>
        <v/>
      </c>
      <c r="AX14" s="70">
        <f>SUMIFS([1]инфо!$C$15:$C$28,[1]инфо!$A$15:$A$28,F14)*H14</f>
        <v/>
      </c>
    </row>
    <row r="15">
      <c r="A15" s="71">
        <f>A13+1</f>
        <v/>
      </c>
      <c r="B15" s="65" t="inlineStr">
        <is>
          <t>0013</t>
        </is>
      </c>
      <c r="C15" s="72" t="inlineStr">
        <is>
          <t>Линия 1</t>
        </is>
      </c>
      <c r="D15" s="73" t="inlineStr">
        <is>
          <t>день</t>
        </is>
      </c>
      <c r="E15" s="66" t="inlineStr">
        <is>
          <t>Монаев</t>
        </is>
      </c>
      <c r="F15" s="67" t="inlineStr">
        <is>
          <t>РП красный</t>
        </is>
      </c>
      <c r="G15" s="68" t="n">
        <v>31</v>
      </c>
      <c r="H15" s="68" t="n">
        <v>1520</v>
      </c>
      <c r="I15" s="57">
        <f>IFERROR(H15*VLOOKUP(F15,[1]инфо!$A$15:$C$28,3,FALSE)/1000,0)</f>
        <v/>
      </c>
      <c r="J15" s="68" t="n"/>
      <c r="K15" s="68" t="n">
        <v>7</v>
      </c>
      <c r="L15" s="68" t="n">
        <v>2</v>
      </c>
      <c r="M15" s="67" t="n"/>
      <c r="N15" s="67" t="n">
        <v>3127</v>
      </c>
      <c r="O15" s="74" t="n">
        <v>9169</v>
      </c>
      <c r="P15" s="74" t="n">
        <v>9798</v>
      </c>
      <c r="Q15" s="74" t="n"/>
      <c r="R15" s="74" t="n"/>
      <c r="S15" s="70">
        <f>SUM(O15:R15)</f>
        <v/>
      </c>
      <c r="T15" s="72" t="n"/>
      <c r="U15" s="73" t="n"/>
      <c r="V15" s="74" t="n"/>
      <c r="W15" s="74" t="n"/>
      <c r="X15" s="74" t="n"/>
      <c r="Y15" s="72" t="n">
        <v>310</v>
      </c>
      <c r="Z15" s="74" t="n"/>
      <c r="AA15" s="74" t="n"/>
      <c r="AB15" s="74" t="n"/>
      <c r="AC15" s="69" t="n">
        <v>310</v>
      </c>
      <c r="AD15" s="73" t="n">
        <v>155</v>
      </c>
      <c r="AE15" s="75">
        <f>SUMIFS([1]инфо!$D$15:$D$28,[1]инфо!$A$15:$A$28,F15)</f>
        <v/>
      </c>
      <c r="AF15" s="62">
        <f>IF(H15=0,0,N15/H15)</f>
        <v/>
      </c>
      <c r="AG15" s="76">
        <f>AF15-AE15</f>
        <v/>
      </c>
      <c r="AH15" s="61">
        <f>SUMIFS([1]инфо!$E$15:$E$28,[1]инфо!$A$15:$A$28,F15)</f>
        <v/>
      </c>
      <c r="AI15" s="64">
        <f>IF(H15=0,0,S15/H15)</f>
        <v/>
      </c>
      <c r="AJ15" s="76">
        <f>AI15-AH15</f>
        <v/>
      </c>
      <c r="AK15" s="75">
        <f>SUMIFS([1]инфо!$F$15:$F$28,[1]инфо!$A$15:$A$28,F15)</f>
        <v/>
      </c>
      <c r="AL15" s="64">
        <f>IF(H15=0,0,Y15/H15)</f>
        <v/>
      </c>
      <c r="AM15" s="76">
        <f>AL15-AK15</f>
        <v/>
      </c>
      <c r="AN15" s="75">
        <f>SUMIFS([1]инфо!$G$15:$G$28,[1]инфо!$A$15:$A$28,F15)</f>
        <v/>
      </c>
      <c r="AO15" s="64">
        <f>IF(H15=0,0,AA15/H15)</f>
        <v/>
      </c>
      <c r="AP15" s="76">
        <f>AO15-AN15</f>
        <v/>
      </c>
      <c r="AQ15" s="75">
        <f>SUMIFS([1]инфо!$H$15:$H$28,[1]инфо!$A$15:$A$28,F15)</f>
        <v/>
      </c>
      <c r="AR15" s="62">
        <f>IF(H15=0,0,AC15/H15)</f>
        <v/>
      </c>
      <c r="AS15" s="76">
        <f>AR15-AQ15</f>
        <v/>
      </c>
      <c r="AT15" s="75">
        <f>SUMIFS([1]инфо!$I$15:$I$28,[1]инфо!$A$15:$A$28,F15)</f>
        <v/>
      </c>
      <c r="AU15" s="62">
        <f>IF(H15=0,0,AD15/H15)</f>
        <v/>
      </c>
      <c r="AV15" s="76">
        <f>AU15-AT15</f>
        <v/>
      </c>
      <c r="AX15" s="70">
        <f>SUMIFS([1]инфо!$C$15:$C$28,[1]инфо!$A$15:$A$28,F15)*H15</f>
        <v/>
      </c>
    </row>
    <row r="16">
      <c r="A16" s="50" t="n">
        <v>46075</v>
      </c>
      <c r="B16" s="65" t="inlineStr">
        <is>
          <t>0014</t>
        </is>
      </c>
      <c r="C16" s="52" t="inlineStr">
        <is>
          <t>Линия 1</t>
        </is>
      </c>
      <c r="D16" s="53" t="inlineStr">
        <is>
          <t>ночь</t>
        </is>
      </c>
      <c r="E16" s="66" t="inlineStr">
        <is>
          <t>Дауылбай</t>
        </is>
      </c>
      <c r="F16" s="67" t="inlineStr">
        <is>
          <t>РП красный</t>
        </is>
      </c>
      <c r="G16" s="68" t="n">
        <v>42</v>
      </c>
      <c r="H16" s="68" t="n">
        <v>1985</v>
      </c>
      <c r="I16" s="57">
        <f>IFERROR(H16*VLOOKUP(F16,[1]инфо!$A$15:$C$28,3,FALSE)/1000,0)</f>
        <v/>
      </c>
      <c r="J16" s="68" t="n"/>
      <c r="K16" s="68" t="n">
        <v>11</v>
      </c>
      <c r="L16" s="68" t="n">
        <v>1</v>
      </c>
      <c r="M16" s="55" t="n"/>
      <c r="N16" s="55" t="n">
        <v>4243</v>
      </c>
      <c r="O16" s="58" t="n">
        <v>13418</v>
      </c>
      <c r="P16" s="58" t="n">
        <v>12245</v>
      </c>
      <c r="Q16" s="58" t="n"/>
      <c r="R16" s="58" t="n"/>
      <c r="S16" s="59">
        <f>SUM(O16:R16)</f>
        <v/>
      </c>
      <c r="T16" s="52" t="n"/>
      <c r="U16" s="53" t="n"/>
      <c r="V16" s="58" t="n"/>
      <c r="W16" s="58" t="n"/>
      <c r="X16" s="58" t="n"/>
      <c r="Y16" s="52" t="n">
        <v>420</v>
      </c>
      <c r="Z16" s="58" t="n"/>
      <c r="AA16" s="58" t="n"/>
      <c r="AB16" s="58" t="n"/>
      <c r="AC16" s="69" t="n">
        <v>420</v>
      </c>
      <c r="AD16" s="53" t="n">
        <v>210</v>
      </c>
      <c r="AE16" s="61">
        <f>SUMIFS([1]инфо!$D$15:$D$28,[1]инфо!$A$15:$A$28,F16)</f>
        <v/>
      </c>
      <c r="AF16" s="62">
        <f>IF(H16=0,0,N16/H16)</f>
        <v/>
      </c>
      <c r="AG16" s="76">
        <f>AF16-AE16</f>
        <v/>
      </c>
      <c r="AH16" s="61">
        <f>SUMIFS([1]инфо!$E$15:$E$28,[1]инфо!$A$15:$A$28,F16)</f>
        <v/>
      </c>
      <c r="AI16" s="64">
        <f>IF(H16=0,0,S16/H16)</f>
        <v/>
      </c>
      <c r="AJ16" s="63">
        <f>AI16-AH16</f>
        <v/>
      </c>
      <c r="AK16" s="61">
        <f>SUMIFS([1]инфо!$F$15:$F$28,[1]инфо!$A$15:$A$28,F16)</f>
        <v/>
      </c>
      <c r="AL16" s="64">
        <f>IF(H16=0,0,Y16/H16)</f>
        <v/>
      </c>
      <c r="AM16" s="63">
        <f>AL16-AK16</f>
        <v/>
      </c>
      <c r="AN16" s="61">
        <f>SUMIFS([1]инфо!$G$15:$G$28,[1]инфо!$A$15:$A$28,F16)</f>
        <v/>
      </c>
      <c r="AO16" s="64">
        <f>IF(H16=0,0,AA16/H16)</f>
        <v/>
      </c>
      <c r="AP16" s="63">
        <f>AO16-AN16</f>
        <v/>
      </c>
      <c r="AQ16" s="61">
        <f>SUMIFS([1]инфо!$H$15:$H$28,[1]инфо!$A$15:$A$28,F16)</f>
        <v/>
      </c>
      <c r="AR16" s="62">
        <f>IF(H16=0,0,AC16/H16)</f>
        <v/>
      </c>
      <c r="AS16" s="63">
        <f>AR16-AQ16</f>
        <v/>
      </c>
      <c r="AT16" s="61">
        <f>SUMIFS([1]инфо!$I$15:$I$28,[1]инфо!$A$15:$A$28,F16)</f>
        <v/>
      </c>
      <c r="AU16" s="62">
        <f>IF(H16=0,0,AD16/H16)</f>
        <v/>
      </c>
      <c r="AV16" s="63">
        <f>AU16-AT16</f>
        <v/>
      </c>
      <c r="AX16" s="70">
        <f>SUMIFS([1]инфо!$C$15:$C$28,[1]инфо!$A$15:$A$28,F16)*H16</f>
        <v/>
      </c>
    </row>
    <row r="17">
      <c r="A17" s="71">
        <f>A15+1</f>
        <v/>
      </c>
      <c r="B17" s="65" t="inlineStr">
        <is>
          <t>0015</t>
        </is>
      </c>
      <c r="C17" s="72" t="inlineStr">
        <is>
          <t>Линия 1</t>
        </is>
      </c>
      <c r="D17" s="73" t="inlineStr">
        <is>
          <t>день</t>
        </is>
      </c>
      <c r="E17" s="66" t="inlineStr">
        <is>
          <t>Султанулы</t>
        </is>
      </c>
      <c r="F17" s="67" t="inlineStr">
        <is>
          <t>РП половинка красный</t>
        </is>
      </c>
      <c r="G17" s="68" t="n">
        <v>19</v>
      </c>
      <c r="H17" s="68" t="n">
        <v>1175</v>
      </c>
      <c r="I17" s="57">
        <f>IFERROR(H17*VLOOKUP(F17,[1]инфо!$A$15:$C$28,3,FALSE)/1000,0)</f>
        <v/>
      </c>
      <c r="J17" s="68" t="n"/>
      <c r="K17" s="68" t="n">
        <v>8</v>
      </c>
      <c r="L17" s="68" t="n">
        <v>4</v>
      </c>
      <c r="M17" s="55" t="n"/>
      <c r="N17" s="67" t="n">
        <v>1916</v>
      </c>
      <c r="O17" s="74" t="n">
        <v>6715</v>
      </c>
      <c r="P17" s="74" t="n">
        <v>4877</v>
      </c>
      <c r="Q17" s="74" t="n"/>
      <c r="R17" s="74" t="n"/>
      <c r="S17" s="70">
        <f>SUM(O17:R17)</f>
        <v/>
      </c>
      <c r="T17" s="72" t="n"/>
      <c r="U17" s="73" t="n"/>
      <c r="V17" s="74" t="n"/>
      <c r="W17" s="74" t="n"/>
      <c r="X17" s="74" t="n"/>
      <c r="Y17" s="72" t="n">
        <v>190</v>
      </c>
      <c r="Z17" s="74" t="n"/>
      <c r="AA17" s="74" t="n"/>
      <c r="AB17" s="74" t="n"/>
      <c r="AC17" s="69" t="n">
        <v>190</v>
      </c>
      <c r="AD17" s="73" t="n"/>
      <c r="AE17" s="75">
        <f>SUMIFS([1]инфо!$D$15:$D$28,[1]инфо!$A$15:$A$28,F17)</f>
        <v/>
      </c>
      <c r="AF17" s="62">
        <f>IF(H17=0,0,N17/H17)</f>
        <v/>
      </c>
      <c r="AG17" s="76">
        <f>AF17-AE17</f>
        <v/>
      </c>
      <c r="AH17" s="61">
        <f>SUMIFS([1]инфо!$E$15:$E$28,[1]инфо!$A$15:$A$28,F17)</f>
        <v/>
      </c>
      <c r="AI17" s="64">
        <f>IF(H17=0,0,S17/H17)</f>
        <v/>
      </c>
      <c r="AJ17" s="76">
        <f>AI17-AH17</f>
        <v/>
      </c>
      <c r="AK17" s="75">
        <f>SUMIFS([1]инфо!$F$15:$F$28,[1]инфо!$A$15:$A$28,F17)</f>
        <v/>
      </c>
      <c r="AL17" s="64">
        <f>IF(H17=0,0,Y17/H17)</f>
        <v/>
      </c>
      <c r="AM17" s="76">
        <f>AL17-AK17</f>
        <v/>
      </c>
      <c r="AN17" s="75">
        <f>SUMIFS([1]инфо!$G$15:$G$28,[1]инфо!$A$15:$A$28,F17)</f>
        <v/>
      </c>
      <c r="AO17" s="64">
        <f>IF(H17=0,0,AA17/H17)</f>
        <v/>
      </c>
      <c r="AP17" s="76">
        <f>AO17-AN17</f>
        <v/>
      </c>
      <c r="AQ17" s="75">
        <f>SUMIFS([1]инфо!$H$15:$H$28,[1]инфо!$A$15:$A$28,F17)</f>
        <v/>
      </c>
      <c r="AR17" s="62">
        <f>IF(H17=0,0,AC17/H17)</f>
        <v/>
      </c>
      <c r="AS17" s="76">
        <f>AR17-AQ17</f>
        <v/>
      </c>
      <c r="AT17" s="75">
        <f>SUMIFS([1]инфо!$I$15:$I$28,[1]инфо!$A$15:$A$28,F17)</f>
        <v/>
      </c>
      <c r="AU17" s="62">
        <f>IF(H17=0,0,AD17/H17)</f>
        <v/>
      </c>
      <c r="AV17" s="76">
        <f>AU17-AT17</f>
        <v/>
      </c>
      <c r="AX17" s="70">
        <f>SUMIFS([1]инфо!$C$15:$C$28,[1]инфо!$A$15:$A$28,F17)*H17</f>
        <v/>
      </c>
    </row>
    <row r="18">
      <c r="A18" s="50" t="n">
        <v>46076</v>
      </c>
      <c r="B18" s="65" t="inlineStr">
        <is>
          <t>0016</t>
        </is>
      </c>
      <c r="C18" s="52" t="inlineStr">
        <is>
          <t>Линия 1</t>
        </is>
      </c>
      <c r="D18" s="53" t="inlineStr">
        <is>
          <t>ночь</t>
        </is>
      </c>
      <c r="E18" s="66" t="inlineStr">
        <is>
          <t>Монаев</t>
        </is>
      </c>
      <c r="F18" s="67" t="inlineStr">
        <is>
          <t>РП половинка красный</t>
        </is>
      </c>
      <c r="G18" s="68" t="n">
        <v>37</v>
      </c>
      <c r="H18" s="68" t="n">
        <v>3145</v>
      </c>
      <c r="I18" s="57">
        <f>IFERROR(H18*VLOOKUP(F18,[1]инфо!$A$15:$C$28,3,FALSE)/1000,0)</f>
        <v/>
      </c>
      <c r="J18" s="68" t="n"/>
      <c r="K18" s="68" t="n"/>
      <c r="L18" s="68" t="n"/>
      <c r="M18" s="55" t="n"/>
      <c r="N18" s="55" t="n">
        <v>3724</v>
      </c>
      <c r="O18" s="58" t="n">
        <v>11459</v>
      </c>
      <c r="P18" s="58" t="n">
        <v>12099</v>
      </c>
      <c r="Q18" s="58" t="n"/>
      <c r="R18" s="58" t="n"/>
      <c r="S18" s="59">
        <f>SUM(O18:R18)</f>
        <v/>
      </c>
      <c r="T18" s="52" t="n"/>
      <c r="U18" s="53" t="n"/>
      <c r="V18" s="58" t="n"/>
      <c r="W18" s="58" t="n"/>
      <c r="X18" s="58" t="n"/>
      <c r="Y18" s="52" t="n">
        <v>370</v>
      </c>
      <c r="Z18" s="58" t="n"/>
      <c r="AA18" s="58" t="n"/>
      <c r="AB18" s="58" t="n"/>
      <c r="AC18" s="69" t="n">
        <v>370</v>
      </c>
      <c r="AD18" s="53" t="n"/>
      <c r="AE18" s="61">
        <f>SUMIFS([1]инфо!$D$15:$D$28,[1]инфо!$A$15:$A$28,F18)</f>
        <v/>
      </c>
      <c r="AF18" s="62">
        <f>IF(H18=0,0,N18/H18)</f>
        <v/>
      </c>
      <c r="AG18" s="63">
        <f>AF18-AE18</f>
        <v/>
      </c>
      <c r="AH18" s="61">
        <f>SUMIFS([1]инфо!$E$15:$E$28,[1]инфо!$A$15:$A$28,F18)</f>
        <v/>
      </c>
      <c r="AI18" s="64">
        <f>IF(H18=0,0,S18/H18)</f>
        <v/>
      </c>
      <c r="AJ18" s="63">
        <f>AI18-AH18</f>
        <v/>
      </c>
      <c r="AK18" s="61">
        <f>SUMIFS([1]инфо!$F$15:$F$28,[1]инфо!$A$15:$A$28,F18)</f>
        <v/>
      </c>
      <c r="AL18" s="64">
        <f>IF(H18=0,0,Y18/H18)</f>
        <v/>
      </c>
      <c r="AM18" s="63">
        <f>AL18-AK18</f>
        <v/>
      </c>
      <c r="AN18" s="61">
        <f>SUMIFS([1]инфо!$G$15:$G$28,[1]инфо!$A$15:$A$28,F18)</f>
        <v/>
      </c>
      <c r="AO18" s="64">
        <f>IF(H18=0,0,AA18/H18)</f>
        <v/>
      </c>
      <c r="AP18" s="63">
        <f>AO18-AN18</f>
        <v/>
      </c>
      <c r="AQ18" s="61">
        <f>SUMIFS([1]инфо!$H$15:$H$28,[1]инфо!$A$15:$A$28,F18)</f>
        <v/>
      </c>
      <c r="AR18" s="62">
        <f>IF(H18=0,0,AC18/H18)</f>
        <v/>
      </c>
      <c r="AS18" s="63">
        <f>AR18-AQ18</f>
        <v/>
      </c>
      <c r="AT18" s="61">
        <f>SUMIFS([1]инфо!$I$15:$I$28,[1]инфо!$A$15:$A$28,F18)</f>
        <v/>
      </c>
      <c r="AU18" s="62">
        <f>IF(H18=0,0,AD18/H18)</f>
        <v/>
      </c>
      <c r="AV18" s="63">
        <f>AU18-AT18</f>
        <v/>
      </c>
      <c r="AX18" s="70">
        <f>SUMIFS([1]инфо!$C$15:$C$28,[1]инфо!$A$15:$A$28,F18)*H18</f>
        <v/>
      </c>
    </row>
    <row r="19">
      <c r="A19" s="71">
        <f>A17+1</f>
        <v/>
      </c>
      <c r="B19" s="65" t="inlineStr">
        <is>
          <t>0017</t>
        </is>
      </c>
      <c r="C19" s="72" t="inlineStr">
        <is>
          <t>Линия 1</t>
        </is>
      </c>
      <c r="D19" s="73" t="inlineStr">
        <is>
          <t>день</t>
        </is>
      </c>
      <c r="E19" s="66" t="inlineStr">
        <is>
          <t>Султанулы</t>
        </is>
      </c>
      <c r="F19" s="67" t="inlineStr">
        <is>
          <t>РП половинка красный</t>
        </is>
      </c>
      <c r="G19" s="68" t="n">
        <v>27</v>
      </c>
      <c r="H19" s="68" t="n">
        <v>2210</v>
      </c>
      <c r="I19" s="57">
        <f>IFERROR(H19*VLOOKUP(F19,[1]инфо!$A$15:$C$28,3,FALSE)/1000,0)</f>
        <v/>
      </c>
      <c r="J19" s="68" t="n"/>
      <c r="K19" s="68" t="n">
        <v>5</v>
      </c>
      <c r="L19" s="68" t="n">
        <v>2</v>
      </c>
      <c r="M19" s="55" t="n"/>
      <c r="N19" s="67" t="n">
        <v>2727</v>
      </c>
      <c r="O19" s="74" t="n">
        <v>8349</v>
      </c>
      <c r="P19" s="74" t="n">
        <v>8971</v>
      </c>
      <c r="Q19" s="74" t="n"/>
      <c r="R19" s="74" t="n"/>
      <c r="S19" s="70">
        <f>SUM(O19:R19)</f>
        <v/>
      </c>
      <c r="T19" s="72" t="n"/>
      <c r="U19" s="73" t="n"/>
      <c r="V19" s="74" t="n"/>
      <c r="W19" s="74" t="n"/>
      <c r="X19" s="74" t="n"/>
      <c r="Y19" s="72" t="n">
        <v>135</v>
      </c>
      <c r="Z19" s="74" t="n"/>
      <c r="AA19" s="74" t="n"/>
      <c r="AB19" s="74" t="n"/>
      <c r="AC19" s="69" t="n">
        <v>270</v>
      </c>
      <c r="AD19" s="73" t="n"/>
      <c r="AE19" s="75">
        <f>SUMIFS([1]инфо!$D$15:$D$28,[1]инфо!$A$15:$A$28,F19)</f>
        <v/>
      </c>
      <c r="AF19" s="62">
        <f>IF(H19=0,0,N19/H19)</f>
        <v/>
      </c>
      <c r="AG19" s="76">
        <f>AF19-AE19</f>
        <v/>
      </c>
      <c r="AH19" s="61">
        <f>SUMIFS([1]инфо!$E$15:$E$28,[1]инфо!$A$15:$A$28,F19)</f>
        <v/>
      </c>
      <c r="AI19" s="64">
        <f>IF(H19=0,0,S19/H19)</f>
        <v/>
      </c>
      <c r="AJ19" s="76">
        <f>AI19-AH19</f>
        <v/>
      </c>
      <c r="AK19" s="75">
        <f>SUMIFS([1]инфо!$F$15:$F$28,[1]инфо!$A$15:$A$28,F19)</f>
        <v/>
      </c>
      <c r="AL19" s="64">
        <f>IF(H19=0,0,Y19/H19)</f>
        <v/>
      </c>
      <c r="AM19" s="76">
        <f>AL19-AK19</f>
        <v/>
      </c>
      <c r="AN19" s="75">
        <f>SUMIFS([1]инфо!$G$15:$G$28,[1]инфо!$A$15:$A$28,F19)</f>
        <v/>
      </c>
      <c r="AO19" s="64">
        <f>IF(H19=0,0,AA19/H19)</f>
        <v/>
      </c>
      <c r="AP19" s="76">
        <f>AO19-AN19</f>
        <v/>
      </c>
      <c r="AQ19" s="75">
        <f>SUMIFS([1]инфо!$H$15:$H$28,[1]инфо!$A$15:$A$28,F19)</f>
        <v/>
      </c>
      <c r="AR19" s="62">
        <f>IF(H19=0,0,AC19/H19)</f>
        <v/>
      </c>
      <c r="AS19" s="76">
        <f>AR19-AQ19</f>
        <v/>
      </c>
      <c r="AT19" s="75">
        <f>SUMIFS([1]инфо!$I$15:$I$28,[1]инфо!$A$15:$A$28,F19)</f>
        <v/>
      </c>
      <c r="AU19" s="62">
        <f>IF(H19=0,0,AD19/H19)</f>
        <v/>
      </c>
      <c r="AV19" s="76">
        <f>AU19-AT19</f>
        <v/>
      </c>
      <c r="AX19" s="70">
        <f>SUMIFS([1]инфо!$C$15:$C$28,[1]инфо!$A$15:$A$28,F19)*H19</f>
        <v/>
      </c>
    </row>
    <row r="20">
      <c r="A20" s="50">
        <f>A18+1</f>
        <v/>
      </c>
      <c r="B20" s="65" t="inlineStr">
        <is>
          <t>0018</t>
        </is>
      </c>
      <c r="C20" s="52" t="inlineStr">
        <is>
          <t>Линия 1</t>
        </is>
      </c>
      <c r="D20" s="53" t="inlineStr">
        <is>
          <t>ночь</t>
        </is>
      </c>
      <c r="E20" s="66" t="inlineStr">
        <is>
          <t>Монаев</t>
        </is>
      </c>
      <c r="F20" s="67" t="inlineStr">
        <is>
          <t>РП половинка коричневый</t>
        </is>
      </c>
      <c r="G20" s="68" t="n">
        <v>32</v>
      </c>
      <c r="H20" s="68" t="n">
        <v>3403</v>
      </c>
      <c r="I20" s="57">
        <f>IFERROR(H20*VLOOKUP(F20,[1]инфо!$A$15:$C$28,3,FALSE)/1000,0)</f>
        <v/>
      </c>
      <c r="J20" s="68" t="n"/>
      <c r="K20" s="68" t="n">
        <v>21</v>
      </c>
      <c r="L20" s="68" t="n">
        <v>3</v>
      </c>
      <c r="M20" s="55" t="n"/>
      <c r="N20" s="55" t="n">
        <v>3243</v>
      </c>
      <c r="O20" s="58" t="n">
        <v>10902</v>
      </c>
      <c r="P20" s="58" t="n">
        <v>9629</v>
      </c>
      <c r="Q20" s="58" t="n"/>
      <c r="R20" s="58" t="n"/>
      <c r="S20" s="59">
        <f>SUM(O20:R20)</f>
        <v/>
      </c>
      <c r="T20" s="52" t="n"/>
      <c r="U20" s="53" t="n"/>
      <c r="V20" s="58" t="n"/>
      <c r="W20" s="58" t="n"/>
      <c r="X20" s="58" t="n"/>
      <c r="Y20" s="52" t="n">
        <v>160</v>
      </c>
      <c r="Z20" s="58" t="n"/>
      <c r="AA20" s="58" t="n"/>
      <c r="AB20" s="58" t="n"/>
      <c r="AC20" s="69" t="n">
        <v>320</v>
      </c>
      <c r="AD20" s="53" t="n">
        <v>160</v>
      </c>
      <c r="AE20" s="61">
        <f>SUMIFS([1]инфо!$D$15:$D$28,[1]инфо!$A$15:$A$28,F20)</f>
        <v/>
      </c>
      <c r="AF20" s="62">
        <f>IF(H20=0,0,N20/H20)</f>
        <v/>
      </c>
      <c r="AG20" s="63">
        <f>AF20-AE20</f>
        <v/>
      </c>
      <c r="AH20" s="61">
        <f>SUMIFS([1]инфо!$E$15:$E$28,[1]инфо!$A$15:$A$28,F20)</f>
        <v/>
      </c>
      <c r="AI20" s="64">
        <f>IF(H20=0,0,S20/H20)</f>
        <v/>
      </c>
      <c r="AJ20" s="63">
        <f>AI20-AH20</f>
        <v/>
      </c>
      <c r="AK20" s="61">
        <f>SUMIFS([1]инфо!$F$15:$F$28,[1]инфо!$A$15:$A$28,F20)</f>
        <v/>
      </c>
      <c r="AL20" s="64">
        <f>IF(H20=0,0,Y20/H20)</f>
        <v/>
      </c>
      <c r="AM20" s="63">
        <f>AL20-AK20</f>
        <v/>
      </c>
      <c r="AN20" s="61">
        <f>SUMIFS([1]инфо!$G$15:$G$28,[1]инфо!$A$15:$A$28,F20)</f>
        <v/>
      </c>
      <c r="AO20" s="64">
        <f>IF(H20=0,0,AA20/H20)</f>
        <v/>
      </c>
      <c r="AP20" s="63">
        <f>AO20-AN20</f>
        <v/>
      </c>
      <c r="AQ20" s="61">
        <f>SUMIFS([1]инфо!$H$15:$H$28,[1]инфо!$A$15:$A$28,F20)</f>
        <v/>
      </c>
      <c r="AR20" s="62">
        <f>IF(H20=0,0,AC20/H20)</f>
        <v/>
      </c>
      <c r="AS20" s="63">
        <f>AR20-AQ20</f>
        <v/>
      </c>
      <c r="AT20" s="61">
        <f>SUMIFS([1]инфо!$I$15:$I$28,[1]инфо!$A$15:$A$28,F20)</f>
        <v/>
      </c>
      <c r="AU20" s="62">
        <f>IF(H20=0,0,AD20/H20)</f>
        <v/>
      </c>
      <c r="AV20" s="63">
        <f>AU20-AT20</f>
        <v/>
      </c>
      <c r="AX20" s="70">
        <f>SUMIFS([1]инфо!$C$15:$C$28,[1]инфо!$A$15:$A$28,F20)*H20</f>
        <v/>
      </c>
    </row>
    <row r="21">
      <c r="A21" s="71">
        <f>A19+1</f>
        <v/>
      </c>
      <c r="B21" s="65" t="inlineStr">
        <is>
          <t>0019</t>
        </is>
      </c>
      <c r="C21" s="72" t="inlineStr">
        <is>
          <t>Линия 1</t>
        </is>
      </c>
      <c r="D21" s="73" t="inlineStr">
        <is>
          <t>день</t>
        </is>
      </c>
      <c r="E21" s="66" t="inlineStr">
        <is>
          <t>Дауылбай</t>
        </is>
      </c>
      <c r="F21" s="67" t="inlineStr">
        <is>
          <t>РП половинка</t>
        </is>
      </c>
      <c r="G21" s="68" t="n">
        <v>5</v>
      </c>
      <c r="H21" s="68" t="n">
        <v>426</v>
      </c>
      <c r="I21" s="57">
        <f>IFERROR(H21*VLOOKUP(F21,[1]инфо!$A$15:$C$28,3,FALSE)/1000,0)</f>
        <v/>
      </c>
      <c r="J21" s="68" t="n">
        <v>1400</v>
      </c>
      <c r="K21" s="68" t="n">
        <v>5</v>
      </c>
      <c r="L21" s="68" t="n"/>
      <c r="M21" s="55" t="n">
        <v>893</v>
      </c>
      <c r="N21" s="67" t="n">
        <v>503</v>
      </c>
      <c r="O21" s="74" t="n">
        <v>3203</v>
      </c>
      <c r="P21" s="74" t="n">
        <v>0</v>
      </c>
      <c r="Q21" s="74" t="n"/>
      <c r="R21" s="74" t="n"/>
      <c r="S21" s="70">
        <f>SUM(O21:R21)</f>
        <v/>
      </c>
      <c r="T21" s="72" t="n"/>
      <c r="U21" s="73" t="n"/>
      <c r="V21" s="74" t="n"/>
      <c r="W21" s="74" t="n"/>
      <c r="X21" s="74" t="n"/>
      <c r="Y21" s="72" t="n">
        <v>25</v>
      </c>
      <c r="Z21" s="74" t="n"/>
      <c r="AA21" s="74" t="n"/>
      <c r="AB21" s="74" t="n"/>
      <c r="AC21" s="69" t="n">
        <v>50</v>
      </c>
      <c r="AD21" s="73" t="n"/>
      <c r="AE21" s="75">
        <f>SUMIFS([1]инфо!$D$15:$D$28,[1]инфо!$A$15:$A$28,F21)</f>
        <v/>
      </c>
      <c r="AF21" s="62">
        <f>IF(H21=0,0,N21/H21)</f>
        <v/>
      </c>
      <c r="AG21" s="76">
        <f>AF21-AE21</f>
        <v/>
      </c>
      <c r="AH21" s="61">
        <f>SUMIFS([1]инфо!$E$15:$E$28,[1]инфо!$A$15:$A$28,F21)</f>
        <v/>
      </c>
      <c r="AI21" s="64">
        <f>IF(H21=0,0,S21/H21)</f>
        <v/>
      </c>
      <c r="AJ21" s="76">
        <f>AI21-AH21</f>
        <v/>
      </c>
      <c r="AK21" s="75">
        <f>SUMIFS([1]инфо!$F$15:$F$28,[1]инфо!$A$15:$A$28,F21)</f>
        <v/>
      </c>
      <c r="AL21" s="64">
        <f>IF(H21=0,0,Y21/H21)</f>
        <v/>
      </c>
      <c r="AM21" s="76">
        <f>AL21-AK21</f>
        <v/>
      </c>
      <c r="AN21" s="75">
        <f>SUMIFS([1]инфо!$G$15:$G$28,[1]инфо!$A$15:$A$28,F21)</f>
        <v/>
      </c>
      <c r="AO21" s="64">
        <f>IF(H21=0,0,AA21/H21)</f>
        <v/>
      </c>
      <c r="AP21" s="76">
        <f>AO21-AN21</f>
        <v/>
      </c>
      <c r="AQ21" s="75">
        <f>SUMIFS([1]инфо!$H$15:$H$28,[1]инфо!$A$15:$A$28,F21)</f>
        <v/>
      </c>
      <c r="AR21" s="62">
        <f>IF(H21=0,0,AC21/H21)</f>
        <v/>
      </c>
      <c r="AS21" s="76">
        <f>AR21-AQ21</f>
        <v/>
      </c>
      <c r="AT21" s="75">
        <f>SUMIFS([1]инфо!$I$15:$I$28,[1]инфо!$A$15:$A$28,F21)</f>
        <v/>
      </c>
      <c r="AU21" s="62">
        <f>IF(H21=0,0,AD21/H21)</f>
        <v/>
      </c>
      <c r="AV21" s="76">
        <f>AU21-AT21</f>
        <v/>
      </c>
      <c r="AX21" s="70">
        <f>SUMIFS([1]инфо!$C$15:$C$28,[1]инфо!$A$15:$A$28,F21)*H21</f>
        <v/>
      </c>
    </row>
    <row r="22">
      <c r="A22" s="71">
        <f>A20+1</f>
        <v/>
      </c>
      <c r="B22" s="65" t="inlineStr">
        <is>
          <t>0020</t>
        </is>
      </c>
      <c r="C22" s="52" t="inlineStr">
        <is>
          <t>Линия 1</t>
        </is>
      </c>
      <c r="D22" s="53" t="inlineStr">
        <is>
          <t>ночь</t>
        </is>
      </c>
      <c r="E22" s="66" t="inlineStr">
        <is>
          <t>Султанулы</t>
        </is>
      </c>
      <c r="F22" s="67" t="inlineStr">
        <is>
          <t>РП половинка коричневый</t>
        </is>
      </c>
      <c r="G22" s="68" t="n">
        <v>22</v>
      </c>
      <c r="H22" s="68" t="n">
        <v>3310</v>
      </c>
      <c r="I22" s="57">
        <f>IFERROR(H22*VLOOKUP(F22,[1]инфо!$A$15:$C$28,3,FALSE)/1000,0)</f>
        <v/>
      </c>
      <c r="J22" s="68" t="n">
        <v>1200</v>
      </c>
      <c r="K22" s="68" t="n">
        <v>3</v>
      </c>
      <c r="L22" s="68" t="n">
        <v>1</v>
      </c>
      <c r="M22" s="55" t="n">
        <v>171</v>
      </c>
      <c r="N22" s="55" t="n">
        <v>2224</v>
      </c>
      <c r="O22" s="58" t="n">
        <v>10264</v>
      </c>
      <c r="P22" s="58" t="n">
        <v>4457</v>
      </c>
      <c r="Q22" s="58" t="n"/>
      <c r="R22" s="58" t="n"/>
      <c r="S22" s="59">
        <f>SUM(O22:R22)</f>
        <v/>
      </c>
      <c r="T22" s="52" t="n"/>
      <c r="U22" s="53" t="n"/>
      <c r="V22" s="58" t="n"/>
      <c r="W22" s="58" t="n"/>
      <c r="X22" s="58" t="n"/>
      <c r="Y22" s="52" t="n">
        <v>198</v>
      </c>
      <c r="Z22" s="58" t="n"/>
      <c r="AA22" s="58" t="n"/>
      <c r="AB22" s="58" t="n"/>
      <c r="AC22" s="69" t="n">
        <v>220</v>
      </c>
      <c r="AD22" s="53" t="n"/>
      <c r="AE22" s="61">
        <f>SUMIFS([1]инфо!$D$15:$D$28,[1]инфо!$A$15:$A$28,F22)</f>
        <v/>
      </c>
      <c r="AF22" s="62">
        <f>IF(H22=0,0,N22/H22)</f>
        <v/>
      </c>
      <c r="AG22" s="63">
        <f>AF22-AE22</f>
        <v/>
      </c>
      <c r="AH22" s="61">
        <f>SUMIFS([1]инфо!$E$15:$E$28,[1]инфо!$A$15:$A$28,F22)</f>
        <v/>
      </c>
      <c r="AI22" s="64">
        <f>IF(H22=0,0,S22/H22)</f>
        <v/>
      </c>
      <c r="AJ22" s="63">
        <f>AI22-AH22</f>
        <v/>
      </c>
      <c r="AK22" s="61">
        <f>SUMIFS([1]инфо!$F$15:$F$28,[1]инфо!$A$15:$A$28,F22)</f>
        <v/>
      </c>
      <c r="AL22" s="64">
        <f>IF(H22=0,0,Y22/H22)</f>
        <v/>
      </c>
      <c r="AM22" s="63">
        <f>AL22-AK22</f>
        <v/>
      </c>
      <c r="AN22" s="61">
        <f>SUMIFS([1]инфо!$G$15:$G$28,[1]инфо!$A$15:$A$28,F22)</f>
        <v/>
      </c>
      <c r="AO22" s="64">
        <f>IF(H22=0,0,AA22/H22)</f>
        <v/>
      </c>
      <c r="AP22" s="63">
        <f>AO22-AN22</f>
        <v/>
      </c>
      <c r="AQ22" s="61">
        <f>SUMIFS([1]инфо!$H$15:$H$28,[1]инфо!$A$15:$A$28,F22)</f>
        <v/>
      </c>
      <c r="AR22" s="62">
        <f>IF(H22=0,0,AC22/H22)</f>
        <v/>
      </c>
      <c r="AS22" s="63">
        <f>AR22-AQ22</f>
        <v/>
      </c>
      <c r="AT22" s="61">
        <f>SUMIFS([1]инфо!$I$15:$I$28,[1]инфо!$A$15:$A$28,F22)</f>
        <v/>
      </c>
      <c r="AU22" s="62">
        <f>IF(H22=0,0,AD22/H22)</f>
        <v/>
      </c>
      <c r="AV22" s="63">
        <f>AU22-AT22</f>
        <v/>
      </c>
      <c r="AX22" s="70">
        <f>SUMIFS([1]инфо!$C$15:$C$28,[1]инфо!$A$15:$A$28,F22)*H22</f>
        <v/>
      </c>
    </row>
    <row r="23">
      <c r="A23" s="71">
        <f>A21+1</f>
        <v/>
      </c>
      <c r="B23" s="65" t="inlineStr">
        <is>
          <t>0021</t>
        </is>
      </c>
      <c r="C23" s="52" t="inlineStr">
        <is>
          <t>Линия 1</t>
        </is>
      </c>
      <c r="D23" s="53" t="inlineStr">
        <is>
          <t>день</t>
        </is>
      </c>
      <c r="E23" s="66" t="inlineStr">
        <is>
          <t>Дауылбай</t>
        </is>
      </c>
      <c r="F23" s="67" t="inlineStr">
        <is>
          <t>РП половинка коричневый</t>
        </is>
      </c>
      <c r="G23" s="68" t="n">
        <v>21</v>
      </c>
      <c r="H23" s="68" t="n">
        <v>2530</v>
      </c>
      <c r="I23" s="57">
        <f>IFERROR(H23*VLOOKUP(F23,[1]инфо!$A$15:$C$28,3,FALSE)/1000,0)</f>
        <v/>
      </c>
      <c r="J23" s="68" t="n">
        <v>2200</v>
      </c>
      <c r="K23" s="68" t="n">
        <v>14</v>
      </c>
      <c r="L23" s="68" t="n">
        <v>2</v>
      </c>
      <c r="M23" s="55" t="n">
        <v>159</v>
      </c>
      <c r="N23" s="55" t="n">
        <v>2125</v>
      </c>
      <c r="O23" s="58" t="n">
        <v>6586</v>
      </c>
      <c r="P23" s="58" t="n">
        <v>7227</v>
      </c>
      <c r="Q23" s="58" t="n"/>
      <c r="R23" s="58" t="n"/>
      <c r="S23" s="59">
        <f>SUM(O23:R23)</f>
        <v/>
      </c>
      <c r="T23" s="52" t="n"/>
      <c r="U23" s="53" t="n"/>
      <c r="V23" s="58" t="n"/>
      <c r="W23" s="58" t="n"/>
      <c r="X23" s="58" t="n"/>
      <c r="Y23" s="52" t="n">
        <v>189</v>
      </c>
      <c r="Z23" s="58" t="n"/>
      <c r="AA23" s="58" t="n"/>
      <c r="AB23" s="58" t="n"/>
      <c r="AC23" s="69" t="n">
        <v>210</v>
      </c>
      <c r="AD23" s="53" t="n">
        <v>30</v>
      </c>
      <c r="AE23" s="61">
        <f>SUMIFS([1]инфо!$D$15:$D$28,[1]инфо!$A$15:$A$28,F23)</f>
        <v/>
      </c>
      <c r="AF23" s="62">
        <f>IF(H23=0,0,N23/H23)</f>
        <v/>
      </c>
      <c r="AG23" s="63">
        <f>AF23-AE23</f>
        <v/>
      </c>
      <c r="AH23" s="61">
        <f>SUMIFS([1]инфо!$E$15:$E$28,[1]инфо!$A$15:$A$28,F23)</f>
        <v/>
      </c>
      <c r="AI23" s="64">
        <f>IF(H23=0,0,S23/H23)</f>
        <v/>
      </c>
      <c r="AJ23" s="63">
        <f>AI23-AH23</f>
        <v/>
      </c>
      <c r="AK23" s="61">
        <f>SUMIFS([1]инфо!$F$15:$F$28,[1]инфо!$A$15:$A$28,F23)</f>
        <v/>
      </c>
      <c r="AL23" s="64">
        <f>IF(H23=0,0,Y23/H23)</f>
        <v/>
      </c>
      <c r="AM23" s="63">
        <f>AL23-AK23</f>
        <v/>
      </c>
      <c r="AN23" s="61">
        <f>SUMIFS([1]инфо!$G$15:$G$28,[1]инфо!$A$15:$A$28,F23)</f>
        <v/>
      </c>
      <c r="AO23" s="64">
        <f>IF(H23=0,0,AA23/H23)</f>
        <v/>
      </c>
      <c r="AP23" s="63">
        <f>AO23-AN23</f>
        <v/>
      </c>
      <c r="AQ23" s="61">
        <f>SUMIFS([1]инфо!$H$15:$H$28,[1]инфо!$A$15:$A$28,F23)</f>
        <v/>
      </c>
      <c r="AR23" s="62">
        <f>IF(H23=0,0,AC23/H23)</f>
        <v/>
      </c>
      <c r="AS23" s="63">
        <f>AR23-AQ23</f>
        <v/>
      </c>
      <c r="AT23" s="61">
        <f>SUMIFS([1]инфо!$I$15:$I$28,[1]инфо!$A$15:$A$28,F23)</f>
        <v/>
      </c>
      <c r="AU23" s="62">
        <f>IF(H23=0,0,AD23/H23)</f>
        <v/>
      </c>
      <c r="AV23" s="63">
        <f>AU23-AT23</f>
        <v/>
      </c>
      <c r="AX23" s="70">
        <f>SUMIFS([1]инфо!$C$15:$C$28,[1]инфо!$A$15:$A$28,F23)*H23</f>
        <v/>
      </c>
    </row>
    <row r="24">
      <c r="A24" s="71">
        <f>A22+1</f>
        <v/>
      </c>
      <c r="B24" s="65" t="inlineStr">
        <is>
          <t>0022</t>
        </is>
      </c>
      <c r="C24" s="83" t="inlineStr">
        <is>
          <t>Линия 1</t>
        </is>
      </c>
      <c r="D24" s="78" t="inlineStr">
        <is>
          <t>ночь</t>
        </is>
      </c>
      <c r="E24" s="66" t="inlineStr">
        <is>
          <t>Султанулы</t>
        </is>
      </c>
      <c r="F24" s="67" t="inlineStr">
        <is>
          <t>РП половинка коричневый</t>
        </is>
      </c>
      <c r="G24" s="68" t="n">
        <v>32</v>
      </c>
      <c r="H24" s="68" t="n">
        <v>3595</v>
      </c>
      <c r="I24" s="57">
        <f>IFERROR(H24*VLOOKUP(F24,[1]инфо!$A$15:$C$28,3,FALSE)/1000,0)</f>
        <v/>
      </c>
      <c r="J24" s="68" t="n">
        <v>3400</v>
      </c>
      <c r="K24" s="68" t="n">
        <v>11</v>
      </c>
      <c r="L24" s="68" t="n">
        <v>1</v>
      </c>
      <c r="M24" s="55" t="n">
        <v>257</v>
      </c>
      <c r="N24" s="56" t="n">
        <v>3227</v>
      </c>
      <c r="O24" s="79" t="n">
        <v>10905</v>
      </c>
      <c r="P24" s="79" t="n">
        <v>9610</v>
      </c>
      <c r="Q24" s="79" t="n"/>
      <c r="R24" s="79" t="n"/>
      <c r="S24" s="80">
        <f>SUM(O24:R24)</f>
        <v/>
      </c>
      <c r="T24" s="77" t="n"/>
      <c r="U24" s="78" t="n"/>
      <c r="V24" s="79" t="n"/>
      <c r="W24" s="79" t="n"/>
      <c r="X24" s="79" t="n"/>
      <c r="Y24" s="77" t="n">
        <v>270</v>
      </c>
      <c r="Z24" s="79" t="n"/>
      <c r="AA24" s="79" t="n"/>
      <c r="AB24" s="79" t="n"/>
      <c r="AC24" s="69" t="n">
        <v>320</v>
      </c>
      <c r="AD24" s="78" t="n">
        <v>160</v>
      </c>
      <c r="AE24" s="81">
        <f>SUMIFS([1]инфо!$D$15:$D$28,[1]инфо!$A$15:$A$28,F24)</f>
        <v/>
      </c>
      <c r="AF24" s="62">
        <f>IF(H24=0,0,N24/H24)</f>
        <v/>
      </c>
      <c r="AG24" s="82">
        <f>AF24-AE24</f>
        <v/>
      </c>
      <c r="AH24" s="61">
        <f>SUMIFS([1]инфо!$E$15:$E$28,[1]инфо!$A$15:$A$28,F24)</f>
        <v/>
      </c>
      <c r="AI24" s="64">
        <f>IF(H24=0,0,S24/H24)</f>
        <v/>
      </c>
      <c r="AJ24" s="82">
        <f>AI24-AH24</f>
        <v/>
      </c>
      <c r="AK24" s="81">
        <f>SUMIFS([1]инфо!$F$15:$F$28,[1]инфо!$A$15:$A$28,F24)</f>
        <v/>
      </c>
      <c r="AL24" s="64">
        <f>IF(H24=0,0,Y24/H24)</f>
        <v/>
      </c>
      <c r="AM24" s="82">
        <f>AL24-AK24</f>
        <v/>
      </c>
      <c r="AN24" s="81">
        <f>SUMIFS([1]инфо!$G$15:$G$28,[1]инфо!$A$15:$A$28,F24)</f>
        <v/>
      </c>
      <c r="AO24" s="64">
        <f>IF(H24=0,0,AA24/H24)</f>
        <v/>
      </c>
      <c r="AP24" s="82">
        <f>AO24-AN24</f>
        <v/>
      </c>
      <c r="AQ24" s="81">
        <f>SUMIFS([1]инфо!$H$15:$H$28,[1]инфо!$A$15:$A$28,F24)</f>
        <v/>
      </c>
      <c r="AR24" s="62">
        <f>IF(H24=0,0,AC24/H24)</f>
        <v/>
      </c>
      <c r="AS24" s="82">
        <f>AR24-AQ24</f>
        <v/>
      </c>
      <c r="AT24" s="81">
        <f>SUMIFS([1]инфо!$I$15:$I$28,[1]инфо!$A$15:$A$28,F24)</f>
        <v/>
      </c>
      <c r="AU24" s="62">
        <f>IF(H24=0,0,AD24/H24)</f>
        <v/>
      </c>
      <c r="AV24" s="82">
        <f>AU24-AT24</f>
        <v/>
      </c>
      <c r="AX24" s="70">
        <f>SUMIFS([1]инфо!$C$15:$C$28,[1]инфо!$A$15:$A$28,F24)*H24</f>
        <v/>
      </c>
    </row>
    <row r="25">
      <c r="A25" s="71">
        <f>A23+1</f>
        <v/>
      </c>
      <c r="B25" s="65" t="inlineStr">
        <is>
          <t>0023</t>
        </is>
      </c>
      <c r="C25" s="52" t="inlineStr">
        <is>
          <t>Линия 1</t>
        </is>
      </c>
      <c r="D25" s="53" t="inlineStr">
        <is>
          <t>день</t>
        </is>
      </c>
      <c r="E25" s="66" t="inlineStr">
        <is>
          <t>Монаев</t>
        </is>
      </c>
      <c r="F25" s="67" t="inlineStr">
        <is>
          <t>плоский 10</t>
        </is>
      </c>
      <c r="G25" s="68" t="n">
        <v>8</v>
      </c>
      <c r="H25" s="68" t="n">
        <v>204</v>
      </c>
      <c r="I25" s="57">
        <f>IFERROR(H25*VLOOKUP(F25,[1]инфо!$A$15:$C$28,3,FALSE)/1000,0)</f>
        <v/>
      </c>
      <c r="J25" s="42" t="n"/>
      <c r="K25" s="68" t="n">
        <v>7</v>
      </c>
      <c r="L25" s="68" t="n">
        <v>7</v>
      </c>
      <c r="M25" s="55" t="n">
        <v>180</v>
      </c>
      <c r="N25" s="55" t="n">
        <v>812</v>
      </c>
      <c r="O25" s="55" t="n">
        <v>637</v>
      </c>
      <c r="P25" s="58" t="n">
        <v>4366</v>
      </c>
      <c r="Q25" s="58" t="n"/>
      <c r="R25" s="58" t="n"/>
      <c r="S25" s="59" t="n">
        <v>5003</v>
      </c>
      <c r="T25" s="52" t="n"/>
      <c r="U25" s="53" t="n"/>
      <c r="V25" s="58" t="n"/>
      <c r="W25" s="58" t="n"/>
      <c r="X25" s="58" t="n"/>
      <c r="Y25" s="52" t="n"/>
      <c r="Z25" s="58" t="n"/>
      <c r="AA25" s="58" t="n"/>
      <c r="AB25" s="58" t="n"/>
      <c r="AC25" s="69" t="n">
        <v>80</v>
      </c>
      <c r="AD25" s="53" t="n">
        <v>7</v>
      </c>
      <c r="AE25" s="61">
        <f>SUMIFS([1]инфо!$D$15:$D$28,[1]инфо!$A$15:$A$28,F25)</f>
        <v/>
      </c>
      <c r="AF25" s="62">
        <f>IF(H25=0,0,N25/H25)</f>
        <v/>
      </c>
      <c r="AG25" s="63">
        <f>AF25-AE25</f>
        <v/>
      </c>
      <c r="AH25" s="61">
        <f>SUMIFS([1]инфо!$E$15:$E$28,[1]инфо!$A$15:$A$28,F25)</f>
        <v/>
      </c>
      <c r="AI25" s="64">
        <f>IF(H25=0,0,S25/H25)</f>
        <v/>
      </c>
      <c r="AJ25" s="63">
        <f>AI25-AH25</f>
        <v/>
      </c>
      <c r="AK25" s="61">
        <f>SUMIFS([1]инфо!$F$15:$F$28,[1]инфо!$A$15:$A$28,F25)</f>
        <v/>
      </c>
      <c r="AL25" s="64">
        <f>IF(H25=0,0,Y25/H25)</f>
        <v/>
      </c>
      <c r="AM25" s="63">
        <f>AL25-AK25</f>
        <v/>
      </c>
      <c r="AN25" s="61">
        <f>SUMIFS([1]инфо!$G$15:$G$28,[1]инфо!$A$15:$A$28,F25)</f>
        <v/>
      </c>
      <c r="AO25" s="64">
        <f>IF(H25=0,0,AA25/H25)</f>
        <v/>
      </c>
      <c r="AP25" s="63">
        <f>AO25-AN25</f>
        <v/>
      </c>
      <c r="AQ25" s="61">
        <f>SUMIFS([1]инфо!$H$15:$H$28,[1]инфо!$A$15:$A$28,F25)</f>
        <v/>
      </c>
      <c r="AR25" s="62">
        <f>IF(H25=0,0,AC25/H25)</f>
        <v/>
      </c>
      <c r="AS25" s="63">
        <f>AR25-AQ25</f>
        <v/>
      </c>
      <c r="AT25" s="61">
        <f>SUMIFS([1]инфо!$I$15:$I$28,[1]инфо!$A$15:$A$28,F25)</f>
        <v/>
      </c>
      <c r="AU25" s="62">
        <f>IF(H25=0,0,AD25/H25)</f>
        <v/>
      </c>
      <c r="AV25" s="63">
        <f>AU25-AT25</f>
        <v/>
      </c>
      <c r="AX25" s="70">
        <f>SUMIFS([1]инфо!$C$15:$C$28,[1]инфо!$A$15:$A$28,F25)*H25</f>
        <v/>
      </c>
    </row>
    <row r="26">
      <c r="A26" s="71">
        <f>A24+1</f>
        <v/>
      </c>
      <c r="B26" s="65" t="inlineStr">
        <is>
          <t>0024</t>
        </is>
      </c>
      <c r="C26" s="52" t="inlineStr">
        <is>
          <t>Линия 1</t>
        </is>
      </c>
      <c r="D26" s="53" t="inlineStr">
        <is>
          <t>ночь</t>
        </is>
      </c>
      <c r="E26" s="66" t="inlineStr">
        <is>
          <t>Дауылбай</t>
        </is>
      </c>
      <c r="F26" s="67" t="inlineStr">
        <is>
          <t>плоский 10</t>
        </is>
      </c>
      <c r="G26" s="68" t="n">
        <v>42</v>
      </c>
      <c r="H26" s="68" t="n">
        <v>1041</v>
      </c>
      <c r="I26" s="57">
        <f>IFERROR(H26*VLOOKUP(F26,[1]инфо!$A$15:$C$28,3,FALSE)/1000,0)</f>
        <v/>
      </c>
      <c r="J26" s="68" t="n">
        <v>650</v>
      </c>
      <c r="K26" s="68" t="n">
        <v>8</v>
      </c>
      <c r="L26" s="68" t="n">
        <v>2</v>
      </c>
      <c r="M26" s="55" t="n">
        <v>91</v>
      </c>
      <c r="N26" s="55" t="n">
        <v>4254</v>
      </c>
      <c r="O26" s="58" t="n">
        <v>10247</v>
      </c>
      <c r="P26" s="58" t="n">
        <v>16661</v>
      </c>
      <c r="Q26" s="58" t="n"/>
      <c r="R26" s="58" t="n"/>
      <c r="S26" s="59">
        <f>SUM(O26:R26)</f>
        <v/>
      </c>
      <c r="T26" s="52" t="n"/>
      <c r="U26" s="53" t="n"/>
      <c r="V26" s="58" t="n"/>
      <c r="W26" s="58" t="n"/>
      <c r="X26" s="58" t="n"/>
      <c r="Y26" s="52" t="n">
        <v>378</v>
      </c>
      <c r="Z26" s="58" t="n"/>
      <c r="AA26" s="58" t="n"/>
      <c r="AB26" s="58" t="n"/>
      <c r="AC26" s="69" t="n">
        <v>420</v>
      </c>
      <c r="AD26" s="53" t="n">
        <v>205</v>
      </c>
      <c r="AE26" s="61">
        <f>SUMIFS([1]инфо!$D$15:$D$28,[1]инфо!$A$15:$A$28,F26)</f>
        <v/>
      </c>
      <c r="AF26" s="62">
        <f>IF(H26=0,0,N26/H26)</f>
        <v/>
      </c>
      <c r="AG26" s="63">
        <f>AF26-AE26</f>
        <v/>
      </c>
      <c r="AH26" s="61">
        <f>SUMIFS([1]инфо!$E$15:$E$28,[1]инфо!$A$15:$A$28,F26)</f>
        <v/>
      </c>
      <c r="AI26" s="64">
        <f>IF(H26=0,0,S26/H26)</f>
        <v/>
      </c>
      <c r="AJ26" s="63">
        <f>AI26-AH26</f>
        <v/>
      </c>
      <c r="AK26" s="61">
        <f>SUMIFS([1]инфо!$F$15:$F$28,[1]инфо!$A$15:$A$28,F26)</f>
        <v/>
      </c>
      <c r="AL26" s="64">
        <f>IF(H26=0,0,Y26/H26)</f>
        <v/>
      </c>
      <c r="AM26" s="63">
        <f>AL26-AK26</f>
        <v/>
      </c>
      <c r="AN26" s="61">
        <f>SUMIFS([1]инфо!$G$15:$G$28,[1]инфо!$A$15:$A$28,F26)</f>
        <v/>
      </c>
      <c r="AO26" s="64">
        <f>IF(H26=0,0,AA26/H26)</f>
        <v/>
      </c>
      <c r="AP26" s="63">
        <f>AO26-AN26</f>
        <v/>
      </c>
      <c r="AQ26" s="61">
        <f>SUMIFS([1]инфо!$H$15:$H$28,[1]инфо!$A$15:$A$28,F26)</f>
        <v/>
      </c>
      <c r="AR26" s="62">
        <f>IF(H26=0,0,AC26/H26)</f>
        <v/>
      </c>
      <c r="AS26" s="63">
        <f>AR26-AQ26</f>
        <v/>
      </c>
      <c r="AT26" s="61">
        <f>SUMIFS([1]инфо!$I$15:$I$28,[1]инфо!$A$15:$A$28,F26)</f>
        <v/>
      </c>
      <c r="AU26" s="62">
        <f>IF(H26=0,0,AD26/H26)</f>
        <v/>
      </c>
      <c r="AV26" s="63">
        <f>AU26-AT26</f>
        <v/>
      </c>
      <c r="AX26" s="70">
        <f>SUMIFS([1]инфо!$C$15:$C$28,[1]инфо!$A$15:$A$28,F26)*H26</f>
        <v/>
      </c>
    </row>
    <row r="27">
      <c r="A27" s="71">
        <f>A25+1</f>
        <v/>
      </c>
      <c r="B27" s="65" t="inlineStr">
        <is>
          <t>0025</t>
        </is>
      </c>
      <c r="C27" s="52" t="inlineStr">
        <is>
          <t>Линия 1</t>
        </is>
      </c>
      <c r="D27" s="53" t="inlineStr">
        <is>
          <t>день</t>
        </is>
      </c>
      <c r="E27" s="84" t="inlineStr">
        <is>
          <t>Бекбосынов</t>
        </is>
      </c>
      <c r="F27" s="67" t="inlineStr">
        <is>
          <t>плоский 10</t>
        </is>
      </c>
      <c r="G27" s="68" t="n">
        <v>18</v>
      </c>
      <c r="H27" s="68" t="n">
        <v>799</v>
      </c>
      <c r="I27" s="57">
        <f>IFERROR(H27*VLOOKUP(F27,[1]инфо!$A$15:$C$28,3,FALSE)/1000,0)</f>
        <v/>
      </c>
      <c r="J27" s="68" t="n">
        <v>1000</v>
      </c>
      <c r="K27" s="68" t="n">
        <v>0</v>
      </c>
      <c r="L27" s="68" t="n">
        <v>2</v>
      </c>
      <c r="M27" s="55" t="n">
        <v>20</v>
      </c>
      <c r="N27" s="55" t="n">
        <v>3647</v>
      </c>
      <c r="O27" s="58" t="n">
        <v>11527</v>
      </c>
      <c r="P27" s="58" t="n">
        <v>11547</v>
      </c>
      <c r="Q27" s="58" t="n"/>
      <c r="R27" s="58" t="n"/>
      <c r="S27" s="59">
        <f>SUM(O27:R27)</f>
        <v/>
      </c>
      <c r="T27" s="52" t="n"/>
      <c r="U27" s="53" t="n"/>
      <c r="V27" s="58" t="n"/>
      <c r="W27" s="58" t="n"/>
      <c r="X27" s="58" t="n"/>
      <c r="Y27" s="52" t="n"/>
      <c r="Z27" s="58" t="n"/>
      <c r="AA27" s="58" t="n"/>
      <c r="AB27" s="58" t="n"/>
      <c r="AC27" s="69" t="n">
        <v>360</v>
      </c>
      <c r="AD27" s="53" t="n">
        <v>180</v>
      </c>
      <c r="AE27" s="61">
        <f>SUMIFS([1]инфо!$D$15:$D$28,[1]инфо!$A$15:$A$28,F27)</f>
        <v/>
      </c>
      <c r="AF27" s="62">
        <f>IF(H27=0,0,N27/H27)</f>
        <v/>
      </c>
      <c r="AG27" s="63">
        <f>AF27-AE27</f>
        <v/>
      </c>
      <c r="AH27" s="61">
        <f>SUMIFS([1]инфо!$E$15:$E$28,[1]инфо!$A$15:$A$28,F27)</f>
        <v/>
      </c>
      <c r="AI27" s="64">
        <f>IF(H27=0,0,S27/H27)</f>
        <v/>
      </c>
      <c r="AJ27" s="63">
        <f>AI27-AH27</f>
        <v/>
      </c>
      <c r="AK27" s="61">
        <f>SUMIFS([1]инфо!$F$15:$F$28,[1]инфо!$A$15:$A$28,F27)</f>
        <v/>
      </c>
      <c r="AL27" s="64">
        <f>IF(H27=0,0,Y27/H27)</f>
        <v/>
      </c>
      <c r="AM27" s="63">
        <f>AL27-AK27</f>
        <v/>
      </c>
      <c r="AN27" s="61">
        <f>SUMIFS([1]инфо!$G$15:$G$28,[1]инфо!$A$15:$A$28,F27)</f>
        <v/>
      </c>
      <c r="AO27" s="64">
        <f>IF(H27=0,0,AA27/H27)</f>
        <v/>
      </c>
      <c r="AP27" s="63">
        <f>AO27-AN27</f>
        <v/>
      </c>
      <c r="AQ27" s="61">
        <f>SUMIFS([1]инфо!$H$15:$H$28,[1]инфо!$A$15:$A$28,F27)</f>
        <v/>
      </c>
      <c r="AR27" s="62">
        <f>IF(H27=0,0,AC27/H27)</f>
        <v/>
      </c>
      <c r="AS27" s="63">
        <f>AR27-AQ27</f>
        <v/>
      </c>
      <c r="AT27" s="61">
        <f>SUMIFS([1]инфо!$I$15:$I$28,[1]инфо!$A$15:$A$28,F27)</f>
        <v/>
      </c>
      <c r="AU27" s="62">
        <f>IF(H27=0,0,AD27/H27)</f>
        <v/>
      </c>
      <c r="AV27" s="63">
        <f>AU27-AT27</f>
        <v/>
      </c>
      <c r="AX27" s="70">
        <f>SUMIFS([1]инфо!$C$15:$C$28,[1]инфо!$A$15:$A$28,F27)*H27</f>
        <v/>
      </c>
    </row>
    <row r="28">
      <c r="A28" s="71">
        <f>A26+1</f>
        <v/>
      </c>
      <c r="B28" s="65" t="inlineStr">
        <is>
          <t>0026</t>
        </is>
      </c>
      <c r="C28" s="52" t="inlineStr">
        <is>
          <t>Линия 1</t>
        </is>
      </c>
      <c r="D28" s="53" t="inlineStr">
        <is>
          <t>ночь</t>
        </is>
      </c>
      <c r="E28" s="66" t="inlineStr">
        <is>
          <t>Монаев</t>
        </is>
      </c>
      <c r="F28" s="67" t="inlineStr">
        <is>
          <t>плоский 10</t>
        </is>
      </c>
      <c r="G28" s="68" t="n">
        <v>21</v>
      </c>
      <c r="H28" s="68" t="n">
        <v>500</v>
      </c>
      <c r="I28" s="57">
        <f>IFERROR(H28*VLOOKUP(F28,[1]инфо!$A$15:$C$28,3,FALSE)/1000,0)</f>
        <v/>
      </c>
      <c r="J28" s="68" t="n">
        <v>350</v>
      </c>
      <c r="K28" s="68" t="n">
        <v>1</v>
      </c>
      <c r="L28" s="68" t="n"/>
      <c r="M28" s="55" t="n">
        <v>41</v>
      </c>
      <c r="N28" s="55" t="n">
        <v>2127</v>
      </c>
      <c r="O28" s="58" t="n">
        <v>6415</v>
      </c>
      <c r="P28" s="58" t="n">
        <v>7060</v>
      </c>
      <c r="Q28" s="58" t="n"/>
      <c r="R28" s="58" t="n"/>
      <c r="S28" s="59">
        <f>SUM(O28:R28)</f>
        <v/>
      </c>
      <c r="T28" s="52" t="n"/>
      <c r="U28" s="53" t="n"/>
      <c r="V28" s="58" t="n"/>
      <c r="W28" s="58" t="n"/>
      <c r="X28" s="58" t="n"/>
      <c r="Y28" s="52" t="n">
        <v>189</v>
      </c>
      <c r="Z28" s="58" t="n"/>
      <c r="AA28" s="58" t="n"/>
      <c r="AB28" s="58" t="n"/>
      <c r="AC28" s="69" t="n">
        <v>210</v>
      </c>
      <c r="AD28" s="53" t="n">
        <v>10</v>
      </c>
      <c r="AE28" s="61">
        <f>SUMIFS([1]инфо!$D$15:$D$28,[1]инфо!$A$15:$A$28,F28)</f>
        <v/>
      </c>
      <c r="AF28" s="62">
        <f>IF(H28=0,0,N28/H28)</f>
        <v/>
      </c>
      <c r="AG28" s="63">
        <f>AF28-AE28</f>
        <v/>
      </c>
      <c r="AH28" s="61">
        <f>SUMIFS([1]инфо!$E$15:$E$28,[1]инфо!$A$15:$A$28,F28)</f>
        <v/>
      </c>
      <c r="AI28" s="64">
        <f>IF(H28=0,0,S28/H28)</f>
        <v/>
      </c>
      <c r="AJ28" s="63">
        <f>AI28-AH28</f>
        <v/>
      </c>
      <c r="AK28" s="61">
        <f>SUMIFS([1]инфо!$F$15:$F$28,[1]инфо!$A$15:$A$28,F28)</f>
        <v/>
      </c>
      <c r="AL28" s="64">
        <f>IF(H28=0,0,Y28/H28)</f>
        <v/>
      </c>
      <c r="AM28" s="63">
        <f>AL28-AK28</f>
        <v/>
      </c>
      <c r="AN28" s="61">
        <f>SUMIFS([1]инфо!$G$15:$G$28,[1]инфо!$A$15:$A$28,F28)</f>
        <v/>
      </c>
      <c r="AO28" s="64">
        <f>IF(H28=0,0,AA28/H28)</f>
        <v/>
      </c>
      <c r="AP28" s="63">
        <f>AO28-AN28</f>
        <v/>
      </c>
      <c r="AQ28" s="61">
        <f>SUMIFS([1]инфо!$H$15:$H$28,[1]инфо!$A$15:$A$28,F28)</f>
        <v/>
      </c>
      <c r="AR28" s="62">
        <f>IF(H28=0,0,AC28/H28)</f>
        <v/>
      </c>
      <c r="AS28" s="63">
        <f>AR28-AQ28</f>
        <v/>
      </c>
      <c r="AT28" s="61">
        <f>SUMIFS([1]инфо!$I$15:$I$28,[1]инфо!$A$15:$A$28,F28)</f>
        <v/>
      </c>
      <c r="AU28" s="62">
        <f>IF(H28=0,0,AD28/H28)</f>
        <v/>
      </c>
      <c r="AV28" s="63">
        <f>AU28-AT28</f>
        <v/>
      </c>
      <c r="AX28" s="70">
        <f>SUMIFS([1]инфо!$C$15:$C$28,[1]инфо!$A$15:$A$28,F28)*H28</f>
        <v/>
      </c>
    </row>
    <row r="29">
      <c r="A29" s="71">
        <f>A27+1</f>
        <v/>
      </c>
      <c r="B29" s="65" t="inlineStr">
        <is>
          <t>0027</t>
        </is>
      </c>
      <c r="C29" s="77" t="inlineStr">
        <is>
          <t>Линия 1</t>
        </is>
      </c>
      <c r="D29" s="78" t="inlineStr">
        <is>
          <t>день</t>
        </is>
      </c>
      <c r="E29" s="66" t="inlineStr">
        <is>
          <t>Султанулы</t>
        </is>
      </c>
      <c r="F29" s="67" t="inlineStr">
        <is>
          <t>плоский 10</t>
        </is>
      </c>
      <c r="G29" s="68" t="n">
        <v>24</v>
      </c>
      <c r="H29" s="68" t="n">
        <v>580</v>
      </c>
      <c r="I29" s="57">
        <f>IFERROR(H29*VLOOKUP(F29,[1]инфо!$A$15:$C$28,3,FALSE)/1000,0)</f>
        <v/>
      </c>
      <c r="J29" s="68" t="n">
        <v>550</v>
      </c>
      <c r="K29" s="68" t="n">
        <v>15</v>
      </c>
      <c r="L29" s="68" t="n">
        <v>4</v>
      </c>
      <c r="M29" s="55" t="n">
        <v>128</v>
      </c>
      <c r="N29" s="56" t="n">
        <v>2412</v>
      </c>
      <c r="O29" s="79" t="n">
        <v>5770</v>
      </c>
      <c r="P29" s="79" t="n">
        <v>9619</v>
      </c>
      <c r="Q29" s="79" t="n"/>
      <c r="R29" s="79" t="n"/>
      <c r="S29" s="80">
        <f>SUM(O29:R29)</f>
        <v/>
      </c>
      <c r="T29" s="77" t="n"/>
      <c r="U29" s="78" t="n"/>
      <c r="V29" s="79" t="n"/>
      <c r="W29" s="79" t="n"/>
      <c r="X29" s="79" t="n"/>
      <c r="Y29" s="77" t="n">
        <v>216</v>
      </c>
      <c r="Z29" s="79" t="n"/>
      <c r="AA29" s="79" t="n"/>
      <c r="AB29" s="79" t="n"/>
      <c r="AC29" s="69" t="n">
        <v>240</v>
      </c>
      <c r="AD29" s="78" t="n">
        <v>120</v>
      </c>
      <c r="AE29" s="81">
        <f>SUMIFS([1]инфо!$D$15:$D$28,[1]инфо!$A$15:$A$28,F29)</f>
        <v/>
      </c>
      <c r="AF29" s="62">
        <f>IF(H29=0,0,N29/H29)</f>
        <v/>
      </c>
      <c r="AG29" s="82">
        <f>AF29-AE29</f>
        <v/>
      </c>
      <c r="AH29" s="81">
        <f>SUMIFS([1]инфо!$E$15:$E$28,[1]инфо!$A$15:$A$28,F29)</f>
        <v/>
      </c>
      <c r="AI29" s="64">
        <f>IF(H29=0,0,S29/H29)</f>
        <v/>
      </c>
      <c r="AJ29" s="82">
        <f>AI29-AH29</f>
        <v/>
      </c>
      <c r="AK29" s="81">
        <f>SUMIFS([1]инфо!$F$15:$F$28,[1]инфо!$A$15:$A$28,F29)</f>
        <v/>
      </c>
      <c r="AL29" s="64">
        <f>IF(H29=0,0,Y29/H29)</f>
        <v/>
      </c>
      <c r="AM29" s="82">
        <f>AL29-AK29</f>
        <v/>
      </c>
      <c r="AN29" s="81">
        <f>SUMIFS([1]инфо!$G$15:$G$28,[1]инфо!$A$15:$A$28,F29)</f>
        <v/>
      </c>
      <c r="AO29" s="64">
        <f>IF(H29=0,0,AA29/H29)</f>
        <v/>
      </c>
      <c r="AP29" s="82">
        <f>AO29-AN29</f>
        <v/>
      </c>
      <c r="AQ29" s="81">
        <f>SUMIFS([1]инфо!$H$15:$H$28,[1]инфо!$A$15:$A$28,F29)</f>
        <v/>
      </c>
      <c r="AR29" s="62">
        <f>IF(H29=0,0,AC29/H29)</f>
        <v/>
      </c>
      <c r="AS29" s="82">
        <f>AR29-AQ29</f>
        <v/>
      </c>
      <c r="AT29" s="81">
        <f>SUMIFS([1]инфо!$I$15:$I$28,[1]инфо!$A$15:$A$28,F29)</f>
        <v/>
      </c>
      <c r="AU29" s="62">
        <f>IF(H29=0,0,AD29/H29)</f>
        <v/>
      </c>
      <c r="AV29" s="82">
        <f>AU29-AT29</f>
        <v/>
      </c>
      <c r="AX29" s="70">
        <f>SUMIFS([1]инфо!$C$15:$C$28,[1]инфо!$A$15:$A$28,F29)*H29</f>
        <v/>
      </c>
    </row>
    <row r="30">
      <c r="A30" s="71">
        <f>A28+1</f>
        <v/>
      </c>
      <c r="B30" s="65" t="inlineStr">
        <is>
          <t>0028</t>
        </is>
      </c>
      <c r="C30" s="72" t="inlineStr">
        <is>
          <t>Линия 1</t>
        </is>
      </c>
      <c r="D30" s="73" t="inlineStr">
        <is>
          <t>ночь</t>
        </is>
      </c>
      <c r="E30" s="66" t="inlineStr">
        <is>
          <t>Бекбосынов</t>
        </is>
      </c>
      <c r="F30" s="67" t="inlineStr">
        <is>
          <t>плоский 10</t>
        </is>
      </c>
      <c r="G30" s="68" t="n">
        <v>47</v>
      </c>
      <c r="H30" s="68" t="n">
        <v>1126</v>
      </c>
      <c r="I30" s="57">
        <f>IFERROR(H30*VLOOKUP(F30,[1]инфо!$A$15:$C$28,3,FALSE)/1000,0)</f>
        <v/>
      </c>
      <c r="J30" s="68" t="n">
        <v>1200</v>
      </c>
      <c r="K30" s="68" t="n">
        <v>6</v>
      </c>
      <c r="L30" s="68" t="n">
        <v>2</v>
      </c>
      <c r="M30" s="55" t="n">
        <v>86</v>
      </c>
      <c r="N30" s="67" t="n">
        <v>4737</v>
      </c>
      <c r="O30" s="74" t="n">
        <v>14773</v>
      </c>
      <c r="P30" s="74" t="n">
        <v>15399</v>
      </c>
      <c r="Q30" s="74" t="n"/>
      <c r="R30" s="74" t="n"/>
      <c r="S30" s="70">
        <f>SUM(O30:R30)</f>
        <v/>
      </c>
      <c r="T30" s="72" t="n"/>
      <c r="U30" s="73" t="n"/>
      <c r="V30" s="74" t="n"/>
      <c r="W30" s="74" t="n"/>
      <c r="X30" s="74" t="n"/>
      <c r="Y30" s="72" t="n">
        <v>423</v>
      </c>
      <c r="Z30" s="74" t="n"/>
      <c r="AA30" s="74" t="n"/>
      <c r="AB30" s="74" t="n"/>
      <c r="AC30" s="69" t="n">
        <v>470</v>
      </c>
      <c r="AD30" s="73" t="n">
        <v>235</v>
      </c>
      <c r="AE30" s="75">
        <f>SUMIFS([1]инфо!$D$15:$D$28,[1]инфо!$A$15:$A$28,F30)</f>
        <v/>
      </c>
      <c r="AF30" s="62">
        <f>IF(H30=0,0,N30/H30)</f>
        <v/>
      </c>
      <c r="AG30" s="76">
        <f>AF30-AE30</f>
        <v/>
      </c>
      <c r="AH30" s="75">
        <f>SUMIFS([1]инфо!$E$15:$E$28,[1]инфо!$A$15:$A$28,F30)</f>
        <v/>
      </c>
      <c r="AI30" s="64">
        <f>IF(H30=0,0,S30/H30)</f>
        <v/>
      </c>
      <c r="AJ30" s="76">
        <f>AI30-AH30</f>
        <v/>
      </c>
      <c r="AK30" s="75">
        <f>SUMIFS([1]инфо!$F$15:$F$28,[1]инфо!$A$15:$A$28,F30)</f>
        <v/>
      </c>
      <c r="AL30" s="64">
        <f>IF(H30=0,0,Y30/H30)</f>
        <v/>
      </c>
      <c r="AM30" s="76">
        <f>AL30-AK30</f>
        <v/>
      </c>
      <c r="AN30" s="75">
        <f>SUMIFS([1]инфо!$G$15:$G$28,[1]инфо!$A$15:$A$28,F30)</f>
        <v/>
      </c>
      <c r="AO30" s="64">
        <f>IF(H30=0,0,AA30/H30)</f>
        <v/>
      </c>
      <c r="AP30" s="76">
        <f>AO30-AN30</f>
        <v/>
      </c>
      <c r="AQ30" s="75">
        <f>SUMIFS([1]инфо!$H$15:$H$28,[1]инфо!$A$15:$A$28,F30)</f>
        <v/>
      </c>
      <c r="AR30" s="62">
        <f>IF(H30=0,0,AC30/H30)</f>
        <v/>
      </c>
      <c r="AS30" s="76">
        <f>AR30-AQ30</f>
        <v/>
      </c>
      <c r="AT30" s="75">
        <f>SUMIFS([1]инфо!$I$15:$I$28,[1]инфо!$A$15:$A$28,F30)</f>
        <v/>
      </c>
      <c r="AU30" s="62">
        <f>IF(H30=0,0,AD30/H30)</f>
        <v/>
      </c>
      <c r="AV30" s="76">
        <f>AU30-AT30</f>
        <v/>
      </c>
      <c r="AX30" s="70">
        <f>SUMIFS([1]инфо!$C$15:$C$28,[1]инфо!$A$15:$A$28,F30)*H30</f>
        <v/>
      </c>
    </row>
    <row r="31">
      <c r="A31" s="71">
        <f>A29+1</f>
        <v/>
      </c>
      <c r="B31" s="65" t="inlineStr">
        <is>
          <t>0029</t>
        </is>
      </c>
      <c r="C31" s="52" t="inlineStr">
        <is>
          <t>Линия 1</t>
        </is>
      </c>
      <c r="D31" s="53" t="inlineStr">
        <is>
          <t>день</t>
        </is>
      </c>
      <c r="E31" s="66" t="inlineStr">
        <is>
          <t>Дауылбай</t>
        </is>
      </c>
      <c r="F31" s="67" t="inlineStr">
        <is>
          <t>плоский 10</t>
        </is>
      </c>
      <c r="G31" s="68" t="n">
        <v>30</v>
      </c>
      <c r="H31" s="68" t="n">
        <v>810</v>
      </c>
      <c r="I31" s="57">
        <f>IFERROR(H31*VLOOKUP(F31,[1]инфо!$A$15:$C$28,3,FALSE)/1000,0)</f>
        <v/>
      </c>
      <c r="J31" s="68" t="n">
        <v>1000</v>
      </c>
      <c r="K31" s="68" t="n">
        <v>3</v>
      </c>
      <c r="L31" s="68" t="n"/>
      <c r="M31" s="55" t="n">
        <v>136</v>
      </c>
      <c r="N31" s="55" t="n">
        <v>3035</v>
      </c>
      <c r="O31" s="58" t="n">
        <v>8337</v>
      </c>
      <c r="P31" s="58" t="n">
        <v>10896</v>
      </c>
      <c r="Q31" s="58" t="n"/>
      <c r="R31" s="58" t="n"/>
      <c r="S31" s="59">
        <f>SUM(O31:R31)</f>
        <v/>
      </c>
      <c r="T31" s="52" t="n"/>
      <c r="U31" s="53" t="n"/>
      <c r="V31" s="58" t="n"/>
      <c r="W31" s="58" t="n"/>
      <c r="X31" s="58" t="n"/>
      <c r="Y31" s="52" t="n">
        <v>54</v>
      </c>
      <c r="Z31" s="58" t="n"/>
      <c r="AA31" s="58" t="n"/>
      <c r="AB31" s="58" t="n"/>
      <c r="AC31" s="69" t="n">
        <v>290</v>
      </c>
      <c r="AD31" s="53" t="n">
        <v>140</v>
      </c>
      <c r="AE31" s="61">
        <f>SUMIFS([1]инфо!$D$15:$D$28,[1]инфо!$A$15:$A$28,F31)</f>
        <v/>
      </c>
      <c r="AF31" s="62">
        <f>IF(H31=0,0,N31/H31)</f>
        <v/>
      </c>
      <c r="AG31" s="63">
        <f>AF31-AE31</f>
        <v/>
      </c>
      <c r="AH31" s="61">
        <f>SUMIFS([1]инфо!$E$15:$E$28,[1]инфо!$A$15:$A$28,F31)</f>
        <v/>
      </c>
      <c r="AI31" s="64">
        <f>IF(H31=0,0,S31/H31)</f>
        <v/>
      </c>
      <c r="AJ31" s="63">
        <f>AI31-AH31</f>
        <v/>
      </c>
      <c r="AK31" s="61">
        <f>SUMIFS([1]инфо!$F$15:$F$28,[1]инфо!$A$15:$A$28,F31)</f>
        <v/>
      </c>
      <c r="AL31" s="64">
        <f>IF(H31=0,0,Y31/H31)</f>
        <v/>
      </c>
      <c r="AM31" s="63">
        <f>AL31-AK31</f>
        <v/>
      </c>
      <c r="AN31" s="61">
        <f>SUMIFS([1]инфо!$G$15:$G$28,[1]инфо!$A$15:$A$28,F31)</f>
        <v/>
      </c>
      <c r="AO31" s="64">
        <f>IF(H31=0,0,AA31/H31)</f>
        <v/>
      </c>
      <c r="AP31" s="63">
        <f>AO31-AN31</f>
        <v/>
      </c>
      <c r="AQ31" s="61">
        <f>SUMIFS([1]инфо!$H$15:$H$28,[1]инфо!$A$15:$A$28,F31)</f>
        <v/>
      </c>
      <c r="AR31" s="62">
        <f>IF(H31=0,0,AC31/H31)</f>
        <v/>
      </c>
      <c r="AS31" s="63">
        <f>AR31-AQ31</f>
        <v/>
      </c>
      <c r="AT31" s="61">
        <f>SUMIFS([1]инфо!$I$15:$I$28,[1]инфо!$A$15:$A$28,F31)</f>
        <v/>
      </c>
      <c r="AU31" s="62">
        <f>IF(H31=0,0,AD31/H31)</f>
        <v/>
      </c>
      <c r="AV31" s="63">
        <f>AU31-AT31</f>
        <v/>
      </c>
      <c r="AX31" s="70">
        <f>SUMIFS([1]инфо!$C$15:$C$28,[1]инфо!$A$15:$A$28,F31)*H31</f>
        <v/>
      </c>
    </row>
    <row r="32">
      <c r="A32" s="71" t="n">
        <v>46083</v>
      </c>
      <c r="B32" s="65" t="inlineStr">
        <is>
          <t>нет</t>
        </is>
      </c>
      <c r="C32" s="52" t="inlineStr">
        <is>
          <t>Линия 1</t>
        </is>
      </c>
      <c r="D32" s="53" t="inlineStr">
        <is>
          <t>ночь</t>
        </is>
      </c>
      <c r="E32" s="66" t="inlineStr">
        <is>
          <t>Султанулы</t>
        </is>
      </c>
      <c r="F32" s="67" t="inlineStr">
        <is>
          <t>плоский 10</t>
        </is>
      </c>
      <c r="G32" s="68" t="n">
        <v>0</v>
      </c>
      <c r="H32" s="68" t="n">
        <v>0</v>
      </c>
      <c r="I32" s="57">
        <f>IFERROR(H32*VLOOKUP(F32,[1]инфо!$A$15:$C$28,3,FALSE)/1000,0)</f>
        <v/>
      </c>
      <c r="J32" s="68" t="n">
        <v>300</v>
      </c>
      <c r="K32" s="68" t="n">
        <v>7</v>
      </c>
      <c r="L32" s="68" t="n">
        <v>1</v>
      </c>
      <c r="M32" s="55" t="n"/>
      <c r="N32" s="55" t="n"/>
      <c r="O32" s="58" t="n"/>
      <c r="P32" s="58" t="n"/>
      <c r="Q32" s="58" t="n"/>
      <c r="R32" s="58" t="n"/>
      <c r="S32" s="59">
        <f>SUM(O32:R32)</f>
        <v/>
      </c>
      <c r="T32" s="52" t="n"/>
      <c r="U32" s="53" t="n"/>
      <c r="V32" s="58" t="n"/>
      <c r="W32" s="58" t="n"/>
      <c r="X32" s="58" t="n"/>
      <c r="Y32" s="52" t="n"/>
      <c r="Z32" s="58" t="n"/>
      <c r="AA32" s="58" t="n"/>
      <c r="AB32" s="58" t="n"/>
      <c r="AC32" s="58" t="n"/>
      <c r="AD32" s="53" t="n"/>
      <c r="AE32" s="61">
        <f>SUMIFS([1]инфо!$D$15:$D$28,[1]инфо!$A$15:$A$28,F32)</f>
        <v/>
      </c>
      <c r="AF32" s="62">
        <f>IF(H32=0,0,N32/H32)</f>
        <v/>
      </c>
      <c r="AG32" s="63">
        <f>AF32-AE32</f>
        <v/>
      </c>
      <c r="AH32" s="61">
        <f>SUMIFS([1]инфо!$E$15:$E$28,[1]инфо!$A$15:$A$28,F32)</f>
        <v/>
      </c>
      <c r="AI32" s="64">
        <f>IF(H32=0,0,S32/H32)</f>
        <v/>
      </c>
      <c r="AJ32" s="63">
        <f>AI32-AH32</f>
        <v/>
      </c>
      <c r="AK32" s="61">
        <f>SUMIFS([1]инфо!$F$15:$F$28,[1]инфо!$A$15:$A$28,F32)</f>
        <v/>
      </c>
      <c r="AL32" s="64">
        <f>IF(H32=0,0,Y32/H32)</f>
        <v/>
      </c>
      <c r="AM32" s="63">
        <f>AL32-AK32</f>
        <v/>
      </c>
      <c r="AN32" s="61">
        <f>SUMIFS([1]инфо!$G$15:$G$28,[1]инфо!$A$15:$A$28,F32)</f>
        <v/>
      </c>
      <c r="AO32" s="64">
        <f>IF(H32=0,0,AA32/H32)</f>
        <v/>
      </c>
      <c r="AP32" s="63">
        <f>AO32-AN32</f>
        <v/>
      </c>
      <c r="AQ32" s="61">
        <f>SUMIFS([1]инфо!$H$15:$H$28,[1]инфо!$A$15:$A$28,F32)</f>
        <v/>
      </c>
      <c r="AR32" s="62">
        <f>IF(H32=0,0,AC32/H32)</f>
        <v/>
      </c>
      <c r="AS32" s="63">
        <f>AR32-AQ32</f>
        <v/>
      </c>
      <c r="AT32" s="61">
        <f>SUMIFS([1]инфо!$I$15:$I$28,[1]инфо!$A$15:$A$28,F32)</f>
        <v/>
      </c>
      <c r="AU32" s="62">
        <f>IF(H32=0,0,AD32/H32)</f>
        <v/>
      </c>
      <c r="AV32" s="63">
        <f>AU32-AT32</f>
        <v/>
      </c>
      <c r="AX32" s="70">
        <f>SUMIFS([1]инфо!$C$15:$C$28,[1]инфо!$A$15:$A$28,F32)*H32</f>
        <v/>
      </c>
    </row>
    <row r="33">
      <c r="A33" s="71">
        <f>A31+1</f>
        <v/>
      </c>
      <c r="B33" s="65" t="inlineStr">
        <is>
          <t>0030</t>
        </is>
      </c>
      <c r="C33" s="52" t="inlineStr">
        <is>
          <t>Линия 1</t>
        </is>
      </c>
      <c r="D33" s="78" t="inlineStr">
        <is>
          <t>день</t>
        </is>
      </c>
      <c r="E33" s="66" t="inlineStr">
        <is>
          <t>Монаев</t>
        </is>
      </c>
      <c r="F33" s="67" t="inlineStr">
        <is>
          <t>плоский 10</t>
        </is>
      </c>
      <c r="G33" s="68" t="n">
        <v>16</v>
      </c>
      <c r="H33" s="68" t="n">
        <v>420</v>
      </c>
      <c r="I33" s="57">
        <f>IFERROR(H33*VLOOKUP(F33,[1]инфо!$A$15:$C$28,3,FALSE)/1000,0)</f>
        <v/>
      </c>
      <c r="J33" s="68" t="n"/>
      <c r="K33" s="68" t="n"/>
      <c r="L33" s="68" t="n"/>
      <c r="M33" s="55" t="n">
        <v>74</v>
      </c>
      <c r="N33" s="56" t="n">
        <v>1609</v>
      </c>
      <c r="O33" s="79" t="n">
        <v>3675</v>
      </c>
      <c r="P33" s="79" t="n">
        <v>6284</v>
      </c>
      <c r="Q33" s="79" t="n"/>
      <c r="R33" s="79" t="n"/>
      <c r="S33" s="80">
        <f>SUM(O33:R33)</f>
        <v/>
      </c>
      <c r="T33" s="77" t="n"/>
      <c r="U33" s="78" t="n"/>
      <c r="V33" s="79" t="n"/>
      <c r="W33" s="79" t="n"/>
      <c r="X33" s="79" t="n"/>
      <c r="Y33" s="77" t="n">
        <v>135</v>
      </c>
      <c r="Z33" s="79" t="n"/>
      <c r="AA33" s="79" t="n"/>
      <c r="AB33" s="79" t="n"/>
      <c r="AC33" s="69" t="n">
        <v>30</v>
      </c>
      <c r="AD33" s="78" t="n">
        <v>80</v>
      </c>
      <c r="AE33" s="81">
        <f>SUMIFS([1]инфо!$D$15:$D$28,[1]инфо!$A$15:$A$28,F33)</f>
        <v/>
      </c>
      <c r="AF33" s="62">
        <f>IF(H33=0,0,N33/H33)</f>
        <v/>
      </c>
      <c r="AG33" s="82">
        <f>AF33-AE33</f>
        <v/>
      </c>
      <c r="AH33" s="81">
        <f>SUMIFS([1]инфо!$E$15:$E$28,[1]инфо!$A$15:$A$28,F33)</f>
        <v/>
      </c>
      <c r="AI33" s="64">
        <f>IF(H33=0,0,S33/H33)</f>
        <v/>
      </c>
      <c r="AJ33" s="82">
        <f>AI33-AH33</f>
        <v/>
      </c>
      <c r="AK33" s="81">
        <f>SUMIFS([1]инфо!$F$15:$F$28,[1]инфо!$A$15:$A$28,F33)</f>
        <v/>
      </c>
      <c r="AL33" s="64">
        <f>IF(H33=0,0,Y33/H33)</f>
        <v/>
      </c>
      <c r="AM33" s="82">
        <f>AL33-AK33</f>
        <v/>
      </c>
      <c r="AN33" s="81">
        <f>SUMIFS([1]инфо!$G$15:$G$28,[1]инфо!$A$15:$A$28,F33)</f>
        <v/>
      </c>
      <c r="AO33" s="64">
        <f>IF(H33=0,0,AA33/H33)</f>
        <v/>
      </c>
      <c r="AP33" s="82">
        <f>AO33-AN33</f>
        <v/>
      </c>
      <c r="AQ33" s="81">
        <f>SUMIFS([1]инфо!$H$15:$H$28,[1]инфо!$A$15:$A$28,F33)</f>
        <v/>
      </c>
      <c r="AR33" s="62">
        <f>IF(H33=0,0,AC33/H33)</f>
        <v/>
      </c>
      <c r="AS33" s="82">
        <f>AR33-AQ33</f>
        <v/>
      </c>
      <c r="AT33" s="81">
        <f>SUMIFS([1]инфо!$I$15:$I$28,[1]инфо!$A$15:$A$28,F33)</f>
        <v/>
      </c>
      <c r="AU33" s="62">
        <f>IF(H33=0,0,AD33/H33)</f>
        <v/>
      </c>
      <c r="AV33" s="82">
        <f>AU33-AT33</f>
        <v/>
      </c>
      <c r="AX33" s="70">
        <f>SUMIFS([1]инфо!$C$15:$C$28,[1]инфо!$A$15:$A$28,F33)*H33</f>
        <v/>
      </c>
    </row>
    <row r="34">
      <c r="A34" s="71">
        <f>A32+1</f>
        <v/>
      </c>
      <c r="B34" s="65" t="inlineStr">
        <is>
          <t>0031</t>
        </is>
      </c>
      <c r="C34" s="52" t="inlineStr">
        <is>
          <t>Линия 1</t>
        </is>
      </c>
      <c r="D34" s="53" t="inlineStr">
        <is>
          <t>ночь</t>
        </is>
      </c>
      <c r="E34" s="66" t="inlineStr">
        <is>
          <t>Дауылбай</t>
        </is>
      </c>
      <c r="F34" s="67" t="inlineStr">
        <is>
          <t>плоский 10</t>
        </is>
      </c>
      <c r="G34" s="68" t="n">
        <v>14</v>
      </c>
      <c r="H34" s="68" t="n">
        <v>330</v>
      </c>
      <c r="I34" s="57">
        <f>IFERROR(H34*VLOOKUP(F34,[1]инфо!$A$15:$C$28,3,FALSE)/1000,0)</f>
        <v/>
      </c>
      <c r="J34" s="68" t="n">
        <v>300</v>
      </c>
      <c r="K34" s="68" t="n"/>
      <c r="L34" s="68" t="n"/>
      <c r="M34" s="55" t="n">
        <v>111</v>
      </c>
      <c r="N34" s="55" t="n">
        <v>1411</v>
      </c>
      <c r="O34" s="58" t="n">
        <v>4479</v>
      </c>
      <c r="P34" s="58" t="n">
        <v>4484</v>
      </c>
      <c r="Q34" s="58" t="n"/>
      <c r="R34" s="58" t="n"/>
      <c r="S34" s="59">
        <f>SUM(O34:R34)</f>
        <v/>
      </c>
      <c r="T34" s="52" t="n">
        <v>100</v>
      </c>
      <c r="U34" s="53" t="n">
        <v>640</v>
      </c>
      <c r="V34" s="58" t="n"/>
      <c r="W34" s="58" t="n"/>
      <c r="X34" s="58" t="n"/>
      <c r="Y34" s="52" t="n">
        <v>126</v>
      </c>
      <c r="Z34" s="58" t="n"/>
      <c r="AA34" s="58" t="n"/>
      <c r="AB34" s="58" t="n"/>
      <c r="AC34" s="69" t="n">
        <v>140</v>
      </c>
      <c r="AD34" s="53" t="n">
        <v>70</v>
      </c>
      <c r="AE34" s="61">
        <f>SUMIFS([1]инфо!$D$15:$D$28,[1]инфо!$A$15:$A$28,F34)</f>
        <v/>
      </c>
      <c r="AF34" s="62">
        <f>IF(H34=0,0,N34/H34)</f>
        <v/>
      </c>
      <c r="AG34" s="63">
        <f>AF34-AE34</f>
        <v/>
      </c>
      <c r="AH34" s="61">
        <f>SUMIFS([1]инфо!$E$15:$E$28,[1]инфо!$A$15:$A$28,F34)</f>
        <v/>
      </c>
      <c r="AI34" s="64">
        <f>IF(H34=0,0,S34/H34)</f>
        <v/>
      </c>
      <c r="AJ34" s="63">
        <f>AI34-AH34</f>
        <v/>
      </c>
      <c r="AK34" s="61">
        <f>SUMIFS([1]инфо!$F$15:$F$28,[1]инфо!$A$15:$A$28,F34)</f>
        <v/>
      </c>
      <c r="AL34" s="64">
        <f>IF(H34=0,0,Y34/H34)</f>
        <v/>
      </c>
      <c r="AM34" s="63">
        <f>AL34-AK34</f>
        <v/>
      </c>
      <c r="AN34" s="61">
        <f>SUMIFS([1]инфо!$G$15:$G$28,[1]инфо!$A$15:$A$28,F34)</f>
        <v/>
      </c>
      <c r="AO34" s="64">
        <f>IF(H34=0,0,AA34/H34)</f>
        <v/>
      </c>
      <c r="AP34" s="63">
        <f>AO34-AN34</f>
        <v/>
      </c>
      <c r="AQ34" s="61">
        <f>SUMIFS([1]инфо!$H$15:$H$28,[1]инфо!$A$15:$A$28,F34)</f>
        <v/>
      </c>
      <c r="AR34" s="62">
        <f>IF(H34=0,0,AC34/H34)</f>
        <v/>
      </c>
      <c r="AS34" s="63">
        <f>AR34-AQ34</f>
        <v/>
      </c>
      <c r="AT34" s="61">
        <f>SUMIFS([1]инфо!$I$15:$I$28,[1]инфо!$A$15:$A$28,F34)</f>
        <v/>
      </c>
      <c r="AU34" s="62">
        <f>IF(H34=0,0,AD34/H34)</f>
        <v/>
      </c>
      <c r="AV34" s="63">
        <f>AU34-AT34</f>
        <v/>
      </c>
      <c r="AX34" s="70">
        <f>SUMIFS([1]инфо!$C$15:$C$28,[1]инфо!$A$15:$A$28,F34)*H34</f>
        <v/>
      </c>
    </row>
    <row r="35">
      <c r="A35" s="71">
        <f>A33+1</f>
        <v/>
      </c>
      <c r="B35" s="65" t="inlineStr">
        <is>
          <t>0032</t>
        </is>
      </c>
      <c r="C35" s="52" t="inlineStr">
        <is>
          <t>Линия 1</t>
        </is>
      </c>
      <c r="D35" s="53" t="inlineStr">
        <is>
          <t>день</t>
        </is>
      </c>
      <c r="E35" s="66" t="inlineStr">
        <is>
          <t>Бекбосынов</t>
        </is>
      </c>
      <c r="F35" s="67" t="inlineStr">
        <is>
          <t>плоский 10</t>
        </is>
      </c>
      <c r="G35" s="68" t="n">
        <v>9</v>
      </c>
      <c r="H35" s="68" t="n">
        <v>200</v>
      </c>
      <c r="I35" s="57">
        <f>IFERROR(H35*VLOOKUP(F35,[1]инфо!$A$15:$C$28,3,FALSE)/1000,0)</f>
        <v/>
      </c>
      <c r="J35" s="68" t="n"/>
      <c r="K35" s="68" t="n">
        <v>4</v>
      </c>
      <c r="L35" s="68" t="n"/>
      <c r="M35" s="55" t="n">
        <v>13</v>
      </c>
      <c r="N35" s="55" t="n">
        <v>909</v>
      </c>
      <c r="O35" s="58" t="n">
        <v>5118</v>
      </c>
      <c r="P35" s="58" t="n">
        <v>639</v>
      </c>
      <c r="Q35" s="58" t="n"/>
      <c r="R35" s="58" t="n"/>
      <c r="S35" s="59">
        <f>SUM(O35:R35)</f>
        <v/>
      </c>
      <c r="T35" s="52" t="n"/>
      <c r="U35" s="53" t="n"/>
      <c r="V35" s="58" t="n"/>
      <c r="W35" s="58" t="n"/>
      <c r="X35" s="58" t="n"/>
      <c r="Y35" s="52" t="n">
        <v>81</v>
      </c>
      <c r="Z35" s="58" t="n"/>
      <c r="AA35" s="58" t="n"/>
      <c r="AB35" s="58" t="n"/>
      <c r="AC35" s="69" t="n">
        <v>90</v>
      </c>
      <c r="AD35" s="53" t="n">
        <v>45</v>
      </c>
      <c r="AE35" s="61">
        <f>SUMIFS([1]инфо!$D$15:$D$28,[1]инфо!$A$15:$A$28,F35)</f>
        <v/>
      </c>
      <c r="AF35" s="62">
        <f>IF(H35=0,0,N35/H35)</f>
        <v/>
      </c>
      <c r="AG35" s="63">
        <f>AF35-AE35</f>
        <v/>
      </c>
      <c r="AH35" s="61">
        <f>SUMIFS([1]инфо!$E$15:$E$28,[1]инфо!$A$15:$A$28,F35)</f>
        <v/>
      </c>
      <c r="AI35" s="64">
        <f>IF(H35=0,0,S35/H35)</f>
        <v/>
      </c>
      <c r="AJ35" s="63">
        <f>AI35-AH35</f>
        <v/>
      </c>
      <c r="AK35" s="61">
        <f>SUMIFS([1]инфо!$F$15:$F$28,[1]инфо!$A$15:$A$28,F35)</f>
        <v/>
      </c>
      <c r="AL35" s="64">
        <f>IF(H35=0,0,Y35/H35)</f>
        <v/>
      </c>
      <c r="AM35" s="63">
        <f>AL35-AK35</f>
        <v/>
      </c>
      <c r="AN35" s="61">
        <f>SUMIFS([1]инфо!$G$15:$G$28,[1]инфо!$A$15:$A$28,F35)</f>
        <v/>
      </c>
      <c r="AO35" s="64">
        <f>IF(H35=0,0,AA35/H35)</f>
        <v/>
      </c>
      <c r="AP35" s="63">
        <f>AO35-AN35</f>
        <v/>
      </c>
      <c r="AQ35" s="61">
        <f>SUMIFS([1]инфо!$H$15:$H$28,[1]инфо!$A$15:$A$28,F35)</f>
        <v/>
      </c>
      <c r="AR35" s="62">
        <f>IF(H35=0,0,AC35/H35)</f>
        <v/>
      </c>
      <c r="AS35" s="63">
        <f>AR35-AQ35</f>
        <v/>
      </c>
      <c r="AT35" s="61">
        <f>SUMIFS([1]инфо!$I$15:$I$28,[1]инфо!$A$15:$A$28,F35)</f>
        <v/>
      </c>
      <c r="AU35" s="62">
        <f>IF(H35=0,0,AD35/H35)</f>
        <v/>
      </c>
      <c r="AV35" s="63">
        <f>AU35-AT35</f>
        <v/>
      </c>
      <c r="AX35" s="70">
        <f>SUMIFS([1]инфо!$C$15:$C$28,[1]инфо!$A$15:$A$28,F35)*H35</f>
        <v/>
      </c>
    </row>
    <row r="36">
      <c r="A36" s="71">
        <f>A34+1</f>
        <v/>
      </c>
      <c r="B36" s="65" t="inlineStr">
        <is>
          <t>0033</t>
        </is>
      </c>
      <c r="C36" s="77" t="inlineStr">
        <is>
          <t>Линия 1</t>
        </is>
      </c>
      <c r="D36" s="78" t="inlineStr">
        <is>
          <t>ночь</t>
        </is>
      </c>
      <c r="E36" s="66" t="inlineStr">
        <is>
          <t>Монаев</t>
        </is>
      </c>
      <c r="F36" s="67" t="inlineStr">
        <is>
          <t>плоский 10</t>
        </is>
      </c>
      <c r="G36" s="68" t="n">
        <v>23</v>
      </c>
      <c r="H36" s="68" t="n">
        <v>600</v>
      </c>
      <c r="I36" s="57">
        <f>IFERROR(H36*VLOOKUP(F36,[1]инфо!$A$15:$C$28,3,FALSE)/1000,0)</f>
        <v/>
      </c>
      <c r="J36" s="68" t="n">
        <v>300</v>
      </c>
      <c r="K36" s="68" t="n"/>
      <c r="L36" s="68" t="n"/>
      <c r="M36" s="55" t="n">
        <v>72</v>
      </c>
      <c r="N36" s="56" t="n">
        <v>2321</v>
      </c>
      <c r="O36" s="79" t="n">
        <v>3834</v>
      </c>
      <c r="P36" s="79" t="n">
        <v>10887</v>
      </c>
      <c r="Q36" s="79" t="n"/>
      <c r="R36" s="79" t="n"/>
      <c r="S36" s="80">
        <f>SUM(O36:R36)</f>
        <v/>
      </c>
      <c r="T36" s="77" t="n"/>
      <c r="U36" s="78" t="n"/>
      <c r="V36" s="79" t="n"/>
      <c r="W36" s="79" t="n"/>
      <c r="X36" s="79" t="n"/>
      <c r="Y36" s="77" t="n">
        <v>155</v>
      </c>
      <c r="Z36" s="79" t="n"/>
      <c r="AA36" s="79" t="n"/>
      <c r="AB36" s="79" t="n"/>
      <c r="AC36" s="69" t="n">
        <v>230</v>
      </c>
      <c r="AD36" s="78" t="n">
        <v>115</v>
      </c>
      <c r="AE36" s="81">
        <f>SUMIFS([1]инфо!$D$15:$D$28,[1]инфо!$A$15:$A$28,F36)</f>
        <v/>
      </c>
      <c r="AF36" s="62">
        <f>IF(H36=0,0,N36/H36)</f>
        <v/>
      </c>
      <c r="AG36" s="82">
        <f>AF36-AE36</f>
        <v/>
      </c>
      <c r="AH36" s="81">
        <f>SUMIFS([1]инфо!$E$15:$E$28,[1]инфо!$A$15:$A$28,F36)</f>
        <v/>
      </c>
      <c r="AI36" s="64">
        <f>IF(H36=0,0,S36/H36)</f>
        <v/>
      </c>
      <c r="AJ36" s="82">
        <f>AI36-AH36</f>
        <v/>
      </c>
      <c r="AK36" s="81">
        <f>SUMIFS([1]инфо!$F$15:$F$28,[1]инфо!$A$15:$A$28,F36)</f>
        <v/>
      </c>
      <c r="AL36" s="64">
        <f>IF(H36=0,0,Y36/H36)</f>
        <v/>
      </c>
      <c r="AM36" s="82">
        <f>AL36-AK36</f>
        <v/>
      </c>
      <c r="AN36" s="81">
        <f>SUMIFS([1]инфо!$G$15:$G$28,[1]инфо!$A$15:$A$28,F36)</f>
        <v/>
      </c>
      <c r="AO36" s="64">
        <f>IF(H36=0,0,AA36/H36)</f>
        <v/>
      </c>
      <c r="AP36" s="82">
        <f>AO36-AN36</f>
        <v/>
      </c>
      <c r="AQ36" s="81">
        <f>SUMIFS([1]инфо!$H$15:$H$28,[1]инфо!$A$15:$A$28,F36)</f>
        <v/>
      </c>
      <c r="AR36" s="62">
        <f>IF(H36=0,0,AC36/H36)</f>
        <v/>
      </c>
      <c r="AS36" s="82">
        <f>AR36-AQ36</f>
        <v/>
      </c>
      <c r="AT36" s="81">
        <f>SUMIFS([1]инфо!$I$15:$I$28,[1]инфо!$A$15:$A$28,F36)</f>
        <v/>
      </c>
      <c r="AU36" s="62">
        <f>IF(H36=0,0,AD36/H36)</f>
        <v/>
      </c>
      <c r="AV36" s="82">
        <f>AU36-AT36</f>
        <v/>
      </c>
      <c r="AX36" s="80">
        <f>SUMIFS([1]инфо!$C$15:$C$28,[1]инфо!$A$15:$A$28,F36)*H35</f>
        <v/>
      </c>
    </row>
    <row r="37">
      <c r="A37" s="71">
        <f>A35+1</f>
        <v/>
      </c>
      <c r="B37" s="65" t="inlineStr">
        <is>
          <t>0034</t>
        </is>
      </c>
      <c r="C37" s="43" t="inlineStr">
        <is>
          <t>Линия 1</t>
        </is>
      </c>
      <c r="D37" s="73" t="inlineStr">
        <is>
          <t>день</t>
        </is>
      </c>
      <c r="E37" s="66" t="inlineStr">
        <is>
          <t>Султанулы</t>
        </is>
      </c>
      <c r="F37" s="67" t="inlineStr">
        <is>
          <t>плоский 10</t>
        </is>
      </c>
      <c r="G37" s="68" t="n">
        <v>11</v>
      </c>
      <c r="H37" s="68" t="n">
        <v>214</v>
      </c>
      <c r="I37" s="57">
        <f>IFERROR(H37*VLOOKUP(F37,[1]инфо!$A$15:$C$28,3,FALSE)/1000,0)</f>
        <v/>
      </c>
      <c r="J37" s="68" t="n">
        <v>400</v>
      </c>
      <c r="K37" s="68" t="n">
        <v>2</v>
      </c>
      <c r="L37" s="68" t="n">
        <v>1</v>
      </c>
      <c r="M37" s="55" t="n">
        <v>25</v>
      </c>
      <c r="N37" s="67" t="n">
        <v>1113</v>
      </c>
      <c r="O37" s="74" t="n">
        <v>1279</v>
      </c>
      <c r="P37" s="74" t="n">
        <v>5762</v>
      </c>
      <c r="Q37" s="74" t="n"/>
      <c r="R37" s="74" t="n"/>
      <c r="S37" s="70">
        <f>SUM(O37:R37)</f>
        <v/>
      </c>
      <c r="T37" s="72" t="n">
        <v>55</v>
      </c>
      <c r="U37" s="73" t="n"/>
      <c r="V37" s="74" t="n"/>
      <c r="W37" s="74" t="n"/>
      <c r="X37" s="74" t="n"/>
      <c r="Y37" s="72" t="n">
        <v>110</v>
      </c>
      <c r="Z37" s="74" t="n"/>
      <c r="AA37" s="74" t="n"/>
      <c r="AB37" s="74" t="n"/>
      <c r="AC37" s="69" t="n">
        <v>110</v>
      </c>
      <c r="AD37" s="73" t="n"/>
      <c r="AE37" s="75">
        <f>SUMIFS([1]инфо!$D$15:$D$28,[1]инфо!$A$15:$A$28,F37)</f>
        <v/>
      </c>
      <c r="AF37" s="62">
        <f>IF(H37=0,0,N37/H37)</f>
        <v/>
      </c>
      <c r="AG37" s="76">
        <f>AF37-AE37</f>
        <v/>
      </c>
      <c r="AH37" s="75">
        <f>SUMIFS([1]инфо!$E$15:$E$28,[1]инфо!$A$15:$A$28,F37)</f>
        <v/>
      </c>
      <c r="AI37" s="64">
        <f>IF(H37=0,0,S37/H37)</f>
        <v/>
      </c>
      <c r="AJ37" s="76">
        <f>AI37-AH37</f>
        <v/>
      </c>
      <c r="AK37" s="75">
        <f>SUMIFS([1]инфо!$F$15:$F$28,[1]инфо!$A$15:$A$28,F37)</f>
        <v/>
      </c>
      <c r="AL37" s="64">
        <f>IF(H37=0,0,Y37/H37)</f>
        <v/>
      </c>
      <c r="AM37" s="76">
        <f>AL37-AK37</f>
        <v/>
      </c>
      <c r="AN37" s="75">
        <f>SUMIFS([1]инфо!$G$15:$G$28,[1]инфо!$A$15:$A$28,F37)</f>
        <v/>
      </c>
      <c r="AO37" s="64">
        <f>IF(H37=0,0,AA37/H37)</f>
        <v/>
      </c>
      <c r="AP37" s="76">
        <f>AO37-AN37</f>
        <v/>
      </c>
      <c r="AQ37" s="75">
        <f>SUMIFS([1]инфо!$H$15:$H$28,[1]инфо!$A$15:$A$28,F37)</f>
        <v/>
      </c>
      <c r="AR37" s="64">
        <f>IF(H36=0,0,AC37/H36)</f>
        <v/>
      </c>
      <c r="AS37" s="76">
        <f>AR37-AQ37</f>
        <v/>
      </c>
      <c r="AT37" s="75">
        <f>SUMIFS([1]инфо!$I$15:$I$28,[1]инфо!$A$15:$A$28,F37)</f>
        <v/>
      </c>
      <c r="AU37" s="62">
        <f>IF(H37=0,0,AD37/H37)</f>
        <v/>
      </c>
      <c r="AV37" s="76">
        <f>AU37-AT37</f>
        <v/>
      </c>
      <c r="AX37" s="70">
        <f>SUMIFS([1]инфо!$C$15:$C$28,[1]инфо!$A$15:$A$28,F37)*H36</f>
        <v/>
      </c>
    </row>
    <row r="38">
      <c r="A38" s="71" t="n">
        <v>46087</v>
      </c>
      <c r="B38" s="65" t="inlineStr">
        <is>
          <t>0035</t>
        </is>
      </c>
      <c r="C38" s="72" t="inlineStr">
        <is>
          <t>Линия 1</t>
        </is>
      </c>
      <c r="D38" s="53" t="inlineStr">
        <is>
          <t>день</t>
        </is>
      </c>
      <c r="E38" s="66" t="inlineStr">
        <is>
          <t>Дауылбай</t>
        </is>
      </c>
      <c r="F38" s="67" t="inlineStr">
        <is>
          <t>плоский 10</t>
        </is>
      </c>
      <c r="G38" s="68" t="n">
        <v>25</v>
      </c>
      <c r="H38" s="68" t="n">
        <v>590</v>
      </c>
      <c r="I38" s="57">
        <f>IFERROR(H38*VLOOKUP(F38,[1]инфо!$A$15:$C$28,3,FALSE)/1000,0)</f>
        <v/>
      </c>
      <c r="J38" s="68" t="n">
        <v>550</v>
      </c>
      <c r="K38" s="68" t="n"/>
      <c r="L38" s="68" t="n"/>
      <c r="M38" s="55" t="n">
        <v>170</v>
      </c>
      <c r="N38" s="55" t="n">
        <v>2644</v>
      </c>
      <c r="O38" s="58" t="n"/>
      <c r="P38" s="58" t="n">
        <v>15653</v>
      </c>
      <c r="Q38" s="58" t="n"/>
      <c r="R38" s="58" t="n"/>
      <c r="S38" s="59">
        <f>SUM(O38:R38)</f>
        <v/>
      </c>
      <c r="T38" s="52" t="n"/>
      <c r="U38" s="53" t="n"/>
      <c r="V38" s="58" t="n"/>
      <c r="W38" s="58" t="n"/>
      <c r="X38" s="58" t="n"/>
      <c r="Y38" s="52" t="n">
        <v>250</v>
      </c>
      <c r="Z38" s="58" t="n"/>
      <c r="AA38" s="58" t="n"/>
      <c r="AB38" s="58" t="n"/>
      <c r="AC38" s="69" t="n">
        <v>250</v>
      </c>
      <c r="AD38" s="53" t="n">
        <v>125</v>
      </c>
      <c r="AE38" s="61">
        <f>SUMIFS([1]инфо!$D$15:$D$28,[1]инфо!$A$15:$A$28,F38)</f>
        <v/>
      </c>
      <c r="AF38" s="62">
        <f>IF(H38=0,0,N38/H38)</f>
        <v/>
      </c>
      <c r="AG38" s="63">
        <f>AF38-AE38</f>
        <v/>
      </c>
      <c r="AH38" s="61">
        <f>SUMIFS([1]инфо!$E$15:$E$28,[1]инфо!$A$15:$A$28,F38)</f>
        <v/>
      </c>
      <c r="AI38" s="64">
        <f>IF(H38=0,0,S38/H38)</f>
        <v/>
      </c>
      <c r="AJ38" s="63">
        <f>AI38-AH38</f>
        <v/>
      </c>
      <c r="AK38" s="61">
        <f>SUMIFS([1]инфо!$F$15:$F$28,[1]инфо!$A$15:$A$28,F38)</f>
        <v/>
      </c>
      <c r="AL38" s="64">
        <f>IF(H38=0,0,Y38/H38)</f>
        <v/>
      </c>
      <c r="AM38" s="63">
        <f>AL38-AK38</f>
        <v/>
      </c>
      <c r="AN38" s="61">
        <f>SUMIFS([1]инфо!$G$15:$G$28,[1]инфо!$A$15:$A$28,F38)</f>
        <v/>
      </c>
      <c r="AO38" s="64">
        <f>IF(H38=0,0,AA38/H38)</f>
        <v/>
      </c>
      <c r="AP38" s="63">
        <f>AO38-AN38</f>
        <v/>
      </c>
      <c r="AQ38" s="61">
        <f>SUMIFS([1]инфо!$H$15:$H$28,[1]инфо!$A$15:$A$28,F38)</f>
        <v/>
      </c>
      <c r="AR38" s="62">
        <f>IF(H37=0,0,AC38/H37)</f>
        <v/>
      </c>
      <c r="AS38" s="63">
        <f>AR38-AQ38</f>
        <v/>
      </c>
      <c r="AT38" s="61">
        <f>SUMIFS([1]инфо!$I$15:$I$28,[1]инфо!$A$15:$A$28,F38)</f>
        <v/>
      </c>
      <c r="AU38" s="62">
        <f>IF(H38=0,0,AD38/H38)</f>
        <v/>
      </c>
      <c r="AV38" s="63">
        <f>AU38-AT38</f>
        <v/>
      </c>
      <c r="AX38" s="59">
        <f>SUMIFS([1]инфо!$C$15:$C$28,[1]инфо!$A$15:$A$28,F38)*H37</f>
        <v/>
      </c>
    </row>
    <row r="39">
      <c r="A39" s="71">
        <f>A37+1</f>
        <v/>
      </c>
      <c r="B39" s="65" t="inlineStr">
        <is>
          <t>0036</t>
        </is>
      </c>
      <c r="C39" s="52" t="inlineStr">
        <is>
          <t>Линия 1</t>
        </is>
      </c>
      <c r="D39" s="53" t="inlineStr">
        <is>
          <t>ночь</t>
        </is>
      </c>
      <c r="E39" s="66" t="inlineStr">
        <is>
          <t>Султанулы</t>
        </is>
      </c>
      <c r="F39" s="67" t="inlineStr">
        <is>
          <t>плоский 10</t>
        </is>
      </c>
      <c r="G39" s="68" t="n">
        <v>43</v>
      </c>
      <c r="H39" s="68" t="n">
        <v>1045</v>
      </c>
      <c r="I39" s="57">
        <f>IFERROR(H39*VLOOKUP(F39,[1]инфо!$A$15:$C$28,3,FALSE)/1000,0)</f>
        <v/>
      </c>
      <c r="J39" s="68" t="n">
        <v>950</v>
      </c>
      <c r="K39" s="68" t="n">
        <v>1</v>
      </c>
      <c r="L39" s="68" t="n"/>
      <c r="M39" s="55" t="n">
        <v>765</v>
      </c>
      <c r="N39" s="43" t="n">
        <v>4340</v>
      </c>
      <c r="O39" s="58" t="n">
        <v>27583</v>
      </c>
      <c r="P39" s="58" t="n"/>
      <c r="Q39" s="58" t="n"/>
      <c r="R39" s="58" t="n"/>
      <c r="S39" s="59">
        <f>SUM(O39:R39)</f>
        <v/>
      </c>
      <c r="T39" s="52" t="n"/>
      <c r="U39" s="53" t="n"/>
      <c r="V39" s="58" t="n"/>
      <c r="W39" s="58" t="n"/>
      <c r="X39" s="58" t="n"/>
      <c r="Y39" s="52" t="n">
        <v>430</v>
      </c>
      <c r="Z39" s="58" t="n"/>
      <c r="AA39" s="58" t="n"/>
      <c r="AB39" s="58" t="n"/>
      <c r="AC39" s="69" t="n">
        <v>430</v>
      </c>
      <c r="AD39" s="53" t="n">
        <v>215</v>
      </c>
      <c r="AE39" s="61">
        <f>SUMIFS([1]инфо!$D$15:$D$28,[1]инфо!$A$15:$A$28,F39)</f>
        <v/>
      </c>
      <c r="AF39" s="62">
        <f>IF(H39=0,0,N39/H39)</f>
        <v/>
      </c>
      <c r="AG39" s="63">
        <f>AF39-AE39</f>
        <v/>
      </c>
      <c r="AH39" s="61">
        <f>SUMIFS([1]инфо!$E$15:$E$28,[1]инфо!$A$15:$A$28,F39)</f>
        <v/>
      </c>
      <c r="AI39" s="64">
        <f>IF(H39=0,0,S39/H39)</f>
        <v/>
      </c>
      <c r="AJ39" s="63">
        <f>AI39-AH39</f>
        <v/>
      </c>
      <c r="AK39" s="61">
        <f>SUMIFS([1]инфо!$F$15:$F$28,[1]инфо!$A$15:$A$28,F39)</f>
        <v/>
      </c>
      <c r="AL39" s="64">
        <f>IF(H39=0,0,Y39/H39)</f>
        <v/>
      </c>
      <c r="AM39" s="63">
        <f>AL39-AK39</f>
        <v/>
      </c>
      <c r="AN39" s="61">
        <f>SUMIFS([1]инфо!$G$15:$G$28,[1]инфо!$A$15:$A$28,F39)</f>
        <v/>
      </c>
      <c r="AO39" s="64">
        <f>IF(H39=0,0,AA39/H39)</f>
        <v/>
      </c>
      <c r="AP39" s="63">
        <f>AO39-AN39</f>
        <v/>
      </c>
      <c r="AQ39" s="61">
        <f>SUMIFS([1]инфо!$H$15:$H$28,[1]инфо!$A$15:$A$28,F39)</f>
        <v/>
      </c>
      <c r="AR39" s="62">
        <f>IF(H38=0,0,AC39/H38)</f>
        <v/>
      </c>
      <c r="AS39" s="63">
        <f>AR39-AQ39</f>
        <v/>
      </c>
      <c r="AT39" s="61">
        <f>SUMIFS([1]инфо!$I$15:$I$28,[1]инфо!$A$15:$A$28,F39)</f>
        <v/>
      </c>
      <c r="AU39" s="62">
        <f>IF(H39=0,0,AD39/H39)</f>
        <v/>
      </c>
      <c r="AV39" s="63">
        <f>AU39-AT39</f>
        <v/>
      </c>
      <c r="AX39" s="59">
        <f>SUMIFS([1]инфо!$C$15:$C$28,[1]инфо!$A$15:$A$28,F39)*H38</f>
        <v/>
      </c>
    </row>
    <row r="40">
      <c r="A40" s="71">
        <f>A38+1</f>
        <v/>
      </c>
      <c r="B40" s="65" t="inlineStr">
        <is>
          <t>0037</t>
        </is>
      </c>
      <c r="C40" s="77" t="inlineStr">
        <is>
          <t>Линия 1</t>
        </is>
      </c>
      <c r="D40" s="78" t="inlineStr">
        <is>
          <t>день</t>
        </is>
      </c>
      <c r="E40" s="66" t="inlineStr">
        <is>
          <t>Монаев</t>
        </is>
      </c>
      <c r="F40" s="67" t="inlineStr">
        <is>
          <t>плоский 8</t>
        </is>
      </c>
      <c r="G40" s="68" t="n">
        <v>34</v>
      </c>
      <c r="H40" s="68" t="n">
        <v>960</v>
      </c>
      <c r="I40" s="57">
        <f>IFERROR(H40*VLOOKUP(F40,[1]инфо!$A$15:$C$28,3,FALSE)/1000,0)</f>
        <v/>
      </c>
      <c r="J40" s="68" t="n">
        <v>900</v>
      </c>
      <c r="K40" s="68" t="n"/>
      <c r="L40" s="68" t="n">
        <v>4</v>
      </c>
      <c r="M40" s="55" t="n">
        <v>39</v>
      </c>
      <c r="N40" s="55" t="n">
        <v>3447</v>
      </c>
      <c r="O40" s="79" t="n"/>
      <c r="P40" s="79" t="n">
        <v>21822</v>
      </c>
      <c r="Q40" s="79" t="n"/>
      <c r="R40" s="79" t="n"/>
      <c r="S40" s="80">
        <f>SUM(O40:R40)</f>
        <v/>
      </c>
      <c r="T40" s="77" t="n"/>
      <c r="U40" s="78" t="n"/>
      <c r="V40" s="79" t="n"/>
      <c r="W40" s="79" t="n"/>
      <c r="X40" s="79" t="n"/>
      <c r="Y40" s="77" t="n">
        <v>340</v>
      </c>
      <c r="Z40" s="79" t="n"/>
      <c r="AA40" s="79" t="n"/>
      <c r="AB40" s="79" t="n"/>
      <c r="AC40" s="69" t="n">
        <v>340</v>
      </c>
      <c r="AD40" s="78" t="n">
        <v>170</v>
      </c>
      <c r="AE40" s="81">
        <f>SUMIFS([1]инфо!$D$15:$D$28,[1]инфо!$A$15:$A$28,F40)</f>
        <v/>
      </c>
      <c r="AF40" s="62">
        <f>IF(H40=0,0,N40/H40)</f>
        <v/>
      </c>
      <c r="AG40" s="82">
        <f>AF40-AE40</f>
        <v/>
      </c>
      <c r="AH40" s="81">
        <f>SUMIFS([1]инфо!$E$15:$E$28,[1]инфо!$A$15:$A$28,F40)</f>
        <v/>
      </c>
      <c r="AI40" s="64">
        <f>IF(H40=0,0,S40/H40)</f>
        <v/>
      </c>
      <c r="AJ40" s="82">
        <f>AI40-AH40</f>
        <v/>
      </c>
      <c r="AK40" s="81">
        <f>SUMIFS([1]инфо!$F$15:$F$28,[1]инфо!$A$15:$A$28,F40)</f>
        <v/>
      </c>
      <c r="AL40" s="64">
        <f>IF(H40=0,0,Y40/H40)</f>
        <v/>
      </c>
      <c r="AM40" s="82">
        <f>AL40-AK40</f>
        <v/>
      </c>
      <c r="AN40" s="81">
        <f>SUMIFS([1]инфо!$G$15:$G$28,[1]инфо!$A$15:$A$28,F40)</f>
        <v/>
      </c>
      <c r="AO40" s="64">
        <f>IF(H40=0,0,AA40/H40)</f>
        <v/>
      </c>
      <c r="AP40" s="82">
        <f>AO40-AN40</f>
        <v/>
      </c>
      <c r="AQ40" s="81">
        <f>SUMIFS([1]инфо!$H$15:$H$28,[1]инфо!$A$15:$A$28,F40)</f>
        <v/>
      </c>
      <c r="AR40" s="85">
        <f>IF(H39=0,0,AC40/H39)</f>
        <v/>
      </c>
      <c r="AS40" s="82">
        <f>AR40-AQ40</f>
        <v/>
      </c>
      <c r="AT40" s="81">
        <f>SUMIFS([1]инфо!$I$15:$I$28,[1]инфо!$A$15:$A$28,F40)</f>
        <v/>
      </c>
      <c r="AU40" s="62">
        <f>IF(H40=0,0,AD40/H40)</f>
        <v/>
      </c>
      <c r="AV40" s="82">
        <f>AU40-AT40</f>
        <v/>
      </c>
      <c r="AX40" s="80">
        <f>SUMIFS([1]инфо!$C$15:$C$28,[1]инфо!$A$15:$A$28,F40)*H39</f>
        <v/>
      </c>
    </row>
    <row r="41">
      <c r="A41" s="71">
        <f>A39+1</f>
        <v/>
      </c>
      <c r="B41" s="65" t="inlineStr">
        <is>
          <t>0038</t>
        </is>
      </c>
      <c r="C41" s="72" t="inlineStr">
        <is>
          <t>Линия 1</t>
        </is>
      </c>
      <c r="D41" s="73" t="inlineStr">
        <is>
          <t>ночь</t>
        </is>
      </c>
      <c r="E41" s="66" t="inlineStr">
        <is>
          <t>Дауылбай</t>
        </is>
      </c>
      <c r="F41" s="67" t="inlineStr">
        <is>
          <t>плоский 8</t>
        </is>
      </c>
      <c r="G41" s="68" t="n">
        <v>35</v>
      </c>
      <c r="H41" s="68" t="n">
        <v>1065</v>
      </c>
      <c r="I41" s="57">
        <f>IFERROR(H41*VLOOKUP(F41,[1]инфо!$A$15:$C$28,3,FALSE)/1000,0)</f>
        <v/>
      </c>
      <c r="J41" s="68" t="n">
        <v>1100</v>
      </c>
      <c r="K41" s="68" t="n">
        <v>1</v>
      </c>
      <c r="L41" s="68" t="n"/>
      <c r="M41" s="55" t="n">
        <v>145</v>
      </c>
      <c r="N41" s="67" t="n">
        <v>3565</v>
      </c>
      <c r="O41" s="74" t="n"/>
      <c r="P41" s="74" t="n">
        <v>22456</v>
      </c>
      <c r="Q41" s="74" t="n"/>
      <c r="R41" s="74" t="n"/>
      <c r="S41" s="70">
        <f>SUM(O41:R41)</f>
        <v/>
      </c>
      <c r="T41" s="72" t="n"/>
      <c r="U41" s="73" t="n"/>
      <c r="V41" s="74" t="n"/>
      <c r="W41" s="74" t="n"/>
      <c r="X41" s="74" t="n"/>
      <c r="Y41" s="72" t="n">
        <v>350</v>
      </c>
      <c r="Z41" s="74" t="n"/>
      <c r="AA41" s="74" t="n"/>
      <c r="AB41" s="74" t="n"/>
      <c r="AC41" s="69" t="n">
        <v>350</v>
      </c>
      <c r="AD41" s="73" t="n">
        <v>175</v>
      </c>
      <c r="AE41" s="75">
        <f>SUMIFS([1]инфо!$D$15:$D$28,[1]инфо!$A$15:$A$28,F41)</f>
        <v/>
      </c>
      <c r="AF41" s="62">
        <f>IF(H41=0,0,N41/H41)</f>
        <v/>
      </c>
      <c r="AG41" s="76">
        <f>AF41-AE41</f>
        <v/>
      </c>
      <c r="AH41" s="75">
        <f>SUMIFS([1]инфо!$E$15:$E$28,[1]инфо!$A$15:$A$28,F41)</f>
        <v/>
      </c>
      <c r="AI41" s="64">
        <f>IF(H41=0,0,S41/H41)</f>
        <v/>
      </c>
      <c r="AJ41" s="76">
        <f>AI41-AH41</f>
        <v/>
      </c>
      <c r="AK41" s="75">
        <f>SUMIFS([1]инфо!$F$15:$F$28,[1]инфо!$A$15:$A$28,F41)</f>
        <v/>
      </c>
      <c r="AL41" s="64">
        <f>IF(H41=0,0,Y41/H41)</f>
        <v/>
      </c>
      <c r="AM41" s="76">
        <f>AL41-AK41</f>
        <v/>
      </c>
      <c r="AN41" s="75">
        <f>SUMIFS([1]инфо!$G$15:$G$28,[1]инфо!$A$15:$A$28,F41)</f>
        <v/>
      </c>
      <c r="AO41" s="64">
        <f>IF(H41=0,0,AA41/H41)</f>
        <v/>
      </c>
      <c r="AP41" s="76">
        <f>AO41-AN41</f>
        <v/>
      </c>
      <c r="AQ41" s="75">
        <f>SUMIFS([1]инфо!$H$15:$H$28,[1]инфо!$A$15:$A$28,F41)</f>
        <v/>
      </c>
      <c r="AR41" s="64">
        <f>IF(H40=0,0,AC41/H40)</f>
        <v/>
      </c>
      <c r="AS41" s="76">
        <f>AR41-AQ41</f>
        <v/>
      </c>
      <c r="AT41" s="75">
        <f>SUMIFS([1]инфо!$I$15:$I$28,[1]инфо!$A$15:$A$28,F41)</f>
        <v/>
      </c>
      <c r="AU41" s="62">
        <f>IF(H41=0,0,AD41/H41)</f>
        <v/>
      </c>
      <c r="AV41" s="76">
        <f>AU41-AT41</f>
        <v/>
      </c>
      <c r="AX41" s="70">
        <f>SUMIFS([1]инфо!$C$15:$C$28,[1]инфо!$A$15:$A$28,F41)*H40</f>
        <v/>
      </c>
    </row>
    <row r="42">
      <c r="A42" s="71">
        <f>A40+1</f>
        <v/>
      </c>
      <c r="B42" s="65" t="inlineStr">
        <is>
          <t>0039</t>
        </is>
      </c>
      <c r="C42" s="52" t="inlineStr">
        <is>
          <t>Линия 1</t>
        </is>
      </c>
      <c r="D42" s="53" t="inlineStr">
        <is>
          <t>день</t>
        </is>
      </c>
      <c r="E42" s="66" t="inlineStr">
        <is>
          <t>Бекбосынов</t>
        </is>
      </c>
      <c r="F42" s="67" t="inlineStr">
        <is>
          <t>плоский 8</t>
        </is>
      </c>
      <c r="G42" s="68" t="n">
        <v>20</v>
      </c>
      <c r="H42" s="68" t="n">
        <v>700</v>
      </c>
      <c r="I42" s="57">
        <f>IFERROR(H42*VLOOKUP(F42,[1]инфо!$A$15:$C$28,3,FALSE)/1000,0)</f>
        <v/>
      </c>
      <c r="J42" s="68" t="n">
        <v>1400</v>
      </c>
      <c r="K42" s="68" t="n">
        <v>3</v>
      </c>
      <c r="L42" s="68" t="n"/>
      <c r="M42" s="55" t="n">
        <v>26</v>
      </c>
      <c r="N42" s="55" t="n">
        <v>2018</v>
      </c>
      <c r="O42" s="58" t="n">
        <v>8968</v>
      </c>
      <c r="P42" s="58" t="n">
        <v>3850</v>
      </c>
      <c r="Q42" s="58" t="n"/>
      <c r="R42" s="58" t="n"/>
      <c r="S42" s="59">
        <f>SUM(O42:R42)</f>
        <v/>
      </c>
      <c r="T42" s="52" t="n"/>
      <c r="U42" s="53" t="n"/>
      <c r="V42" s="58" t="n"/>
      <c r="W42" s="58" t="n"/>
      <c r="X42" s="58" t="n"/>
      <c r="Y42" s="52" t="n">
        <v>200</v>
      </c>
      <c r="Z42" s="58" t="n"/>
      <c r="AA42" s="58" t="n"/>
      <c r="AB42" s="58" t="n"/>
      <c r="AC42" s="69" t="n">
        <v>200</v>
      </c>
      <c r="AD42" s="53" t="n">
        <v>100</v>
      </c>
      <c r="AE42" s="61">
        <f>SUMIFS([1]инфо!$D$15:$D$28,[1]инфо!$A$15:$A$28,F42)</f>
        <v/>
      </c>
      <c r="AF42" s="62">
        <f>IF(H42=0,0,N42/H42)</f>
        <v/>
      </c>
      <c r="AG42" s="63">
        <f>AF42-AE42</f>
        <v/>
      </c>
      <c r="AH42" s="61">
        <f>SUMIFS([1]инфо!$E$15:$E$28,[1]инфо!$A$15:$A$28,F42)</f>
        <v/>
      </c>
      <c r="AI42" s="64">
        <f>IF(H42=0,0,S42/H42)</f>
        <v/>
      </c>
      <c r="AJ42" s="63">
        <f>AI42-AH42</f>
        <v/>
      </c>
      <c r="AK42" s="61">
        <f>SUMIFS([1]инфо!$F$15:$F$28,[1]инфо!$A$15:$A$28,F42)</f>
        <v/>
      </c>
      <c r="AL42" s="64">
        <f>IF(H42=0,0,Y42/H42)</f>
        <v/>
      </c>
      <c r="AM42" s="63">
        <f>AL42-AK42</f>
        <v/>
      </c>
      <c r="AN42" s="61">
        <f>SUMIFS([1]инфо!$G$15:$G$28,[1]инфо!$A$15:$A$28,F42)</f>
        <v/>
      </c>
      <c r="AO42" s="64">
        <f>IF(H42=0,0,AA42/H42)</f>
        <v/>
      </c>
      <c r="AP42" s="63">
        <f>AO42-AN42</f>
        <v/>
      </c>
      <c r="AQ42" s="61">
        <f>SUMIFS([1]инфо!$H$15:$H$28,[1]инфо!$A$15:$A$28,F42)</f>
        <v/>
      </c>
      <c r="AR42" s="62">
        <f>IF(H41=0,0,AC42/H41)</f>
        <v/>
      </c>
      <c r="AS42" s="63">
        <f>AR42-AQ42</f>
        <v/>
      </c>
      <c r="AT42" s="61">
        <f>SUMIFS([1]инфо!$I$15:$I$28,[1]инфо!$A$15:$A$28,F42)</f>
        <v/>
      </c>
      <c r="AU42" s="62">
        <f>IF(H42=0,0,AD42/H42)</f>
        <v/>
      </c>
      <c r="AV42" s="63">
        <f>AU42-AT42</f>
        <v/>
      </c>
      <c r="AX42" s="59">
        <f>SUMIFS([1]инфо!$C$15:$C$28,[1]инфо!$A$15:$A$28,F42)*H41</f>
        <v/>
      </c>
    </row>
    <row r="43">
      <c r="A43" s="71">
        <f>A41+1</f>
        <v/>
      </c>
      <c r="B43" s="65" t="inlineStr">
        <is>
          <t>0040</t>
        </is>
      </c>
      <c r="C43" s="52" t="inlineStr">
        <is>
          <t>Линия 1</t>
        </is>
      </c>
      <c r="D43" s="53" t="inlineStr">
        <is>
          <t>ночь</t>
        </is>
      </c>
      <c r="E43" s="66" t="inlineStr">
        <is>
          <t>Монаев</t>
        </is>
      </c>
      <c r="F43" s="67" t="inlineStr">
        <is>
          <t>плоский 8</t>
        </is>
      </c>
      <c r="G43" s="68" t="n">
        <v>23</v>
      </c>
      <c r="H43" s="68" t="n">
        <v>672</v>
      </c>
      <c r="I43" s="57">
        <f>IFERROR(H43*VLOOKUP(F43,[1]инфо!$A$15:$C$28,3,FALSE)/1000,0)</f>
        <v/>
      </c>
      <c r="J43" s="68" t="n">
        <v>900</v>
      </c>
      <c r="K43" s="68" t="n">
        <v>1</v>
      </c>
      <c r="L43" s="68" t="n"/>
      <c r="M43" s="55" t="n">
        <v>38</v>
      </c>
      <c r="N43" s="55" t="n">
        <v>3389</v>
      </c>
      <c r="O43" s="58" t="n">
        <v>21744</v>
      </c>
      <c r="P43" s="58" t="n"/>
      <c r="Q43" s="58" t="n"/>
      <c r="R43" s="58" t="n"/>
      <c r="S43" s="59">
        <f>SUM(O43:R43)</f>
        <v/>
      </c>
      <c r="T43" s="52" t="n"/>
      <c r="U43" s="53" t="n"/>
      <c r="V43" s="58" t="n"/>
      <c r="W43" s="58" t="n"/>
      <c r="X43" s="58" t="n"/>
      <c r="Y43" s="52" t="n">
        <v>300</v>
      </c>
      <c r="Z43" s="58" t="n"/>
      <c r="AA43" s="58" t="n"/>
      <c r="AB43" s="58" t="n"/>
      <c r="AC43" s="69" t="n">
        <v>230</v>
      </c>
      <c r="AD43" s="53" t="n">
        <v>170</v>
      </c>
      <c r="AE43" s="61">
        <f>SUMIFS([1]инфо!$D$15:$D$28,[1]инфо!$A$15:$A$28,F43)</f>
        <v/>
      </c>
      <c r="AF43" s="62">
        <f>IF(H43=0,0,N43/H43)</f>
        <v/>
      </c>
      <c r="AG43" s="63">
        <f>AF43-AE43</f>
        <v/>
      </c>
      <c r="AH43" s="61">
        <f>SUMIFS([1]инфо!$E$15:$E$28,[1]инфо!$A$15:$A$28,F43)</f>
        <v/>
      </c>
      <c r="AI43" s="64">
        <f>IF(H43=0,0,S43/H43)</f>
        <v/>
      </c>
      <c r="AJ43" s="63">
        <f>AI43-AH43</f>
        <v/>
      </c>
      <c r="AK43" s="61">
        <f>SUMIFS([1]инфо!$F$15:$F$28,[1]инфо!$A$15:$A$28,F43)</f>
        <v/>
      </c>
      <c r="AL43" s="64">
        <f>IF(H43=0,0,Y43/H43)</f>
        <v/>
      </c>
      <c r="AM43" s="63">
        <f>AL43-AK43</f>
        <v/>
      </c>
      <c r="AN43" s="61">
        <f>SUMIFS([1]инфо!$G$15:$G$28,[1]инфо!$A$15:$A$28,F43)</f>
        <v/>
      </c>
      <c r="AO43" s="64">
        <f>IF(H43=0,0,AA43/H43)</f>
        <v/>
      </c>
      <c r="AP43" s="63">
        <f>AO43-AN43</f>
        <v/>
      </c>
      <c r="AQ43" s="61">
        <f>SUMIFS([1]инфо!$H$15:$H$28,[1]инфо!$A$15:$A$28,F43)</f>
        <v/>
      </c>
      <c r="AR43" s="62">
        <f>IF(H42=0,0,AC43/H42)</f>
        <v/>
      </c>
      <c r="AS43" s="63">
        <f>AR43-AQ43</f>
        <v/>
      </c>
      <c r="AT43" s="61">
        <f>SUMIFS([1]инфо!$I$15:$I$28,[1]инфо!$A$15:$A$28,F43)</f>
        <v/>
      </c>
      <c r="AU43" s="62">
        <f>IF(H43=0,0,AD43/H43)</f>
        <v/>
      </c>
      <c r="AV43" s="63">
        <f>AU43-AT43</f>
        <v/>
      </c>
      <c r="AX43" s="59">
        <f>SUMIFS([1]инфо!$C$15:$C$28,[1]инфо!$A$15:$A$28,F43)*H42</f>
        <v/>
      </c>
    </row>
    <row r="44">
      <c r="A44" s="71" t="n">
        <v>46089</v>
      </c>
      <c r="B44" s="65" t="inlineStr">
        <is>
          <t>0040</t>
        </is>
      </c>
      <c r="C44" s="52" t="inlineStr">
        <is>
          <t>Линия 1</t>
        </is>
      </c>
      <c r="D44" s="53" t="inlineStr">
        <is>
          <t>ночь</t>
        </is>
      </c>
      <c r="E44" s="66" t="inlineStr">
        <is>
          <t>Монаев</t>
        </is>
      </c>
      <c r="F44" s="67" t="inlineStr">
        <is>
          <t>плоский 6</t>
        </is>
      </c>
      <c r="G44" s="68" t="n">
        <v>11</v>
      </c>
      <c r="H44" s="68" t="n">
        <v>500</v>
      </c>
      <c r="I44" s="57">
        <f>IFERROR(H44*VLOOKUP(F44,[1]инфо!$A$15:$C$28,3,FALSE)/1000,0)</f>
        <v/>
      </c>
      <c r="J44" s="68" t="n"/>
      <c r="K44" s="68" t="n"/>
      <c r="L44" s="68" t="n"/>
      <c r="M44" s="55" t="n"/>
      <c r="N44" s="56" t="n"/>
      <c r="O44" s="58" t="n"/>
      <c r="P44" s="58" t="n"/>
      <c r="Q44" s="58" t="n"/>
      <c r="R44" s="58" t="n"/>
      <c r="S44" s="59" t="n"/>
      <c r="T44" s="52" t="n"/>
      <c r="U44" s="53" t="n"/>
      <c r="V44" s="58" t="n"/>
      <c r="W44" s="58" t="n"/>
      <c r="X44" s="58" t="n"/>
      <c r="Y44" s="52" t="n"/>
      <c r="Z44" s="58" t="n"/>
      <c r="AA44" s="58" t="n"/>
      <c r="AB44" s="58" t="n"/>
      <c r="AC44" s="69" t="n">
        <v>110</v>
      </c>
      <c r="AD44" s="53" t="n"/>
      <c r="AE44" s="61" t="n"/>
      <c r="AF44" s="62">
        <f>IF(H44=0,0,N44/H44)</f>
        <v/>
      </c>
      <c r="AG44" s="63" t="n"/>
      <c r="AH44" s="61" t="n"/>
      <c r="AI44" s="64">
        <f>IF(H44=0,0,S44/H44)</f>
        <v/>
      </c>
      <c r="AJ44" s="63" t="n"/>
      <c r="AK44" s="61" t="n"/>
      <c r="AL44" s="64">
        <f>IF(H44=0,0,Y44/H44)</f>
        <v/>
      </c>
      <c r="AM44" s="63" t="n"/>
      <c r="AN44" s="61" t="n"/>
      <c r="AO44" s="64">
        <f>IF(H44=0,0,AA44/H44)</f>
        <v/>
      </c>
      <c r="AP44" s="63" t="n"/>
      <c r="AQ44" s="61" t="n"/>
      <c r="AR44" s="62" t="n"/>
      <c r="AS44" s="63" t="n"/>
      <c r="AT44" s="61" t="n"/>
      <c r="AU44" s="62">
        <f>IF(H44=0,0,AD44/H44)</f>
        <v/>
      </c>
      <c r="AV44" s="63" t="n"/>
      <c r="AX44" s="59" t="n"/>
    </row>
    <row r="45">
      <c r="A45" s="71">
        <f>A42+1</f>
        <v/>
      </c>
      <c r="B45" s="65" t="inlineStr">
        <is>
          <t>0042</t>
        </is>
      </c>
      <c r="C45" s="77" t="inlineStr">
        <is>
          <t>Линия 1</t>
        </is>
      </c>
      <c r="D45" s="78" t="inlineStr">
        <is>
          <t>день</t>
        </is>
      </c>
      <c r="E45" s="66" t="inlineStr">
        <is>
          <t>Султанулы</t>
        </is>
      </c>
      <c r="F45" s="67" t="inlineStr">
        <is>
          <t>плоский 6</t>
        </is>
      </c>
      <c r="G45" s="68" t="n">
        <v>27</v>
      </c>
      <c r="H45" s="68" t="n">
        <v>890</v>
      </c>
      <c r="I45" s="57">
        <f>IFERROR(H45*VLOOKUP(F45,[1]инфо!$A$15:$C$28,3,FALSE)/1000,0)</f>
        <v/>
      </c>
      <c r="J45" s="68" t="n">
        <v>800</v>
      </c>
      <c r="K45" s="68" t="n">
        <v>1</v>
      </c>
      <c r="L45" s="68" t="n">
        <v>3</v>
      </c>
      <c r="M45" s="55" t="n">
        <v>137</v>
      </c>
      <c r="N45" s="56" t="n">
        <v>2701</v>
      </c>
      <c r="O45" s="79" t="n">
        <v>17282</v>
      </c>
      <c r="P45" s="79" t="n"/>
      <c r="Q45" s="79" t="n"/>
      <c r="R45" s="79" t="n"/>
      <c r="S45" s="80">
        <f>SUM(O45:R45)</f>
        <v/>
      </c>
      <c r="T45" s="77" t="n">
        <v>135</v>
      </c>
      <c r="U45" s="78" t="n"/>
      <c r="V45" s="79" t="n"/>
      <c r="W45" s="79" t="n"/>
      <c r="X45" s="79" t="n"/>
      <c r="Y45" s="77" t="n">
        <v>220</v>
      </c>
      <c r="Z45" s="79" t="n"/>
      <c r="AA45" s="79" t="n"/>
      <c r="AB45" s="79" t="n"/>
      <c r="AC45" s="69" t="n">
        <v>270</v>
      </c>
      <c r="AD45" s="78" t="n"/>
      <c r="AE45" s="81">
        <f>SUMIFS([1]инфо!$D$15:$D$28,[1]инфо!$A$15:$A$28,F45)</f>
        <v/>
      </c>
      <c r="AF45" s="62">
        <f>IF(H45=0,0,N45/H45)</f>
        <v/>
      </c>
      <c r="AG45" s="82">
        <f>AF45-AE45</f>
        <v/>
      </c>
      <c r="AH45" s="81">
        <f>SUMIFS([1]инфо!$E$15:$E$28,[1]инфо!$A$15:$A$28,F45)</f>
        <v/>
      </c>
      <c r="AI45" s="64">
        <f>IF(H45=0,0,S45/H45)</f>
        <v/>
      </c>
      <c r="AJ45" s="82">
        <f>AI45-AH45</f>
        <v/>
      </c>
      <c r="AK45" s="81">
        <f>SUMIFS([1]инфо!$F$15:$F$28,[1]инфо!$A$15:$A$28,F45)</f>
        <v/>
      </c>
      <c r="AL45" s="64">
        <f>IF(H45=0,0,Y45/H45)</f>
        <v/>
      </c>
      <c r="AM45" s="82">
        <f>AL45-AK45</f>
        <v/>
      </c>
      <c r="AN45" s="81">
        <f>SUMIFS([1]инфо!$G$15:$G$28,[1]инфо!$A$15:$A$28,F45)</f>
        <v/>
      </c>
      <c r="AO45" s="64">
        <f>IF(H45=0,0,AA45/H45)</f>
        <v/>
      </c>
      <c r="AP45" s="82">
        <f>AO45-AN45</f>
        <v/>
      </c>
      <c r="AQ45" s="81">
        <f>SUMIFS([1]инфо!$H$15:$H$28,[1]инфо!$A$15:$A$28,F45)</f>
        <v/>
      </c>
      <c r="AR45" s="85">
        <f>IF(H43=0,0,AC45/H43)</f>
        <v/>
      </c>
      <c r="AS45" s="82">
        <f>AR45-AQ45</f>
        <v/>
      </c>
      <c r="AT45" s="81">
        <f>SUMIFS([1]инфо!$I$15:$I$28,[1]инфо!$A$15:$A$28,F45)</f>
        <v/>
      </c>
      <c r="AU45" s="62">
        <f>IF(H45=0,0,AD45/H45)</f>
        <v/>
      </c>
      <c r="AV45" s="82">
        <f>AU45-AT45</f>
        <v/>
      </c>
      <c r="AX45" s="80">
        <f>SUMIFS([1]инфо!$C$15:$C$28,[1]инфо!$A$15:$A$28,F45)*H43</f>
        <v/>
      </c>
    </row>
    <row r="46">
      <c r="A46" s="71">
        <f>A43+1</f>
        <v/>
      </c>
      <c r="B46" s="65" t="inlineStr">
        <is>
          <t>0042</t>
        </is>
      </c>
      <c r="C46" s="72" t="inlineStr">
        <is>
          <t>Линия 1</t>
        </is>
      </c>
      <c r="D46" s="73" t="inlineStr">
        <is>
          <t>ночь</t>
        </is>
      </c>
      <c r="E46" s="66" t="inlineStr">
        <is>
          <t>Бекбосынов</t>
        </is>
      </c>
      <c r="F46" s="67" t="inlineStr">
        <is>
          <t>плоский 6</t>
        </is>
      </c>
      <c r="G46" s="68" t="n">
        <v>20</v>
      </c>
      <c r="H46" s="68" t="n">
        <v>706</v>
      </c>
      <c r="I46" s="57">
        <f>IFERROR(H46*VLOOKUP(F46,[1]инфо!$A$15:$C$28,3,FALSE)/1000,0)</f>
        <v/>
      </c>
      <c r="J46" s="68" t="n">
        <v>800</v>
      </c>
      <c r="K46" s="68" t="n">
        <v>17</v>
      </c>
      <c r="L46" s="68" t="n">
        <v>12</v>
      </c>
      <c r="M46" s="55" t="n">
        <v>89</v>
      </c>
      <c r="N46" s="67" t="n">
        <v>2010</v>
      </c>
      <c r="O46" s="74" t="n">
        <v>12180</v>
      </c>
      <c r="P46" s="74" t="n">
        <v>639</v>
      </c>
      <c r="Q46" s="74" t="n"/>
      <c r="R46" s="74" t="n"/>
      <c r="S46" s="70">
        <f>SUM(O46:R46)</f>
        <v/>
      </c>
      <c r="T46" s="72" t="n"/>
      <c r="U46" s="73" t="n"/>
      <c r="V46" s="74" t="n"/>
      <c r="W46" s="74" t="n"/>
      <c r="X46" s="74" t="n"/>
      <c r="Y46" s="72" t="n">
        <v>200</v>
      </c>
      <c r="Z46" s="74" t="n"/>
      <c r="AA46" s="74" t="n"/>
      <c r="AB46" s="74" t="n"/>
      <c r="AC46" s="69" t="n">
        <v>200</v>
      </c>
      <c r="AD46" s="73" t="n">
        <v>100</v>
      </c>
      <c r="AE46" s="75">
        <f>SUMIFS([1]инфо!$D$15:$D$28,[1]инфо!$A$15:$A$28,F46)</f>
        <v/>
      </c>
      <c r="AF46" s="62">
        <f>IF(H46=0,0,N46/H46)</f>
        <v/>
      </c>
      <c r="AG46" s="76">
        <f>AF46-AE46</f>
        <v/>
      </c>
      <c r="AH46" s="75">
        <f>SUMIFS([1]инфо!$E$15:$E$28,[1]инфо!$A$15:$A$28,F46)</f>
        <v/>
      </c>
      <c r="AI46" s="64">
        <f>IF(H46=0,0,S46/H46)</f>
        <v/>
      </c>
      <c r="AJ46" s="76">
        <f>AI46-AH46</f>
        <v/>
      </c>
      <c r="AK46" s="75">
        <f>SUMIFS([1]инфо!$F$15:$F$28,[1]инфо!$A$15:$A$28,F46)</f>
        <v/>
      </c>
      <c r="AL46" s="64">
        <f>IF(H46=0,0,Y46/H46)</f>
        <v/>
      </c>
      <c r="AM46" s="76">
        <f>AL46-AK46</f>
        <v/>
      </c>
      <c r="AN46" s="75">
        <f>SUMIFS([1]инфо!$G$15:$G$28,[1]инфо!$A$15:$A$28,F46)</f>
        <v/>
      </c>
      <c r="AO46" s="64">
        <f>IF(H46=0,0,AA46/H46)</f>
        <v/>
      </c>
      <c r="AP46" s="76">
        <f>AO46-AN46</f>
        <v/>
      </c>
      <c r="AQ46" s="75">
        <f>SUMIFS([1]инфо!$H$15:$H$28,[1]инфо!$A$15:$A$28,F46)</f>
        <v/>
      </c>
      <c r="AR46" s="64">
        <f>IF(H45=0,0,AC46/H45)</f>
        <v/>
      </c>
      <c r="AS46" s="76">
        <f>AR46-AQ46</f>
        <v/>
      </c>
      <c r="AT46" s="75">
        <f>SUMIFS([1]инфо!$I$15:$I$28,[1]инфо!$A$15:$A$28,F46)</f>
        <v/>
      </c>
      <c r="AU46" s="62">
        <f>IF(H46=0,0,AD46/H46)</f>
        <v/>
      </c>
      <c r="AV46" s="76">
        <f>AU46-AT46</f>
        <v/>
      </c>
      <c r="AX46" s="70">
        <f>SUMIFS([1]инфо!$C$15:$C$28,[1]инфо!$A$15:$A$28,F46)*H45</f>
        <v/>
      </c>
    </row>
    <row r="47">
      <c r="A47" s="71">
        <f>A45+1</f>
        <v/>
      </c>
      <c r="B47" s="65" t="inlineStr">
        <is>
          <t>0043</t>
        </is>
      </c>
      <c r="C47" s="52" t="inlineStr">
        <is>
          <t>Линия 1</t>
        </is>
      </c>
      <c r="D47" s="53" t="inlineStr">
        <is>
          <t>ночь</t>
        </is>
      </c>
      <c r="E47" s="66" t="inlineStr">
        <is>
          <t>Султанулы</t>
        </is>
      </c>
      <c r="F47" s="67" t="inlineStr">
        <is>
          <t>плоский 10</t>
        </is>
      </c>
      <c r="G47" s="68" t="n">
        <v>18</v>
      </c>
      <c r="H47" s="68" t="n">
        <v>370</v>
      </c>
      <c r="I47" s="57">
        <f>IFERROR(H47*VLOOKUP(F47,[1]инфо!$A$15:$C$28,3,FALSE)/1000,0)</f>
        <v/>
      </c>
      <c r="J47" s="68" t="n">
        <v>500</v>
      </c>
      <c r="K47" s="68" t="n">
        <v>2</v>
      </c>
      <c r="L47" s="68" t="n"/>
      <c r="M47" s="55" t="n">
        <v>26</v>
      </c>
      <c r="N47" s="55" t="n">
        <v>1807</v>
      </c>
      <c r="O47" s="58" t="n">
        <v>11530</v>
      </c>
      <c r="P47" s="58" t="n"/>
      <c r="Q47" s="58" t="n"/>
      <c r="R47" s="58" t="n"/>
      <c r="S47" s="59">
        <f>SUM(O47:R47)</f>
        <v/>
      </c>
      <c r="T47" s="52" t="n"/>
      <c r="U47" s="53" t="n"/>
      <c r="V47" s="58" t="n"/>
      <c r="W47" s="58" t="n"/>
      <c r="X47" s="58" t="n"/>
      <c r="Y47" s="52" t="n">
        <v>180</v>
      </c>
      <c r="Z47" s="58" t="n"/>
      <c r="AA47" s="58" t="n"/>
      <c r="AB47" s="58" t="n"/>
      <c r="AC47" s="69" t="n">
        <v>180</v>
      </c>
      <c r="AD47" s="53" t="n"/>
      <c r="AE47" s="61">
        <f>SUMIFS([1]инфо!$D$15:$D$28,[1]инфо!$A$15:$A$28,F47)</f>
        <v/>
      </c>
      <c r="AF47" s="62">
        <f>IF(H47=0,0,N47/H47)</f>
        <v/>
      </c>
      <c r="AG47" s="63">
        <f>AF47-AE47</f>
        <v/>
      </c>
      <c r="AH47" s="61">
        <f>SUMIFS([1]инфо!$E$15:$E$28,[1]инфо!$A$15:$A$28,F47)</f>
        <v/>
      </c>
      <c r="AI47" s="64">
        <f>IF(H47=0,0,S47/H47)</f>
        <v/>
      </c>
      <c r="AJ47" s="63">
        <f>AI47-AH47</f>
        <v/>
      </c>
      <c r="AK47" s="61">
        <f>SUMIFS([1]инфо!$F$15:$F$28,[1]инфо!$A$15:$A$28,F47)</f>
        <v/>
      </c>
      <c r="AL47" s="64">
        <f>IF(H47=0,0,Y47/H47)</f>
        <v/>
      </c>
      <c r="AM47" s="63">
        <f>AL47-AK47</f>
        <v/>
      </c>
      <c r="AN47" s="61">
        <f>SUMIFS([1]инфо!$G$15:$G$28,[1]инфо!$A$15:$A$28,F47)</f>
        <v/>
      </c>
      <c r="AO47" s="64">
        <f>IF(H47=0,0,AA47/H47)</f>
        <v/>
      </c>
      <c r="AP47" s="63">
        <f>AO47-AN47</f>
        <v/>
      </c>
      <c r="AQ47" s="61">
        <f>SUMIFS([1]инфо!$H$15:$H$28,[1]инфо!$A$15:$A$28,F47)</f>
        <v/>
      </c>
      <c r="AR47" s="62">
        <f>IF(H46=0,0,AC47/H46)</f>
        <v/>
      </c>
      <c r="AS47" s="63">
        <f>AR47-AQ47</f>
        <v/>
      </c>
      <c r="AT47" s="61">
        <f>SUMIFS([1]инфо!$I$15:$I$28,[1]инфо!$A$15:$A$28,F47)</f>
        <v/>
      </c>
      <c r="AU47" s="62">
        <f>IF(H47=0,0,AD47/H47)</f>
        <v/>
      </c>
      <c r="AV47" s="63">
        <f>AU47-AT47</f>
        <v/>
      </c>
      <c r="AX47" s="59">
        <f>SUMIFS([1]инфо!$C$15:$C$28,[1]инфо!$A$15:$A$28,F47)*H46</f>
        <v/>
      </c>
    </row>
    <row r="48">
      <c r="A48" s="71">
        <f>A46+1</f>
        <v/>
      </c>
      <c r="B48" s="65" t="n"/>
      <c r="C48" s="52" t="n"/>
      <c r="D48" s="53" t="n"/>
      <c r="E48" s="66" t="n"/>
      <c r="F48" s="67" t="n"/>
      <c r="G48" s="68" t="n"/>
      <c r="H48" s="68" t="n"/>
      <c r="I48" s="57">
        <f>IFERROR(H48*VLOOKUP(F48,[1]инфо!$A$15:$C$28,3,FALSE)/1000,0)</f>
        <v/>
      </c>
      <c r="J48" s="68" t="n"/>
      <c r="K48" s="68" t="n"/>
      <c r="L48" s="68" t="n"/>
      <c r="M48" s="55" t="n"/>
      <c r="N48" s="55" t="n"/>
      <c r="O48" s="58" t="n"/>
      <c r="P48" s="58" t="n"/>
      <c r="Q48" s="58" t="n"/>
      <c r="R48" s="58" t="n"/>
      <c r="S48" s="59">
        <f>SUM(O48:R48)</f>
        <v/>
      </c>
      <c r="T48" s="52" t="n"/>
      <c r="U48" s="53" t="n"/>
      <c r="V48" s="58" t="n"/>
      <c r="W48" s="58" t="n"/>
      <c r="X48" s="58" t="n"/>
      <c r="Y48" s="52" t="n"/>
      <c r="Z48" s="58" t="n"/>
      <c r="AA48" s="58" t="n"/>
      <c r="AB48" s="58" t="n"/>
      <c r="AC48" s="69" t="n"/>
      <c r="AD48" s="53" t="n"/>
      <c r="AE48" s="61">
        <f>SUMIFS([1]инфо!$D$15:$D$28,[1]инфо!$A$15:$A$28,F48)</f>
        <v/>
      </c>
      <c r="AF48" s="62">
        <f>IF(H48=0,0,N48/H48)</f>
        <v/>
      </c>
      <c r="AG48" s="63">
        <f>AF48-AE48</f>
        <v/>
      </c>
      <c r="AH48" s="61">
        <f>SUMIFS([1]инфо!$E$15:$E$28,[1]инфо!$A$15:$A$28,F48)</f>
        <v/>
      </c>
      <c r="AI48" s="64">
        <f>IF(H48=0,0,S48/H48)</f>
        <v/>
      </c>
      <c r="AJ48" s="63">
        <f>AI48-AH48</f>
        <v/>
      </c>
      <c r="AK48" s="61">
        <f>SUMIFS([1]инфо!$F$15:$F$28,[1]инфо!$A$15:$A$28,F48)</f>
        <v/>
      </c>
      <c r="AL48" s="64">
        <f>IF(H48=0,0,Y48/H48)</f>
        <v/>
      </c>
      <c r="AM48" s="63">
        <f>AL48-AK48</f>
        <v/>
      </c>
      <c r="AN48" s="61">
        <f>SUMIFS([1]инфо!$G$15:$G$28,[1]инфо!$A$15:$A$28,F48)</f>
        <v/>
      </c>
      <c r="AO48" s="64">
        <f>IF(H48=0,0,AA48/H48)</f>
        <v/>
      </c>
      <c r="AP48" s="63">
        <f>AO48-AN48</f>
        <v/>
      </c>
      <c r="AQ48" s="61">
        <f>SUMIFS([1]инфо!$H$15:$H$28,[1]инфо!$A$15:$A$28,F48)</f>
        <v/>
      </c>
      <c r="AR48" s="62">
        <f>IF(H47=0,0,AC48/H47)</f>
        <v/>
      </c>
      <c r="AS48" s="63">
        <f>AR48-AQ48</f>
        <v/>
      </c>
      <c r="AT48" s="61">
        <f>SUMIFS([1]инфо!$I$15:$I$28,[1]инфо!$A$15:$A$28,F48)</f>
        <v/>
      </c>
      <c r="AU48" s="62">
        <f>IF(H48=0,0,AD48/H48)</f>
        <v/>
      </c>
      <c r="AV48" s="63">
        <f>AU48-AT48</f>
        <v/>
      </c>
      <c r="AX48" s="59">
        <f>SUMIFS([1]инфо!$C$15:$C$28,[1]инфо!$A$15:$A$28,F48)*H47</f>
        <v/>
      </c>
    </row>
    <row r="49">
      <c r="A49" s="71">
        <f>A47+1</f>
        <v/>
      </c>
      <c r="B49" s="65" t="inlineStr">
        <is>
          <t>0044</t>
        </is>
      </c>
      <c r="C49" s="77" t="inlineStr">
        <is>
          <t>Линия 1</t>
        </is>
      </c>
      <c r="D49" s="78" t="inlineStr">
        <is>
          <t>ночь</t>
        </is>
      </c>
      <c r="E49" s="66" t="inlineStr">
        <is>
          <t>Дауылбай</t>
        </is>
      </c>
      <c r="F49" s="67" t="inlineStr">
        <is>
          <t>плоский 10</t>
        </is>
      </c>
      <c r="G49" s="68" t="n">
        <v>24</v>
      </c>
      <c r="H49" s="68" t="n">
        <v>560</v>
      </c>
      <c r="I49" s="57">
        <f>IFERROR(H49*VLOOKUP(F49,[1]инфо!$A$15:$C$28,3,FALSE)/1000,0)</f>
        <v/>
      </c>
      <c r="J49" s="68" t="n">
        <v>400</v>
      </c>
      <c r="K49" s="68" t="n">
        <v>8</v>
      </c>
      <c r="L49" s="68" t="n"/>
      <c r="M49" s="55" t="n">
        <v>84</v>
      </c>
      <c r="N49" s="56" t="n">
        <v>2422</v>
      </c>
      <c r="O49" s="79" t="n">
        <v>2561</v>
      </c>
      <c r="P49" s="79" t="n">
        <v>12834</v>
      </c>
      <c r="Q49" s="79" t="n"/>
      <c r="R49" s="79" t="n"/>
      <c r="S49" s="80">
        <f>SUM(O49:R49)</f>
        <v/>
      </c>
      <c r="T49" s="77" t="n"/>
      <c r="U49" s="78" t="n"/>
      <c r="V49" s="79" t="n"/>
      <c r="W49" s="79" t="n"/>
      <c r="X49" s="79" t="n"/>
      <c r="Y49" s="77" t="n">
        <v>220</v>
      </c>
      <c r="Z49" s="79" t="n"/>
      <c r="AA49" s="79" t="n"/>
      <c r="AB49" s="79" t="n"/>
      <c r="AC49" s="69" t="n">
        <v>240</v>
      </c>
      <c r="AD49" s="78" t="n"/>
      <c r="AE49" s="81">
        <f>SUMIFS([1]инфо!$D$15:$D$28,[1]инфо!$A$15:$A$28,F49)</f>
        <v/>
      </c>
      <c r="AF49" s="62">
        <f>IF(H49=0,0,N49/H49)</f>
        <v/>
      </c>
      <c r="AG49" s="82">
        <f>AF49-AE49</f>
        <v/>
      </c>
      <c r="AH49" s="81">
        <f>SUMIFS([1]инфо!$E$15:$E$28,[1]инфо!$A$15:$A$28,F49)</f>
        <v/>
      </c>
      <c r="AI49" s="64">
        <f>IF(H49=0,0,S49/H49)</f>
        <v/>
      </c>
      <c r="AJ49" s="82">
        <f>AI49-AH49</f>
        <v/>
      </c>
      <c r="AK49" s="81">
        <f>SUMIFS([1]инфо!$F$15:$F$28,[1]инфо!$A$15:$A$28,F49)</f>
        <v/>
      </c>
      <c r="AL49" s="64">
        <f>IF(H49=0,0,Y49/H49)</f>
        <v/>
      </c>
      <c r="AM49" s="82">
        <f>AL49-AK49</f>
        <v/>
      </c>
      <c r="AN49" s="81">
        <f>SUMIFS([1]инфо!$G$15:$G$28,[1]инфо!$A$15:$A$28,F49)</f>
        <v/>
      </c>
      <c r="AO49" s="64">
        <f>IF(H49=0,0,AA49/H49)</f>
        <v/>
      </c>
      <c r="AP49" s="82">
        <f>AO49-AN49</f>
        <v/>
      </c>
      <c r="AQ49" s="81">
        <f>SUMIFS([1]инфо!$H$15:$H$28,[1]инфо!$A$15:$A$28,F49)</f>
        <v/>
      </c>
      <c r="AR49" s="85">
        <f>IF(H48=0,0,AC49/H48)</f>
        <v/>
      </c>
      <c r="AS49" s="82">
        <f>AR49-AQ49</f>
        <v/>
      </c>
      <c r="AT49" s="81">
        <f>SUMIFS([1]инфо!$I$15:$I$28,[1]инфо!$A$15:$A$28,F49)</f>
        <v/>
      </c>
      <c r="AU49" s="62">
        <f>IF(H49=0,0,AD49/H49)</f>
        <v/>
      </c>
      <c r="AV49" s="82">
        <f>AU49-AT49</f>
        <v/>
      </c>
      <c r="AX49" s="80">
        <f>SUMIFS([1]инфо!$C$15:$C$28,[1]инфо!$A$15:$A$28,F49)*H48</f>
        <v/>
      </c>
    </row>
    <row r="50">
      <c r="A50" s="71">
        <f>A48+1</f>
        <v/>
      </c>
      <c r="B50" s="65" t="n"/>
      <c r="C50" s="72" t="n"/>
      <c r="D50" s="73" t="n"/>
      <c r="E50" s="66" t="n"/>
      <c r="F50" s="67" t="n"/>
      <c r="G50" s="68" t="n"/>
      <c r="H50" s="68" t="n"/>
      <c r="I50" s="57">
        <f>IFERROR(H50*VLOOKUP(F50,[1]инфо!$A$15:$C$28,3,FALSE)/1000,0)</f>
        <v/>
      </c>
      <c r="J50" s="68" t="n"/>
      <c r="K50" s="68" t="n"/>
      <c r="L50" s="68" t="n"/>
      <c r="M50" s="55" t="n"/>
      <c r="N50" s="67" t="n"/>
      <c r="O50" s="74" t="n"/>
      <c r="P50" s="74" t="n"/>
      <c r="Q50" s="74" t="n"/>
      <c r="R50" s="74" t="n"/>
      <c r="S50" s="70">
        <f>SUM(O50:R50)</f>
        <v/>
      </c>
      <c r="T50" s="72" t="n"/>
      <c r="U50" s="73" t="n"/>
      <c r="V50" s="74" t="n"/>
      <c r="W50" s="74" t="n"/>
      <c r="X50" s="74" t="n"/>
      <c r="Y50" s="72" t="n"/>
      <c r="Z50" s="74" t="n"/>
      <c r="AA50" s="74" t="n"/>
      <c r="AB50" s="74" t="n"/>
      <c r="AC50" s="69" t="n"/>
      <c r="AD50" s="73" t="n"/>
      <c r="AE50" s="75">
        <f>SUMIFS([1]инфо!$D$15:$D$28,[1]инфо!$A$15:$A$28,F50)</f>
        <v/>
      </c>
      <c r="AF50" s="62">
        <f>IF(H50=0,0,N50/H50)</f>
        <v/>
      </c>
      <c r="AG50" s="76">
        <f>AF50-AE50</f>
        <v/>
      </c>
      <c r="AH50" s="75">
        <f>SUMIFS([1]инфо!$E$15:$E$28,[1]инфо!$A$15:$A$28,F50)</f>
        <v/>
      </c>
      <c r="AI50" s="64">
        <f>IF(H50=0,0,S50/H50)</f>
        <v/>
      </c>
      <c r="AJ50" s="76">
        <f>AI50-AH50</f>
        <v/>
      </c>
      <c r="AK50" s="75">
        <f>SUMIFS([1]инфо!$F$15:$F$28,[1]инфо!$A$15:$A$28,F50)</f>
        <v/>
      </c>
      <c r="AL50" s="64">
        <f>IF(H50=0,0,Y50/H50)</f>
        <v/>
      </c>
      <c r="AM50" s="76">
        <f>AL50-AK50</f>
        <v/>
      </c>
      <c r="AN50" s="75">
        <f>SUMIFS([1]инфо!$G$15:$G$28,[1]инфо!$A$15:$A$28,F50)</f>
        <v/>
      </c>
      <c r="AO50" s="64">
        <f>IF(H50=0,0,AA50/H50)</f>
        <v/>
      </c>
      <c r="AP50" s="76">
        <f>AO50-AN50</f>
        <v/>
      </c>
      <c r="AQ50" s="75">
        <f>SUMIFS([1]инфо!$H$15:$H$28,[1]инфо!$A$15:$A$28,F50)</f>
        <v/>
      </c>
      <c r="AR50" s="64">
        <f>IF(H49=0,0,AC50/H49)</f>
        <v/>
      </c>
      <c r="AS50" s="76">
        <f>AR50-AQ50</f>
        <v/>
      </c>
      <c r="AT50" s="75">
        <f>SUMIFS([1]инфо!$I$15:$I$28,[1]инфо!$A$15:$A$28,F50)</f>
        <v/>
      </c>
      <c r="AU50" s="62">
        <f>IF(H50=0,0,AD50/H50)</f>
        <v/>
      </c>
      <c r="AV50" s="76">
        <f>AU50-AT50</f>
        <v/>
      </c>
      <c r="AX50" s="70">
        <f>SUMIFS([1]инфо!$C$15:$C$28,[1]инфо!$A$15:$A$28,F50)*H49</f>
        <v/>
      </c>
    </row>
    <row r="51">
      <c r="A51" s="71">
        <f>A49+1</f>
        <v/>
      </c>
      <c r="B51" s="65" t="n"/>
      <c r="C51" s="52" t="n"/>
      <c r="D51" s="53" t="n"/>
      <c r="E51" s="66" t="n"/>
      <c r="F51" s="67" t="n"/>
      <c r="G51" s="68" t="n"/>
      <c r="H51" s="68" t="n"/>
      <c r="I51" s="57">
        <f>IFERROR(H51*VLOOKUP(F51,[1]инфо!$A$15:$C$28,3,FALSE)/1000,0)</f>
        <v/>
      </c>
      <c r="J51" s="68" t="n"/>
      <c r="K51" s="68" t="n"/>
      <c r="L51" s="68" t="n"/>
      <c r="M51" s="55" t="n"/>
      <c r="N51" s="55" t="n"/>
      <c r="O51" s="58" t="n"/>
      <c r="P51" s="58" t="n"/>
      <c r="Q51" s="58" t="n"/>
      <c r="R51" s="58" t="n"/>
      <c r="S51" s="59">
        <f>SUM(O51:R51)</f>
        <v/>
      </c>
      <c r="T51" s="52" t="n"/>
      <c r="U51" s="53" t="n"/>
      <c r="V51" s="58" t="n"/>
      <c r="W51" s="58" t="n"/>
      <c r="X51" s="58" t="n"/>
      <c r="Y51" s="52" t="n"/>
      <c r="Z51" s="58" t="n"/>
      <c r="AA51" s="58" t="n"/>
      <c r="AB51" s="58" t="n"/>
      <c r="AC51" s="69" t="n"/>
      <c r="AD51" s="53" t="n"/>
      <c r="AE51" s="61">
        <f>SUMIFS([1]инфо!$D$15:$D$28,[1]инфо!$A$15:$A$28,F51)</f>
        <v/>
      </c>
      <c r="AF51" s="62">
        <f>IF(H51=0,0,N51/H51)</f>
        <v/>
      </c>
      <c r="AG51" s="63">
        <f>AF51-AE51</f>
        <v/>
      </c>
      <c r="AH51" s="61">
        <f>SUMIFS([1]инфо!$E$15:$E$28,[1]инфо!$A$15:$A$28,F51)</f>
        <v/>
      </c>
      <c r="AI51" s="64">
        <f>IF(H51=0,0,S51/H51)</f>
        <v/>
      </c>
      <c r="AJ51" s="63">
        <f>AI51-AH51</f>
        <v/>
      </c>
      <c r="AK51" s="61">
        <f>SUMIFS([1]инфо!$F$15:$F$28,[1]инфо!$A$15:$A$28,F51)</f>
        <v/>
      </c>
      <c r="AL51" s="64">
        <f>IF(H51=0,0,Y51/H51)</f>
        <v/>
      </c>
      <c r="AM51" s="63">
        <f>AL51-AK51</f>
        <v/>
      </c>
      <c r="AN51" s="61">
        <f>SUMIFS([1]инфо!$G$15:$G$28,[1]инфо!$A$15:$A$28,F51)</f>
        <v/>
      </c>
      <c r="AO51" s="64">
        <f>IF(H51=0,0,AA51/H51)</f>
        <v/>
      </c>
      <c r="AP51" s="63">
        <f>AO51-AN51</f>
        <v/>
      </c>
      <c r="AQ51" s="61">
        <f>SUMIFS([1]инфо!$H$15:$H$28,[1]инфо!$A$15:$A$28,F51)</f>
        <v/>
      </c>
      <c r="AR51" s="62">
        <f>IF(H50=0,0,AC51/H50)</f>
        <v/>
      </c>
      <c r="AS51" s="63">
        <f>AR51-AQ51</f>
        <v/>
      </c>
      <c r="AT51" s="61">
        <f>SUMIFS([1]инфо!$I$15:$I$28,[1]инфо!$A$15:$A$28,F51)</f>
        <v/>
      </c>
      <c r="AU51" s="62">
        <f>IF(H51=0,0,AD51/H51)</f>
        <v/>
      </c>
      <c r="AV51" s="63">
        <f>AU51-AT51</f>
        <v/>
      </c>
      <c r="AX51" s="59">
        <f>SUMIFS([1]инфо!$C$15:$C$28,[1]инфо!$A$15:$A$28,F51)*H50</f>
        <v/>
      </c>
    </row>
    <row r="52">
      <c r="A52" s="71">
        <f>A50+1</f>
        <v/>
      </c>
      <c r="B52" s="65" t="inlineStr">
        <is>
          <t>0045</t>
        </is>
      </c>
      <c r="C52" s="52" t="inlineStr">
        <is>
          <t>Линия 1</t>
        </is>
      </c>
      <c r="D52" s="53" t="inlineStr">
        <is>
          <t>ночь</t>
        </is>
      </c>
      <c r="E52" s="66" t="inlineStr">
        <is>
          <t>Монаев</t>
        </is>
      </c>
      <c r="F52" s="67" t="inlineStr">
        <is>
          <t>плоский 10</t>
        </is>
      </c>
      <c r="G52" s="68" t="n">
        <v>24</v>
      </c>
      <c r="H52" s="68" t="n">
        <v>500</v>
      </c>
      <c r="I52" s="57">
        <f>IFERROR(H52*VLOOKUP(F52,[1]инфо!$A$15:$C$28,3,FALSE)/1000,0)</f>
        <v/>
      </c>
      <c r="J52" s="68" t="n">
        <v>600</v>
      </c>
      <c r="K52" s="68" t="n">
        <v>4</v>
      </c>
      <c r="L52" s="68" t="n"/>
      <c r="M52" s="55" t="n">
        <v>52</v>
      </c>
      <c r="N52" s="55" t="n">
        <v>2398</v>
      </c>
      <c r="O52" s="58" t="n">
        <v>15331</v>
      </c>
      <c r="P52" s="58" t="n"/>
      <c r="Q52" s="58" t="n"/>
      <c r="R52" s="58" t="n"/>
      <c r="S52" s="59">
        <f>SUM(O52:R52)</f>
        <v/>
      </c>
      <c r="T52" s="52" t="n"/>
      <c r="U52" s="53" t="n"/>
      <c r="V52" s="58" t="n"/>
      <c r="W52" s="58" t="n"/>
      <c r="X52" s="58" t="n"/>
      <c r="Y52" s="52" t="n">
        <v>220</v>
      </c>
      <c r="Z52" s="58" t="n"/>
      <c r="AA52" s="58" t="n"/>
      <c r="AB52" s="58" t="n"/>
      <c r="AC52" s="69" t="n">
        <v>240</v>
      </c>
      <c r="AD52" s="53" t="n"/>
      <c r="AE52" s="61">
        <f>SUMIFS([1]инфо!$D$15:$D$28,[1]инфо!$A$15:$A$28,F52)</f>
        <v/>
      </c>
      <c r="AF52" s="62">
        <f>IF(H52=0,0,N52/H52)</f>
        <v/>
      </c>
      <c r="AG52" s="63">
        <f>AF52-AE52</f>
        <v/>
      </c>
      <c r="AH52" s="61">
        <f>SUMIFS([1]инфо!$E$15:$E$28,[1]инфо!$A$15:$A$28,F52)</f>
        <v/>
      </c>
      <c r="AI52" s="64">
        <f>IF(H52=0,0,S52/H52)</f>
        <v/>
      </c>
      <c r="AJ52" s="63">
        <f>AI52-AH52</f>
        <v/>
      </c>
      <c r="AK52" s="61">
        <f>SUMIFS([1]инфо!$F$15:$F$28,[1]инфо!$A$15:$A$28,F52)</f>
        <v/>
      </c>
      <c r="AL52" s="64">
        <f>IF(H52=0,0,Y52/H52)</f>
        <v/>
      </c>
      <c r="AM52" s="63">
        <f>AL52-AK52</f>
        <v/>
      </c>
      <c r="AN52" s="61">
        <f>SUMIFS([1]инфо!$G$15:$G$28,[1]инфо!$A$15:$A$28,F52)</f>
        <v/>
      </c>
      <c r="AO52" s="64">
        <f>IF(H52=0,0,AA52/H52)</f>
        <v/>
      </c>
      <c r="AP52" s="63">
        <f>AO52-AN52</f>
        <v/>
      </c>
      <c r="AQ52" s="61">
        <f>SUMIFS([1]инфо!$H$15:$H$28,[1]инфо!$A$15:$A$28,F52)</f>
        <v/>
      </c>
      <c r="AR52" s="62">
        <f>IF(H51=0,0,AC52/H51)</f>
        <v/>
      </c>
      <c r="AS52" s="63">
        <f>AR52-AQ52</f>
        <v/>
      </c>
      <c r="AT52" s="61">
        <f>SUMIFS([1]инфо!$I$15:$I$28,[1]инфо!$A$15:$A$28,F52)</f>
        <v/>
      </c>
      <c r="AU52" s="62">
        <f>IF(H52=0,0,AD52/H52)</f>
        <v/>
      </c>
      <c r="AV52" s="63">
        <f>AU52-AT52</f>
        <v/>
      </c>
      <c r="AX52" s="59">
        <f>SUMIFS([1]инфо!$C$15:$C$28,[1]инфо!$A$15:$A$28,F52)*H51</f>
        <v/>
      </c>
    </row>
    <row r="53">
      <c r="A53" s="71">
        <f>A51+1</f>
        <v/>
      </c>
      <c r="B53" s="65" t="n"/>
      <c r="C53" s="77" t="n"/>
      <c r="D53" s="78" t="n"/>
      <c r="E53" s="66" t="n"/>
      <c r="F53" s="67" t="n"/>
      <c r="G53" s="68" t="n"/>
      <c r="H53" s="68" t="n"/>
      <c r="I53" s="57">
        <f>IFERROR(H53*VLOOKUP(F53,[1]инфо!$A$15:$C$28,3,FALSE)/1000,0)</f>
        <v/>
      </c>
      <c r="J53" s="68" t="n"/>
      <c r="K53" s="68" t="n"/>
      <c r="L53" s="68" t="n"/>
      <c r="M53" s="55" t="n"/>
      <c r="N53" s="56" t="n"/>
      <c r="O53" s="79" t="n"/>
      <c r="P53" s="79" t="n"/>
      <c r="Q53" s="79" t="n"/>
      <c r="R53" s="79" t="n"/>
      <c r="S53" s="80">
        <f>SUM(O53:R53)</f>
        <v/>
      </c>
      <c r="T53" s="77" t="n"/>
      <c r="U53" s="78" t="n"/>
      <c r="V53" s="79" t="n"/>
      <c r="W53" s="79" t="n"/>
      <c r="X53" s="79" t="n"/>
      <c r="Y53" s="77" t="n"/>
      <c r="Z53" s="79" t="n"/>
      <c r="AA53" s="79" t="n"/>
      <c r="AB53" s="79" t="n"/>
      <c r="AC53" s="69" t="n"/>
      <c r="AD53" s="78" t="n"/>
      <c r="AE53" s="81">
        <f>SUMIFS([1]инфо!$D$15:$D$28,[1]инфо!$A$15:$A$28,F53)</f>
        <v/>
      </c>
      <c r="AF53" s="62">
        <f>IF(H53=0,0,N53/H53)</f>
        <v/>
      </c>
      <c r="AG53" s="82">
        <f>AF53-AE53</f>
        <v/>
      </c>
      <c r="AH53" s="81">
        <f>SUMIFS([1]инфо!$E$15:$E$28,[1]инфо!$A$15:$A$28,F53)</f>
        <v/>
      </c>
      <c r="AI53" s="64">
        <f>IF(H53=0,0,S53/H53)</f>
        <v/>
      </c>
      <c r="AJ53" s="82">
        <f>AI53-AH53</f>
        <v/>
      </c>
      <c r="AK53" s="81">
        <f>SUMIFS([1]инфо!$F$15:$F$28,[1]инфо!$A$15:$A$28,F53)</f>
        <v/>
      </c>
      <c r="AL53" s="64">
        <f>IF(H53=0,0,Y53/H53)</f>
        <v/>
      </c>
      <c r="AM53" s="82">
        <f>AL53-AK53</f>
        <v/>
      </c>
      <c r="AN53" s="81">
        <f>SUMIFS([1]инфо!$G$15:$G$28,[1]инфо!$A$15:$A$28,F53)</f>
        <v/>
      </c>
      <c r="AO53" s="64">
        <f>IF(H53=0,0,AA53/H53)</f>
        <v/>
      </c>
      <c r="AP53" s="82">
        <f>AO53-AN53</f>
        <v/>
      </c>
      <c r="AQ53" s="81">
        <f>SUMIFS([1]инфо!$H$15:$H$28,[1]инфо!$A$15:$A$28,F53)</f>
        <v/>
      </c>
      <c r="AR53" s="85">
        <f>IF(H52=0,0,AC53/H52)</f>
        <v/>
      </c>
      <c r="AS53" s="82">
        <f>AR53-AQ53</f>
        <v/>
      </c>
      <c r="AT53" s="81">
        <f>SUMIFS([1]инфо!$I$15:$I$28,[1]инфо!$A$15:$A$28,F53)</f>
        <v/>
      </c>
      <c r="AU53" s="62">
        <f>IF(H53=0,0,AD53/H53)</f>
        <v/>
      </c>
      <c r="AV53" s="82">
        <f>AU53-AT53</f>
        <v/>
      </c>
      <c r="AX53" s="80">
        <f>SUMIFS([1]инфо!$C$15:$C$28,[1]инфо!$A$15:$A$28,F53)*H52</f>
        <v/>
      </c>
    </row>
    <row r="54">
      <c r="A54" s="71">
        <f>A52+1</f>
        <v/>
      </c>
      <c r="B54" s="65" t="inlineStr">
        <is>
          <t>0046</t>
        </is>
      </c>
      <c r="C54" s="72" t="inlineStr">
        <is>
          <t>Линия 1</t>
        </is>
      </c>
      <c r="D54" s="73" t="inlineStr">
        <is>
          <t>ночь</t>
        </is>
      </c>
      <c r="E54" s="66" t="inlineStr">
        <is>
          <t>Бекбосынов</t>
        </is>
      </c>
      <c r="F54" s="67" t="inlineStr">
        <is>
          <t>плоский 10</t>
        </is>
      </c>
      <c r="G54" s="68" t="n">
        <v>12</v>
      </c>
      <c r="H54" s="68" t="n">
        <v>264</v>
      </c>
      <c r="I54" s="57">
        <f>IFERROR(H54*VLOOKUP(F54,[1]инфо!$A$15:$C$28,3,FALSE)/1000,0)</f>
        <v/>
      </c>
      <c r="J54" s="68" t="n">
        <v>400</v>
      </c>
      <c r="K54" s="68" t="n"/>
      <c r="L54" s="68" t="n">
        <v>179</v>
      </c>
      <c r="M54" s="55" t="n">
        <v>50</v>
      </c>
      <c r="N54" s="67" t="n">
        <v>1210</v>
      </c>
      <c r="O54" s="74" t="n">
        <v>7700</v>
      </c>
      <c r="P54" s="74" t="n"/>
      <c r="Q54" s="74" t="n"/>
      <c r="R54" s="74" t="n"/>
      <c r="S54" s="70">
        <f>SUM(O54:R54)</f>
        <v/>
      </c>
      <c r="T54" s="72" t="n"/>
      <c r="U54" s="73" t="n"/>
      <c r="V54" s="74" t="n"/>
      <c r="W54" s="74" t="n"/>
      <c r="X54" s="74" t="n"/>
      <c r="Y54" s="72" t="n">
        <v>120</v>
      </c>
      <c r="Z54" s="74" t="n"/>
      <c r="AA54" s="74" t="n"/>
      <c r="AB54" s="74" t="n"/>
      <c r="AC54" s="69" t="n">
        <v>120</v>
      </c>
      <c r="AD54" s="73" t="n"/>
      <c r="AE54" s="75">
        <f>SUMIFS([1]инфо!$D$15:$D$28,[1]инфо!$A$15:$A$28,F54)</f>
        <v/>
      </c>
      <c r="AF54" s="62">
        <f>IF(H54=0,0,N54/H54)</f>
        <v/>
      </c>
      <c r="AG54" s="76">
        <f>AF54-AE54</f>
        <v/>
      </c>
      <c r="AH54" s="75">
        <f>SUMIFS([1]инфо!$E$15:$E$28,[1]инфо!$A$15:$A$28,F54)</f>
        <v/>
      </c>
      <c r="AI54" s="64">
        <f>IF(H54=0,0,S54/H54)</f>
        <v/>
      </c>
      <c r="AJ54" s="76">
        <f>AI54-AH54</f>
        <v/>
      </c>
      <c r="AK54" s="75">
        <f>SUMIFS([1]инфо!$F$15:$F$28,[1]инфо!$A$15:$A$28,F54)</f>
        <v/>
      </c>
      <c r="AL54" s="64">
        <f>IF(H54=0,0,Y54/H54)</f>
        <v/>
      </c>
      <c r="AM54" s="76">
        <f>AL54-AK54</f>
        <v/>
      </c>
      <c r="AN54" s="75">
        <f>SUMIFS([1]инфо!$G$15:$G$28,[1]инфо!$A$15:$A$28,F54)</f>
        <v/>
      </c>
      <c r="AO54" s="64">
        <f>IF(H54=0,0,AA54/H54)</f>
        <v/>
      </c>
      <c r="AP54" s="76">
        <f>AO54-AN54</f>
        <v/>
      </c>
      <c r="AQ54" s="75">
        <f>SUMIFS([1]инфо!$H$15:$H$28,[1]инфо!$A$15:$A$28,F54)</f>
        <v/>
      </c>
      <c r="AR54" s="64">
        <f>IF(H53=0,0,AC54/H53)</f>
        <v/>
      </c>
      <c r="AS54" s="76">
        <f>AR54-AQ54</f>
        <v/>
      </c>
      <c r="AT54" s="75">
        <f>SUMIFS([1]инфо!$I$15:$I$28,[1]инфо!$A$15:$A$28,F54)</f>
        <v/>
      </c>
      <c r="AU54" s="62">
        <f>IF(H54=0,0,AD54/H54)</f>
        <v/>
      </c>
      <c r="AV54" s="76">
        <f>AU54-AT54</f>
        <v/>
      </c>
      <c r="AX54" s="70">
        <f>SUMIFS([1]инфо!$C$15:$C$28,[1]инфо!$A$15:$A$28,F54)*H53</f>
        <v/>
      </c>
    </row>
    <row r="55">
      <c r="A55" s="71">
        <f>A53+1</f>
        <v/>
      </c>
      <c r="B55" s="65" t="inlineStr">
        <is>
          <t>0047</t>
        </is>
      </c>
      <c r="C55" s="52" t="inlineStr">
        <is>
          <t>линия 2</t>
        </is>
      </c>
      <c r="D55" s="53" t="inlineStr">
        <is>
          <t>день</t>
        </is>
      </c>
      <c r="E55" s="66" t="inlineStr">
        <is>
          <t>Дауылбай</t>
        </is>
      </c>
      <c r="F55" s="67" t="inlineStr">
        <is>
          <t>8 волн рифленый</t>
        </is>
      </c>
      <c r="G55" s="68" t="n">
        <v>18</v>
      </c>
      <c r="H55" s="68" t="n">
        <v>800</v>
      </c>
      <c r="I55" s="57">
        <f>IFERROR(H55*VLOOKUP(F55,[1]инфо!$A$15:$C$28,3,FALSE)/1000,0)</f>
        <v/>
      </c>
      <c r="J55" s="68" t="n"/>
      <c r="K55" s="68" t="n">
        <v>30</v>
      </c>
      <c r="L55" s="68" t="n">
        <v>8</v>
      </c>
      <c r="M55" s="55" t="n"/>
      <c r="N55" s="55" t="n">
        <v>1834</v>
      </c>
      <c r="O55" s="58" t="n"/>
      <c r="P55" s="58" t="n"/>
      <c r="Q55" s="58" t="n">
        <v>3916</v>
      </c>
      <c r="R55" s="58" t="n">
        <v>7756</v>
      </c>
      <c r="S55" s="59">
        <f>SUM(O55:R55)</f>
        <v/>
      </c>
      <c r="T55" s="52" t="n"/>
      <c r="U55" s="53" t="n"/>
      <c r="V55" s="58" t="n"/>
      <c r="W55" s="58" t="n"/>
      <c r="X55" s="58" t="n"/>
      <c r="Y55" s="52" t="n">
        <v>140</v>
      </c>
      <c r="Z55" s="58" t="n"/>
      <c r="AA55" s="58" t="n"/>
      <c r="AB55" s="58" t="n"/>
      <c r="AC55" s="69" t="n"/>
      <c r="AD55" s="53" t="n"/>
      <c r="AE55" s="61">
        <f>SUMIFS([1]инфо!$D$15:$D$28,[1]инфо!$A$15:$A$28,F55)</f>
        <v/>
      </c>
      <c r="AF55" s="62">
        <f>IF(H55=0,0,N55/H55)</f>
        <v/>
      </c>
      <c r="AG55" s="63">
        <f>AF55-AE55</f>
        <v/>
      </c>
      <c r="AH55" s="61">
        <f>SUMIFS([1]инфо!$E$15:$E$28,[1]инфо!$A$15:$A$28,F55)</f>
        <v/>
      </c>
      <c r="AI55" s="64">
        <f>IF(H55=0,0,S55/H55)</f>
        <v/>
      </c>
      <c r="AJ55" s="63">
        <f>AI55-AH55</f>
        <v/>
      </c>
      <c r="AK55" s="61">
        <f>SUMIFS([1]инфо!$F$15:$F$28,[1]инфо!$A$15:$A$28,F55)</f>
        <v/>
      </c>
      <c r="AL55" s="64">
        <f>IF(H55=0,0,Y55/H55)</f>
        <v/>
      </c>
      <c r="AM55" s="63">
        <f>AL55-AK55</f>
        <v/>
      </c>
      <c r="AN55" s="61">
        <f>SUMIFS([1]инфо!$G$15:$G$28,[1]инфо!$A$15:$A$28,F55)</f>
        <v/>
      </c>
      <c r="AO55" s="64">
        <f>IF(H55=0,0,AA55/H55)</f>
        <v/>
      </c>
      <c r="AP55" s="63">
        <f>AO55-AN55</f>
        <v/>
      </c>
      <c r="AQ55" s="61">
        <f>SUMIFS([1]инфо!$H$15:$H$28,[1]инфо!$A$15:$A$28,F55)</f>
        <v/>
      </c>
      <c r="AR55" s="62">
        <f>IF(H54=0,0,AC55/H54)</f>
        <v/>
      </c>
      <c r="AS55" s="63">
        <f>AR55-AQ55</f>
        <v/>
      </c>
      <c r="AT55" s="61">
        <f>SUMIFS([1]инфо!$I$15:$I$28,[1]инфо!$A$15:$A$28,F55)</f>
        <v/>
      </c>
      <c r="AU55" s="62">
        <f>IF(H55=0,0,AD55/H55)</f>
        <v/>
      </c>
      <c r="AV55" s="63">
        <f>AU55-AT55</f>
        <v/>
      </c>
      <c r="AX55" s="59">
        <f>SUMIFS([1]инфо!$C$15:$C$28,[1]инфо!$A$15:$A$28,F55)*H54</f>
        <v/>
      </c>
    </row>
    <row r="56">
      <c r="A56" s="71">
        <f>A54+1</f>
        <v/>
      </c>
      <c r="B56" s="65" t="inlineStr">
        <is>
          <t>0048</t>
        </is>
      </c>
      <c r="C56" s="52" t="inlineStr">
        <is>
          <t>линия 2</t>
        </is>
      </c>
      <c r="D56" s="53" t="inlineStr">
        <is>
          <t>ночь</t>
        </is>
      </c>
      <c r="E56" s="66" t="inlineStr">
        <is>
          <t>Султанулы</t>
        </is>
      </c>
      <c r="F56" s="67" t="inlineStr">
        <is>
          <t>8 волн рифленый</t>
        </is>
      </c>
      <c r="G56" s="68" t="n">
        <v>42</v>
      </c>
      <c r="H56" s="68" t="n">
        <v>1620</v>
      </c>
      <c r="I56" s="57">
        <f>IFERROR(H56*VLOOKUP(F56,[1]инфо!$A$15:$C$28,3,FALSE)/1000,0)</f>
        <v/>
      </c>
      <c r="J56" s="68" t="n">
        <v>1250</v>
      </c>
      <c r="K56" s="68" t="n">
        <v>17</v>
      </c>
      <c r="L56" s="68" t="n">
        <v>2</v>
      </c>
      <c r="M56" s="55" t="n"/>
      <c r="N56" s="55" t="n">
        <v>4119</v>
      </c>
      <c r="O56" s="58" t="n"/>
      <c r="P56" s="58" t="n"/>
      <c r="Q56" s="58" t="n">
        <v>12150</v>
      </c>
      <c r="R56" s="58" t="n">
        <v>14710</v>
      </c>
      <c r="S56" s="59">
        <f>SUM(O56:R56)</f>
        <v/>
      </c>
      <c r="T56" s="52" t="n"/>
      <c r="U56" s="53" t="n"/>
      <c r="V56" s="58" t="n"/>
      <c r="W56" s="58" t="n"/>
      <c r="X56" s="58" t="n"/>
      <c r="Y56" s="52" t="n">
        <v>420</v>
      </c>
      <c r="Z56" s="58" t="n"/>
      <c r="AA56" s="58" t="n"/>
      <c r="AB56" s="58" t="n"/>
      <c r="AC56" s="69" t="n">
        <v>420</v>
      </c>
      <c r="AD56" s="53" t="n"/>
      <c r="AE56" s="61">
        <f>SUMIFS([1]инфо!$D$15:$D$28,[1]инфо!$A$15:$A$28,F56)</f>
        <v/>
      </c>
      <c r="AF56" s="62">
        <f>IF(H56=0,0,N56/H56)</f>
        <v/>
      </c>
      <c r="AG56" s="63">
        <f>AF56-AE56</f>
        <v/>
      </c>
      <c r="AH56" s="61">
        <f>SUMIFS([1]инфо!$E$15:$E$28,[1]инфо!$A$15:$A$28,F56)</f>
        <v/>
      </c>
      <c r="AI56" s="64">
        <f>IF(H56=0,0,S56/H56)</f>
        <v/>
      </c>
      <c r="AJ56" s="63">
        <f>AI56-AH56</f>
        <v/>
      </c>
      <c r="AK56" s="61">
        <f>SUMIFS([1]инфо!$F$15:$F$28,[1]инфо!$A$15:$A$28,F56)</f>
        <v/>
      </c>
      <c r="AL56" s="64">
        <f>IF(H56=0,0,Y56/H56)</f>
        <v/>
      </c>
      <c r="AM56" s="63">
        <f>AL56-AK56</f>
        <v/>
      </c>
      <c r="AN56" s="61">
        <f>SUMIFS([1]инфо!$G$15:$G$28,[1]инфо!$A$15:$A$28,F56)</f>
        <v/>
      </c>
      <c r="AO56" s="64">
        <f>IF(H56=0,0,AA56/H56)</f>
        <v/>
      </c>
      <c r="AP56" s="63">
        <f>AO56-AN56</f>
        <v/>
      </c>
      <c r="AQ56" s="61">
        <f>SUMIFS([1]инфо!$H$15:$H$28,[1]инфо!$A$15:$A$28,F56)</f>
        <v/>
      </c>
      <c r="AR56" s="62">
        <f>IF(H55=0,0,AC56/H55)</f>
        <v/>
      </c>
      <c r="AS56" s="63">
        <f>AR56-AQ56</f>
        <v/>
      </c>
      <c r="AT56" s="61">
        <f>SUMIFS([1]инфо!$I$15:$I$28,[1]инфо!$A$15:$A$28,F56)</f>
        <v/>
      </c>
      <c r="AU56" s="62">
        <f>IF(H56=0,0,AD56/H56)</f>
        <v/>
      </c>
      <c r="AV56" s="63">
        <f>AU56-AT56</f>
        <v/>
      </c>
      <c r="AX56" s="59">
        <f>SUMIFS([1]инфо!$C$15:$C$28,[1]инфо!$A$15:$A$28,F56)*H55</f>
        <v/>
      </c>
    </row>
    <row r="57">
      <c r="A57" s="71">
        <f>A55+1</f>
        <v/>
      </c>
      <c r="B57" s="65" t="inlineStr">
        <is>
          <t>0049</t>
        </is>
      </c>
      <c r="C57" s="77" t="inlineStr">
        <is>
          <t>линия 2</t>
        </is>
      </c>
      <c r="D57" s="78" t="inlineStr">
        <is>
          <t>день</t>
        </is>
      </c>
      <c r="E57" s="66" t="inlineStr">
        <is>
          <t>Монаев</t>
        </is>
      </c>
      <c r="F57" s="67" t="inlineStr">
        <is>
          <t>8 волн рифленый</t>
        </is>
      </c>
      <c r="G57" s="68" t="n">
        <v>39</v>
      </c>
      <c r="H57" s="68" t="n">
        <v>1550</v>
      </c>
      <c r="I57" s="57">
        <f>IFERROR(H57*VLOOKUP(F57,[1]инфо!$A$15:$C$28,3,FALSE)/1000,0)</f>
        <v/>
      </c>
      <c r="J57" s="68" t="n">
        <v>1000</v>
      </c>
      <c r="K57" s="68" t="n">
        <v>13</v>
      </c>
      <c r="L57" s="68" t="n">
        <v>11</v>
      </c>
      <c r="M57" s="55" t="n"/>
      <c r="N57" s="56" t="n">
        <v>3833</v>
      </c>
      <c r="O57" s="79" t="n"/>
      <c r="P57" s="79" t="n"/>
      <c r="Q57" s="79" t="n">
        <v>13447</v>
      </c>
      <c r="R57" s="79" t="n">
        <v>11509</v>
      </c>
      <c r="S57" s="80">
        <f>SUM(O57:R57)</f>
        <v/>
      </c>
      <c r="T57" s="77" t="n"/>
      <c r="U57" s="78" t="n"/>
      <c r="V57" s="79" t="n"/>
      <c r="W57" s="79" t="n"/>
      <c r="X57" s="79" t="n"/>
      <c r="Y57" s="77" t="n">
        <v>390</v>
      </c>
      <c r="Z57" s="79" t="n"/>
      <c r="AA57" s="79" t="n"/>
      <c r="AB57" s="79" t="n"/>
      <c r="AC57" s="69" t="n">
        <v>390</v>
      </c>
      <c r="AD57" s="78" t="n"/>
      <c r="AE57" s="81">
        <f>SUMIFS([1]инфо!$D$15:$D$28,[1]инфо!$A$15:$A$28,F57)</f>
        <v/>
      </c>
      <c r="AF57" s="62">
        <f>IF(H57=0,0,N57/H57)</f>
        <v/>
      </c>
      <c r="AG57" s="82">
        <f>AF57-AE57</f>
        <v/>
      </c>
      <c r="AH57" s="81">
        <f>SUMIFS([1]инфо!$E$15:$E$28,[1]инфо!$A$15:$A$28,F57)</f>
        <v/>
      </c>
      <c r="AI57" s="64">
        <f>IF(H57=0,0,S57/H57)</f>
        <v/>
      </c>
      <c r="AJ57" s="82">
        <f>AI57-AH57</f>
        <v/>
      </c>
      <c r="AK57" s="81">
        <f>SUMIFS([1]инфо!$F$15:$F$28,[1]инфо!$A$15:$A$28,F57)</f>
        <v/>
      </c>
      <c r="AL57" s="64">
        <f>IF(H57=0,0,Y57/H57)</f>
        <v/>
      </c>
      <c r="AM57" s="82">
        <f>AL57-AK57</f>
        <v/>
      </c>
      <c r="AN57" s="81">
        <f>SUMIFS([1]инфо!$G$15:$G$28,[1]инфо!$A$15:$A$28,F57)</f>
        <v/>
      </c>
      <c r="AO57" s="64">
        <f>IF(H57=0,0,AA57/H57)</f>
        <v/>
      </c>
      <c r="AP57" s="82">
        <f>AO57-AN57</f>
        <v/>
      </c>
      <c r="AQ57" s="81">
        <f>SUMIFS([1]инфо!$H$15:$H$28,[1]инфо!$A$15:$A$28,F57)</f>
        <v/>
      </c>
      <c r="AR57" s="85">
        <f>IF(H56=0,0,AC57/H56)</f>
        <v/>
      </c>
      <c r="AS57" s="82">
        <f>AR57-AQ57</f>
        <v/>
      </c>
      <c r="AT57" s="81">
        <f>SUMIFS([1]инфо!$I$15:$I$28,[1]инфо!$A$15:$A$28,F57)</f>
        <v/>
      </c>
      <c r="AU57" s="62">
        <f>IF(H57=0,0,AD57/H57)</f>
        <v/>
      </c>
      <c r="AV57" s="82">
        <f>AU57-AT57</f>
        <v/>
      </c>
      <c r="AX57" s="80">
        <f>SUMIFS([1]инфо!$C$15:$C$28,[1]инфо!$A$15:$A$28,F57)*H56</f>
        <v/>
      </c>
    </row>
    <row r="58">
      <c r="A58" s="71">
        <f>A56+1</f>
        <v/>
      </c>
      <c r="B58" s="65" t="inlineStr">
        <is>
          <t>0050</t>
        </is>
      </c>
      <c r="C58" s="72" t="inlineStr">
        <is>
          <t>линия 2</t>
        </is>
      </c>
      <c r="D58" s="73" t="inlineStr">
        <is>
          <t>ночь</t>
        </is>
      </c>
      <c r="E58" s="66" t="inlineStr">
        <is>
          <t>Дауылбай</t>
        </is>
      </c>
      <c r="F58" s="67" t="inlineStr">
        <is>
          <t>8 волн рифленый</t>
        </is>
      </c>
      <c r="G58" s="68" t="n">
        <v>48</v>
      </c>
      <c r="H58" s="68" t="n">
        <v>2180</v>
      </c>
      <c r="I58" s="57">
        <f>IFERROR(H58*VLOOKUP(F58,[1]инфо!$A$15:$C$28,3,FALSE)/1000,0)</f>
        <v/>
      </c>
      <c r="J58" s="68" t="n">
        <v>2750</v>
      </c>
      <c r="K58" s="68" t="n"/>
      <c r="L58" s="68" t="n"/>
      <c r="M58" s="55" t="n"/>
      <c r="N58" s="67" t="n">
        <v>4702</v>
      </c>
      <c r="O58" s="74" t="n"/>
      <c r="P58" s="74" t="n"/>
      <c r="Q58" s="74" t="n">
        <v>16299</v>
      </c>
      <c r="R58" s="74" t="n">
        <v>14724</v>
      </c>
      <c r="S58" s="70">
        <f>SUM(O58:R58)</f>
        <v/>
      </c>
      <c r="T58" s="72" t="n"/>
      <c r="U58" s="73" t="n"/>
      <c r="V58" s="74" t="n"/>
      <c r="W58" s="74" t="n"/>
      <c r="X58" s="74" t="n"/>
      <c r="Y58" s="72" t="n">
        <v>480</v>
      </c>
      <c r="Z58" s="74" t="n"/>
      <c r="AA58" s="74" t="n"/>
      <c r="AB58" s="74" t="n"/>
      <c r="AC58" s="69" t="n">
        <v>480</v>
      </c>
      <c r="AD58" s="73" t="n"/>
      <c r="AE58" s="75">
        <f>SUMIFS([1]инфо!$D$15:$D$28,[1]инфо!$A$15:$A$28,F58)</f>
        <v/>
      </c>
      <c r="AF58" s="62">
        <f>IF(H58=0,0,N58/H58)</f>
        <v/>
      </c>
      <c r="AG58" s="76">
        <f>AF58-AE58</f>
        <v/>
      </c>
      <c r="AH58" s="75">
        <f>SUMIFS([1]инфо!$E$15:$E$28,[1]инфо!$A$15:$A$28,F58)</f>
        <v/>
      </c>
      <c r="AI58" s="64">
        <f>IF(H58=0,0,S58/H58)</f>
        <v/>
      </c>
      <c r="AJ58" s="76">
        <f>AI58-AH58</f>
        <v/>
      </c>
      <c r="AK58" s="75">
        <f>SUMIFS([1]инфо!$F$15:$F$28,[1]инфо!$A$15:$A$28,F58)</f>
        <v/>
      </c>
      <c r="AL58" s="64">
        <f>IF(H58=0,0,Y58/H58)</f>
        <v/>
      </c>
      <c r="AM58" s="76">
        <f>AL58-AK58</f>
        <v/>
      </c>
      <c r="AN58" s="75">
        <f>SUMIFS([1]инфо!$G$15:$G$28,[1]инфо!$A$15:$A$28,F58)</f>
        <v/>
      </c>
      <c r="AO58" s="64">
        <f>IF(H58=0,0,AA58/H58)</f>
        <v/>
      </c>
      <c r="AP58" s="76">
        <f>AO58-AN58</f>
        <v/>
      </c>
      <c r="AQ58" s="75">
        <f>SUMIFS([1]инфо!$H$15:$H$28,[1]инфо!$A$15:$A$28,F58)</f>
        <v/>
      </c>
      <c r="AR58" s="64">
        <f>IF(H57=0,0,AC58/H57)</f>
        <v/>
      </c>
      <c r="AS58" s="76">
        <f>AR58-AQ58</f>
        <v/>
      </c>
      <c r="AT58" s="75">
        <f>SUMIFS([1]инфо!$I$15:$I$28,[1]инфо!$A$15:$A$28,F58)</f>
        <v/>
      </c>
      <c r="AU58" s="62">
        <f>IF(H58=0,0,AD58/H58)</f>
        <v/>
      </c>
      <c r="AV58" s="76">
        <f>AU58-AT58</f>
        <v/>
      </c>
      <c r="AX58" s="70">
        <f>SUMIFS([1]инфо!$C$15:$C$28,[1]инфо!$A$15:$A$28,F58)*H57</f>
        <v/>
      </c>
    </row>
    <row r="59">
      <c r="A59" s="71">
        <f>A57+1</f>
        <v/>
      </c>
      <c r="B59" s="65" t="n"/>
      <c r="C59" s="52" t="n"/>
      <c r="D59" s="53" t="n"/>
      <c r="E59" s="66" t="n"/>
      <c r="F59" s="67" t="n"/>
      <c r="G59" s="68" t="n"/>
      <c r="H59" s="68" t="n"/>
      <c r="I59" s="57">
        <f>IFERROR(H59*VLOOKUP(F59,[1]инфо!$A$15:$C$28,3,FALSE)/1000,0)</f>
        <v/>
      </c>
      <c r="J59" s="68" t="n"/>
      <c r="K59" s="68" t="n"/>
      <c r="L59" s="68" t="n"/>
      <c r="M59" s="55" t="n"/>
      <c r="N59" s="55" t="n"/>
      <c r="O59" s="58" t="n"/>
      <c r="P59" s="58" t="n"/>
      <c r="Q59" s="58" t="n"/>
      <c r="R59" s="58" t="n"/>
      <c r="S59" s="59">
        <f>SUM(O59:R59)</f>
        <v/>
      </c>
      <c r="T59" s="52" t="n"/>
      <c r="U59" s="53" t="n"/>
      <c r="V59" s="58" t="n"/>
      <c r="W59" s="58" t="n"/>
      <c r="X59" s="58" t="n"/>
      <c r="Y59" s="52" t="n"/>
      <c r="Z59" s="58" t="n"/>
      <c r="AA59" s="58" t="n"/>
      <c r="AB59" s="58" t="n"/>
      <c r="AC59" s="58" t="n"/>
      <c r="AD59" s="53" t="n"/>
      <c r="AE59" s="61">
        <f>SUMIFS([1]инфо!$D$15:$D$28,[1]инфо!$A$15:$A$28,F59)</f>
        <v/>
      </c>
      <c r="AF59" s="62">
        <f>IF(H59=0,0,N59/H59)</f>
        <v/>
      </c>
      <c r="AG59" s="63">
        <f>AF59-AE59</f>
        <v/>
      </c>
      <c r="AH59" s="61">
        <f>SUMIFS([1]инфо!$E$15:$E$28,[1]инфо!$A$15:$A$28,F59)</f>
        <v/>
      </c>
      <c r="AI59" s="64">
        <f>IF(H59=0,0,S59/H59)</f>
        <v/>
      </c>
      <c r="AJ59" s="63">
        <f>AI59-AH59</f>
        <v/>
      </c>
      <c r="AK59" s="61">
        <f>SUMIFS([1]инфо!$F$15:$F$28,[1]инфо!$A$15:$A$28,F59)</f>
        <v/>
      </c>
      <c r="AL59" s="64">
        <f>IF(H59=0,0,Y59/H59)</f>
        <v/>
      </c>
      <c r="AM59" s="63">
        <f>AL59-AK59</f>
        <v/>
      </c>
      <c r="AN59" s="61">
        <f>SUMIFS([1]инфо!$G$15:$G$28,[1]инфо!$A$15:$A$28,F59)</f>
        <v/>
      </c>
      <c r="AO59" s="64">
        <f>IF(H59=0,0,AA59/H59)</f>
        <v/>
      </c>
      <c r="AP59" s="63">
        <f>AO59-AN59</f>
        <v/>
      </c>
      <c r="AQ59" s="61">
        <f>SUMIFS([1]инфо!$H$15:$H$28,[1]инфо!$A$15:$A$28,F59)</f>
        <v/>
      </c>
      <c r="AR59" s="62">
        <f>IF(H58=0,0,AC59/H58)</f>
        <v/>
      </c>
      <c r="AS59" s="63">
        <f>AR59-AQ59</f>
        <v/>
      </c>
      <c r="AT59" s="61">
        <f>SUMIFS([1]инфо!$I$15:$I$28,[1]инфо!$A$15:$A$28,F59)</f>
        <v/>
      </c>
      <c r="AU59" s="62">
        <f>IF(H59=0,0,AD59/H59)</f>
        <v/>
      </c>
      <c r="AV59" s="63">
        <f>AU59-AT59</f>
        <v/>
      </c>
      <c r="AX59" s="59">
        <f>SUMIFS([1]инфо!$C$15:$C$28,[1]инфо!$A$15:$A$28,F59)*H58</f>
        <v/>
      </c>
    </row>
    <row r="60">
      <c r="A60" s="71">
        <f>A58+1</f>
        <v/>
      </c>
      <c r="B60" s="65" t="n"/>
      <c r="C60" s="52" t="n"/>
      <c r="D60" s="53" t="n"/>
      <c r="E60" s="66" t="n"/>
      <c r="F60" s="67" t="n"/>
      <c r="G60" s="68" t="n"/>
      <c r="H60" s="68" t="n"/>
      <c r="I60" s="57">
        <f>IFERROR(H60*VLOOKUP(F60,[1]инфо!$A$15:$C$28,3,FALSE)/1000,0)</f>
        <v/>
      </c>
      <c r="J60" s="68" t="n"/>
      <c r="K60" s="68" t="n"/>
      <c r="L60" s="68" t="n"/>
      <c r="M60" s="55" t="n"/>
      <c r="N60" s="55" t="n"/>
      <c r="O60" s="58" t="n"/>
      <c r="P60" s="58" t="n"/>
      <c r="Q60" s="58" t="n"/>
      <c r="R60" s="58" t="n"/>
      <c r="S60" s="59">
        <f>SUM(O60:R60)</f>
        <v/>
      </c>
      <c r="T60" s="52" t="n"/>
      <c r="U60" s="53" t="n"/>
      <c r="V60" s="58" t="n"/>
      <c r="W60" s="58" t="n"/>
      <c r="X60" s="58" t="n"/>
      <c r="Y60" s="52" t="n"/>
      <c r="Z60" s="58" t="n"/>
      <c r="AA60" s="58" t="n"/>
      <c r="AB60" s="58" t="n"/>
      <c r="AC60" s="58" t="n"/>
      <c r="AD60" s="53" t="n"/>
      <c r="AE60" s="61">
        <f>SUMIFS([1]инфо!$D$15:$D$28,[1]инфо!$A$15:$A$28,F60)</f>
        <v/>
      </c>
      <c r="AF60" s="62">
        <f>IF(H60=0,0,N60/H60)</f>
        <v/>
      </c>
      <c r="AG60" s="63">
        <f>AF60-AE60</f>
        <v/>
      </c>
      <c r="AH60" s="61">
        <f>SUMIFS([1]инфо!$E$15:$E$28,[1]инфо!$A$15:$A$28,F60)</f>
        <v/>
      </c>
      <c r="AI60" s="64">
        <f>IF(H60=0,0,S60/H60)</f>
        <v/>
      </c>
      <c r="AJ60" s="63">
        <f>AI60-AH60</f>
        <v/>
      </c>
      <c r="AK60" s="61">
        <f>SUMIFS([1]инфо!$F$15:$F$28,[1]инфо!$A$15:$A$28,F60)</f>
        <v/>
      </c>
      <c r="AL60" s="64">
        <f>IF(H60=0,0,Y60/H60)</f>
        <v/>
      </c>
      <c r="AM60" s="63">
        <f>AL60-AK60</f>
        <v/>
      </c>
      <c r="AN60" s="61">
        <f>SUMIFS([1]инфо!$G$15:$G$28,[1]инфо!$A$15:$A$28,F60)</f>
        <v/>
      </c>
      <c r="AO60" s="64">
        <f>IF(H60=0,0,AA60/H60)</f>
        <v/>
      </c>
      <c r="AP60" s="63">
        <f>AO60-AN60</f>
        <v/>
      </c>
      <c r="AQ60" s="61">
        <f>SUMIFS([1]инфо!$H$15:$H$28,[1]инфо!$A$15:$A$28,F60)</f>
        <v/>
      </c>
      <c r="AR60" s="62">
        <f>IF(H59=0,0,AC60/H59)</f>
        <v/>
      </c>
      <c r="AS60" s="63">
        <f>AR60-AQ60</f>
        <v/>
      </c>
      <c r="AT60" s="61">
        <f>SUMIFS([1]инфо!$I$15:$I$28,[1]инфо!$A$15:$A$28,F60)</f>
        <v/>
      </c>
      <c r="AU60" s="62">
        <f>IF(H60=0,0,AD60/H60)</f>
        <v/>
      </c>
      <c r="AV60" s="63">
        <f>AU60-AT60</f>
        <v/>
      </c>
      <c r="AX60" s="59">
        <f>SUMIFS([1]инфо!$C$15:$C$28,[1]инфо!$A$15:$A$28,F60)*H59</f>
        <v/>
      </c>
    </row>
    <row r="61">
      <c r="A61" s="71">
        <f>A59+1</f>
        <v/>
      </c>
      <c r="B61" s="65" t="n"/>
      <c r="C61" s="77" t="n"/>
      <c r="D61" s="78" t="n"/>
      <c r="E61" s="66" t="n"/>
      <c r="F61" s="67" t="n"/>
      <c r="G61" s="68" t="n"/>
      <c r="H61" s="68" t="n"/>
      <c r="I61" s="57">
        <f>IFERROR(H61*VLOOKUP(F61,[1]инфо!$A$15:$C$28,3,FALSE)/1000,0)</f>
        <v/>
      </c>
      <c r="J61" s="68" t="n"/>
      <c r="K61" s="68" t="n"/>
      <c r="L61" s="68" t="n"/>
      <c r="M61" s="55" t="n"/>
      <c r="N61" s="56" t="n"/>
      <c r="O61" s="79" t="n"/>
      <c r="P61" s="79" t="n"/>
      <c r="Q61" s="79" t="n"/>
      <c r="R61" s="79" t="n"/>
      <c r="S61" s="59">
        <f>SUM(O61:R61)</f>
        <v/>
      </c>
      <c r="T61" s="77" t="n"/>
      <c r="U61" s="78" t="n"/>
      <c r="V61" s="79" t="n"/>
      <c r="W61" s="79" t="n"/>
      <c r="X61" s="79" t="n"/>
      <c r="Y61" s="77" t="n"/>
      <c r="Z61" s="79" t="n"/>
      <c r="AA61" s="79" t="n"/>
      <c r="AB61" s="79" t="n"/>
      <c r="AC61" s="79" t="n"/>
      <c r="AD61" s="78" t="n"/>
      <c r="AE61" s="81">
        <f>SUMIFS([1]инфо!$D$15:$D$28,[1]инфо!$A$15:$A$28,F61)</f>
        <v/>
      </c>
      <c r="AF61" s="62">
        <f>IF(H61=0,0,N61/H61)</f>
        <v/>
      </c>
      <c r="AG61" s="82">
        <f>AF61-AE61</f>
        <v/>
      </c>
      <c r="AH61" s="81">
        <f>SUMIFS([1]инфо!$E$15:$E$28,[1]инфо!$A$15:$A$28,F61)</f>
        <v/>
      </c>
      <c r="AI61" s="64">
        <f>IF(H61=0,0,S61/H61)</f>
        <v/>
      </c>
      <c r="AJ61" s="82">
        <f>AI61-AH61</f>
        <v/>
      </c>
      <c r="AK61" s="81">
        <f>SUMIFS([1]инфо!$F$15:$F$28,[1]инфо!$A$15:$A$28,F61)</f>
        <v/>
      </c>
      <c r="AL61" s="64">
        <f>IF(H61=0,0,Y61/H61)</f>
        <v/>
      </c>
      <c r="AM61" s="82">
        <f>AL61-AK61</f>
        <v/>
      </c>
      <c r="AN61" s="81">
        <f>SUMIFS([1]инфо!$G$15:$G$28,[1]инфо!$A$15:$A$28,F61)</f>
        <v/>
      </c>
      <c r="AO61" s="64">
        <f>IF(H61=0,0,AA61/H61)</f>
        <v/>
      </c>
      <c r="AP61" s="82">
        <f>AO61-AN61</f>
        <v/>
      </c>
      <c r="AQ61" s="81">
        <f>SUMIFS([1]инфо!$H$15:$H$28,[1]инфо!$A$15:$A$28,F61)</f>
        <v/>
      </c>
      <c r="AR61" s="85">
        <f>IF(H60=0,0,AC61/H60)</f>
        <v/>
      </c>
      <c r="AS61" s="82">
        <f>AR61-AQ61</f>
        <v/>
      </c>
      <c r="AT61" s="81">
        <f>SUMIFS([1]инфо!$I$15:$I$28,[1]инфо!$A$15:$A$28,F61)</f>
        <v/>
      </c>
      <c r="AU61" s="62">
        <f>IF(H61=0,0,AD61/H61)</f>
        <v/>
      </c>
      <c r="AV61" s="82">
        <f>AU61-AT61</f>
        <v/>
      </c>
      <c r="AX61" s="80">
        <f>SUMIFS([1]инфо!$C$15:$C$28,[1]инфо!$A$15:$A$28,F61)*H60</f>
        <v/>
      </c>
    </row>
    <row r="62">
      <c r="A62" s="71">
        <f>A60+1</f>
        <v/>
      </c>
      <c r="B62" s="65" t="n"/>
      <c r="C62" s="72" t="n"/>
      <c r="D62" s="73" t="n"/>
      <c r="E62" s="66" t="n"/>
      <c r="F62" s="67" t="n"/>
      <c r="G62" s="68" t="n"/>
      <c r="H62" s="68" t="n"/>
      <c r="I62" s="57">
        <f>IFERROR(H62*VLOOKUP(F62,[1]инфо!$A$15:$C$28,3,FALSE)/1000,0)</f>
        <v/>
      </c>
      <c r="J62" s="68" t="n"/>
      <c r="K62" s="68" t="n"/>
      <c r="L62" s="68" t="n"/>
      <c r="M62" s="55" t="n"/>
      <c r="N62" s="67" t="n"/>
      <c r="O62" s="74" t="n"/>
      <c r="P62" s="74" t="n"/>
      <c r="Q62" s="74" t="n"/>
      <c r="R62" s="74" t="n"/>
      <c r="S62" s="59" t="n"/>
      <c r="T62" s="72" t="n"/>
      <c r="U62" s="73" t="n"/>
      <c r="V62" s="74" t="n"/>
      <c r="W62" s="74" t="n"/>
      <c r="X62" s="74" t="n"/>
      <c r="Y62" s="72" t="n"/>
      <c r="Z62" s="74" t="n"/>
      <c r="AA62" s="74" t="n"/>
      <c r="AB62" s="74" t="n"/>
      <c r="AC62" s="74" t="n"/>
      <c r="AD62" s="73" t="n"/>
      <c r="AE62" s="75">
        <f>SUMIFS([1]инфо!$D$15:$D$28,[1]инфо!$A$15:$A$28,F62)</f>
        <v/>
      </c>
      <c r="AF62" s="62">
        <f>IF(H62=0,0,N62/H62)</f>
        <v/>
      </c>
      <c r="AG62" s="76">
        <f>AF62-AE62</f>
        <v/>
      </c>
      <c r="AH62" s="75">
        <f>SUMIFS([1]инфо!$E$15:$E$28,[1]инфо!$A$15:$A$28,F62)</f>
        <v/>
      </c>
      <c r="AI62" s="64">
        <f>IF(H62=0,0,S62/H62)</f>
        <v/>
      </c>
      <c r="AJ62" s="76">
        <f>AI62-AH62</f>
        <v/>
      </c>
      <c r="AK62" s="75">
        <f>SUMIFS([1]инфо!$F$15:$F$28,[1]инфо!$A$15:$A$28,F62)</f>
        <v/>
      </c>
      <c r="AL62" s="64">
        <f>IF(H62=0,0,Y62/H62)</f>
        <v/>
      </c>
      <c r="AM62" s="76">
        <f>AL62-AK62</f>
        <v/>
      </c>
      <c r="AN62" s="75">
        <f>SUMIFS([1]инфо!$G$15:$G$28,[1]инфо!$A$15:$A$28,F62)</f>
        <v/>
      </c>
      <c r="AO62" s="64">
        <f>IF(H62=0,0,AA62/H62)</f>
        <v/>
      </c>
      <c r="AP62" s="76">
        <f>AO62-AN62</f>
        <v/>
      </c>
      <c r="AQ62" s="75">
        <f>SUMIFS([1]инфо!$H$15:$H$28,[1]инфо!$A$15:$A$28,F62)</f>
        <v/>
      </c>
      <c r="AR62" s="64">
        <f>IF(H61=0,0,AC62/H61)</f>
        <v/>
      </c>
      <c r="AS62" s="76">
        <f>AR62-AQ62</f>
        <v/>
      </c>
      <c r="AT62" s="75">
        <f>SUMIFS([1]инфо!$I$15:$I$28,[1]инфо!$A$15:$A$28,F62)</f>
        <v/>
      </c>
      <c r="AU62" s="62">
        <f>IF(H62=0,0,AD62/H62)</f>
        <v/>
      </c>
      <c r="AV62" s="76">
        <f>AU62-AT62</f>
        <v/>
      </c>
      <c r="AX62" s="70">
        <f>SUMIFS([1]инфо!$C$15:$C$28,[1]инфо!$A$15:$A$28,F62)*H61</f>
        <v/>
      </c>
    </row>
    <row r="63">
      <c r="A63" s="71">
        <f>A61+1</f>
        <v/>
      </c>
      <c r="B63" s="65" t="n"/>
      <c r="C63" s="52" t="n"/>
      <c r="D63" s="53" t="n"/>
      <c r="E63" s="66" t="n"/>
      <c r="F63" s="67" t="n"/>
      <c r="G63" s="68" t="n"/>
      <c r="H63" s="68" t="n"/>
      <c r="I63" s="57">
        <f>IFERROR(H63*VLOOKUP(F63,[1]инфо!$A$15:$C$28,3,FALSE)/1000,0)</f>
        <v/>
      </c>
      <c r="J63" s="68" t="n"/>
      <c r="K63" s="68" t="n"/>
      <c r="L63" s="68" t="n"/>
      <c r="M63" s="55" t="n"/>
      <c r="N63" s="67" t="n"/>
      <c r="O63" s="58" t="n"/>
      <c r="P63" s="58" t="n"/>
      <c r="Q63" s="58" t="n"/>
      <c r="R63" s="58" t="n"/>
      <c r="S63" s="59" t="n"/>
      <c r="T63" s="52" t="n"/>
      <c r="U63" s="53" t="n"/>
      <c r="V63" s="58" t="n"/>
      <c r="W63" s="58" t="n"/>
      <c r="X63" s="58" t="n"/>
      <c r="Y63" s="52" t="n"/>
      <c r="Z63" s="58" t="n"/>
      <c r="AA63" s="58" t="n"/>
      <c r="AB63" s="58" t="n"/>
      <c r="AC63" s="58" t="n"/>
      <c r="AD63" s="53" t="n"/>
      <c r="AE63" s="61">
        <f>SUMIFS([1]инфо!$D$15:$D$28,[1]инфо!$A$15:$A$28,F63)</f>
        <v/>
      </c>
      <c r="AF63" s="62">
        <f>IF(H63=0,0,N63/H63)</f>
        <v/>
      </c>
      <c r="AG63" s="63">
        <f>AF63-AE63</f>
        <v/>
      </c>
      <c r="AH63" s="61">
        <f>SUMIFS([1]инфо!$E$15:$E$28,[1]инфо!$A$15:$A$28,F63)</f>
        <v/>
      </c>
      <c r="AI63" s="64">
        <f>IF(H63=0,0,S63/H63)</f>
        <v/>
      </c>
      <c r="AJ63" s="63">
        <f>AI63-AH63</f>
        <v/>
      </c>
      <c r="AK63" s="61">
        <f>SUMIFS([1]инфо!$F$15:$F$28,[1]инфо!$A$15:$A$28,F63)</f>
        <v/>
      </c>
      <c r="AL63" s="64">
        <f>IF(H63=0,0,Y63/H63)</f>
        <v/>
      </c>
      <c r="AM63" s="63">
        <f>AL63-AK63</f>
        <v/>
      </c>
      <c r="AN63" s="61">
        <f>SUMIFS([1]инфо!$G$15:$G$28,[1]инфо!$A$15:$A$28,F63)</f>
        <v/>
      </c>
      <c r="AO63" s="64">
        <f>IF(H63=0,0,AA63/H63)</f>
        <v/>
      </c>
      <c r="AP63" s="63">
        <f>AO63-AN63</f>
        <v/>
      </c>
      <c r="AQ63" s="61">
        <f>SUMIFS([1]инфо!$H$15:$H$28,[1]инфо!$A$15:$A$28,F63)</f>
        <v/>
      </c>
      <c r="AR63" s="62">
        <f>IF(H62=0,0,AC63/H62)</f>
        <v/>
      </c>
      <c r="AS63" s="63">
        <f>AR63-AQ63</f>
        <v/>
      </c>
      <c r="AT63" s="61">
        <f>SUMIFS([1]инфо!$I$15:$I$28,[1]инфо!$A$15:$A$28,F63)</f>
        <v/>
      </c>
      <c r="AU63" s="62">
        <f>IF(H63=0,0,AD63/H63)</f>
        <v/>
      </c>
      <c r="AV63" s="63">
        <f>AU63-AT63</f>
        <v/>
      </c>
      <c r="AX63" s="59">
        <f>SUMIFS([1]инфо!$C$15:$C$28,[1]инфо!$A$15:$A$28,F63)*H62</f>
        <v/>
      </c>
    </row>
    <row r="64">
      <c r="A64" s="71">
        <f>A62+1</f>
        <v/>
      </c>
      <c r="B64" s="65" t="n"/>
      <c r="C64" s="52" t="n"/>
      <c r="D64" s="53" t="n"/>
      <c r="E64" s="66" t="n"/>
      <c r="F64" s="67" t="n"/>
      <c r="G64" s="68" t="n"/>
      <c r="H64" s="68" t="n"/>
      <c r="I64" s="57">
        <f>IFERROR(H64*VLOOKUP(F64,[1]инфо!$A$15:$C$28,3,FALSE)/1000,0)</f>
        <v/>
      </c>
      <c r="J64" s="68" t="n">
        <v>569</v>
      </c>
      <c r="K64" s="68" t="n"/>
      <c r="L64" s="68" t="n"/>
      <c r="M64" s="55" t="n"/>
      <c r="N64" s="67" t="n"/>
      <c r="O64" s="58" t="n"/>
      <c r="P64" s="58" t="n"/>
      <c r="Q64" s="58" t="n"/>
      <c r="R64" s="58" t="n"/>
      <c r="S64" s="59" t="n"/>
      <c r="T64" s="52" t="n"/>
      <c r="U64" s="53" t="n"/>
      <c r="V64" s="58" t="n"/>
      <c r="W64" s="58" t="n"/>
      <c r="X64" s="58" t="n"/>
      <c r="Y64" s="52" t="n"/>
      <c r="Z64" s="58" t="n"/>
      <c r="AA64" s="58" t="n"/>
      <c r="AB64" s="58" t="n"/>
      <c r="AC64" s="58" t="n"/>
      <c r="AD64" s="53" t="n"/>
      <c r="AE64" s="61">
        <f>SUMIFS([1]инфо!$D$15:$D$28,[1]инфо!$A$15:$A$28,F64)</f>
        <v/>
      </c>
      <c r="AF64" s="62">
        <f>IF(H64=0,0,N64/H64)</f>
        <v/>
      </c>
      <c r="AG64" s="63">
        <f>AF64-AE64</f>
        <v/>
      </c>
      <c r="AH64" s="61">
        <f>SUMIFS([1]инфо!$E$15:$E$28,[1]инфо!$A$15:$A$28,F64)</f>
        <v/>
      </c>
      <c r="AI64" s="64">
        <f>IF(H64=0,0,S64/H64)</f>
        <v/>
      </c>
      <c r="AJ64" s="63">
        <f>AI64-AH64</f>
        <v/>
      </c>
      <c r="AK64" s="61">
        <f>SUMIFS([1]инфо!$F$15:$F$28,[1]инфо!$A$15:$A$28,F64)</f>
        <v/>
      </c>
      <c r="AL64" s="64">
        <f>IF(H64=0,0,Y64/H64)</f>
        <v/>
      </c>
      <c r="AM64" s="63">
        <f>AL64-AK64</f>
        <v/>
      </c>
      <c r="AN64" s="61">
        <f>SUMIFS([1]инфо!$G$15:$G$28,[1]инфо!$A$15:$A$28,F64)</f>
        <v/>
      </c>
      <c r="AO64" s="64">
        <f>IF(H64=0,0,AA64/H64)</f>
        <v/>
      </c>
      <c r="AP64" s="63">
        <f>AO64-AN64</f>
        <v/>
      </c>
      <c r="AQ64" s="61">
        <f>SUMIFS([1]инфо!$H$15:$H$28,[1]инфо!$A$15:$A$28,F64)</f>
        <v/>
      </c>
      <c r="AR64" s="62">
        <f>IF(H63=0,0,AC64/H63)</f>
        <v/>
      </c>
      <c r="AS64" s="63">
        <f>AR64-AQ64</f>
        <v/>
      </c>
      <c r="AT64" s="61">
        <f>SUMIFS([1]инфо!$I$15:$I$28,[1]инфо!$A$15:$A$28,F64)</f>
        <v/>
      </c>
      <c r="AU64" s="62">
        <f>IF(H64=0,0,AD64/H64)</f>
        <v/>
      </c>
      <c r="AV64" s="63">
        <f>AU64-AT64</f>
        <v/>
      </c>
      <c r="AX64" s="59">
        <f>SUMIFS([1]инфо!$C$15:$C$28,[1]инфо!$A$15:$A$28,F64)*H63</f>
        <v/>
      </c>
    </row>
    <row r="65">
      <c r="A65" s="71">
        <f>A63+1</f>
        <v/>
      </c>
      <c r="B65" s="65" t="n"/>
      <c r="C65" s="77" t="n"/>
      <c r="D65" s="78" t="n"/>
      <c r="E65" s="66" t="n"/>
      <c r="F65" s="67" t="n"/>
      <c r="G65" s="68" t="n"/>
      <c r="H65" s="68" t="n"/>
      <c r="I65" s="57">
        <f>IFERROR(H65*VLOOKUP(F65,[1]инфо!$A$15:$C$28,3,FALSE)/1000,0)</f>
        <v/>
      </c>
      <c r="J65" s="68" t="n"/>
      <c r="K65" s="68" t="n"/>
      <c r="L65" s="68" t="n"/>
      <c r="M65" s="55" t="n"/>
      <c r="N65" s="67" t="n"/>
      <c r="O65" s="79" t="n"/>
      <c r="P65" s="79" t="n"/>
      <c r="Q65" s="79" t="n"/>
      <c r="R65" s="79" t="n"/>
      <c r="S65" s="59" t="n"/>
      <c r="T65" s="77" t="n"/>
      <c r="U65" s="78" t="n"/>
      <c r="V65" s="79" t="n"/>
      <c r="W65" s="79" t="n"/>
      <c r="X65" s="79" t="n"/>
      <c r="Y65" s="77" t="n"/>
      <c r="Z65" s="79" t="n"/>
      <c r="AA65" s="79" t="n"/>
      <c r="AB65" s="79" t="n"/>
      <c r="AC65" s="79" t="n"/>
      <c r="AD65" s="78" t="n"/>
      <c r="AE65" s="81">
        <f>SUMIFS([1]инфо!$D$15:$D$28,[1]инфо!$A$15:$A$28,F65)</f>
        <v/>
      </c>
      <c r="AF65" s="62">
        <f>IF(H65=0,0,N65/H65)</f>
        <v/>
      </c>
      <c r="AG65" s="82">
        <f>AF65-AE65</f>
        <v/>
      </c>
      <c r="AH65" s="81">
        <f>SUMIFS([1]инфо!$E$15:$E$28,[1]инфо!$A$15:$A$28,F65)</f>
        <v/>
      </c>
      <c r="AI65" s="64">
        <f>IF(H65=0,0,S65/H65)</f>
        <v/>
      </c>
      <c r="AJ65" s="82">
        <f>AI65-AH65</f>
        <v/>
      </c>
      <c r="AK65" s="81">
        <f>SUMIFS([1]инфо!$F$15:$F$28,[1]инфо!$A$15:$A$28,F65)</f>
        <v/>
      </c>
      <c r="AL65" s="64">
        <f>IF(H65=0,0,Y65/H65)</f>
        <v/>
      </c>
      <c r="AM65" s="82">
        <f>AL65-AK65</f>
        <v/>
      </c>
      <c r="AN65" s="81">
        <f>SUMIFS([1]инфо!$G$15:$G$28,[1]инфо!$A$15:$A$28,F65)</f>
        <v/>
      </c>
      <c r="AO65" s="64">
        <f>IF(H65=0,0,AA65/H65)</f>
        <v/>
      </c>
      <c r="AP65" s="82">
        <f>AO65-AN65</f>
        <v/>
      </c>
      <c r="AQ65" s="81">
        <f>SUMIFS([1]инфо!$H$15:$H$28,[1]инфо!$A$15:$A$28,F65)</f>
        <v/>
      </c>
      <c r="AR65" s="85">
        <f>IF(H64=0,0,AC65/H64)</f>
        <v/>
      </c>
      <c r="AS65" s="82">
        <f>AR65-AQ65</f>
        <v/>
      </c>
      <c r="AT65" s="81">
        <f>SUMIFS([1]инфо!$I$15:$I$28,[1]инфо!$A$15:$A$28,F65)</f>
        <v/>
      </c>
      <c r="AU65" s="62">
        <f>IF(H65=0,0,AD65/H65)</f>
        <v/>
      </c>
      <c r="AV65" s="82">
        <f>AU65-AT65</f>
        <v/>
      </c>
      <c r="AX65" s="80">
        <f>SUMIFS([1]инфо!$C$15:$C$28,[1]инфо!$A$15:$A$28,F65)*H64</f>
        <v/>
      </c>
    </row>
    <row r="66">
      <c r="A66" s="71">
        <f>A64+1</f>
        <v/>
      </c>
      <c r="B66" s="65" t="n"/>
      <c r="C66" s="72" t="n"/>
      <c r="D66" s="73" t="n"/>
      <c r="E66" s="66" t="n"/>
      <c r="F66" s="67" t="n"/>
      <c r="G66" s="68" t="n"/>
      <c r="H66" s="68" t="n"/>
      <c r="I66" s="57">
        <f>IFERROR(H66*VLOOKUP(F66,[1]инфо!$A$15:$C$28,3,FALSE)/1000,0)</f>
        <v/>
      </c>
      <c r="J66" s="68" t="n"/>
      <c r="K66" s="68" t="n"/>
      <c r="L66" s="68" t="n"/>
      <c r="M66" s="55" t="n"/>
      <c r="N66" s="67" t="n"/>
      <c r="O66" s="74" t="n"/>
      <c r="P66" s="74" t="n"/>
      <c r="Q66" s="74" t="n"/>
      <c r="R66" s="74" t="n"/>
      <c r="S66" s="70">
        <f>SUM(O66:R66)</f>
        <v/>
      </c>
      <c r="T66" s="72" t="n"/>
      <c r="U66" s="73" t="n"/>
      <c r="V66" s="74" t="n"/>
      <c r="W66" s="74" t="n"/>
      <c r="X66" s="74" t="n"/>
      <c r="Y66" s="72" t="n"/>
      <c r="Z66" s="74" t="n"/>
      <c r="AA66" s="74" t="n"/>
      <c r="AB66" s="74" t="n"/>
      <c r="AC66" s="74" t="n"/>
      <c r="AD66" s="73" t="n"/>
      <c r="AE66" s="75">
        <f>SUMIFS([1]инфо!$D$15:$D$28,[1]инфо!$A$15:$A$28,F66)</f>
        <v/>
      </c>
      <c r="AF66" s="62">
        <f>IF(H66=0,0,N66/H66)</f>
        <v/>
      </c>
      <c r="AG66" s="76">
        <f>AF66-AE66</f>
        <v/>
      </c>
      <c r="AH66" s="75">
        <f>SUMIFS([1]инфо!$E$15:$E$28,[1]инфо!$A$15:$A$28,F66)</f>
        <v/>
      </c>
      <c r="AI66" s="64">
        <f>IF(H66=0,0,S66/H66)</f>
        <v/>
      </c>
      <c r="AJ66" s="76">
        <f>AI66-AH66</f>
        <v/>
      </c>
      <c r="AK66" s="75">
        <f>SUMIFS([1]инфо!$F$15:$F$28,[1]инфо!$A$15:$A$28,F66)</f>
        <v/>
      </c>
      <c r="AL66" s="64">
        <f>IF(H66=0,0,Y66/H66)</f>
        <v/>
      </c>
      <c r="AM66" s="76">
        <f>AL66-AK66</f>
        <v/>
      </c>
      <c r="AN66" s="75">
        <f>SUMIFS([1]инфо!$G$15:$G$28,[1]инфо!$A$15:$A$28,F66)</f>
        <v/>
      </c>
      <c r="AO66" s="64">
        <f>IF(H66=0,0,AA66/H66)</f>
        <v/>
      </c>
      <c r="AP66" s="76">
        <f>AO66-AN66</f>
        <v/>
      </c>
      <c r="AQ66" s="75">
        <f>SUMIFS([1]инфо!$H$15:$H$28,[1]инфо!$A$15:$A$28,F66)</f>
        <v/>
      </c>
      <c r="AR66" s="64">
        <f>IF(H65=0,0,AC66/H65)</f>
        <v/>
      </c>
      <c r="AS66" s="76">
        <f>AR66-AQ66</f>
        <v/>
      </c>
      <c r="AT66" s="75">
        <f>SUMIFS([1]инфо!$I$15:$I$28,[1]инфо!$A$15:$A$28,F66)</f>
        <v/>
      </c>
      <c r="AU66" s="62">
        <f>IF(H66=0,0,AD66/H66)</f>
        <v/>
      </c>
      <c r="AV66" s="76">
        <f>AU66-AT66</f>
        <v/>
      </c>
      <c r="AX66" s="70">
        <f>SUMIFS([1]инфо!$C$15:$C$28,[1]инфо!$A$15:$A$28,F66)*H65</f>
        <v/>
      </c>
    </row>
    <row r="67">
      <c r="A67" s="71">
        <f>A65+1</f>
        <v/>
      </c>
      <c r="B67" s="65" t="n"/>
      <c r="C67" s="52" t="n"/>
      <c r="D67" s="53" t="n"/>
      <c r="E67" s="66" t="n"/>
      <c r="F67" s="67" t="n"/>
      <c r="G67" s="68" t="n"/>
      <c r="H67" s="68" t="n"/>
      <c r="I67" s="57">
        <f>IFERROR(H67*VLOOKUP(F67,[1]инфо!$A$15:$C$28,3,FALSE)/1000,0)</f>
        <v/>
      </c>
      <c r="J67" s="68" t="n"/>
      <c r="K67" s="68" t="n"/>
      <c r="L67" s="68" t="n"/>
      <c r="M67" s="55" t="n"/>
      <c r="N67" s="55" t="n"/>
      <c r="O67" s="58" t="n"/>
      <c r="P67" s="58" t="n"/>
      <c r="Q67" s="58" t="n"/>
      <c r="R67" s="58" t="n"/>
      <c r="S67" s="59">
        <f>SUM(O67:R67)</f>
        <v/>
      </c>
      <c r="T67" s="52" t="n"/>
      <c r="U67" s="53" t="n"/>
      <c r="V67" s="58" t="n"/>
      <c r="W67" s="58" t="n"/>
      <c r="X67" s="58" t="n"/>
      <c r="Y67" s="52" t="n"/>
      <c r="Z67" s="58" t="n"/>
      <c r="AA67" s="58" t="n"/>
      <c r="AB67" s="58" t="n"/>
      <c r="AC67" s="58" t="n"/>
      <c r="AD67" s="53" t="n"/>
      <c r="AE67" s="61">
        <f>SUMIFS([1]инфо!$D$15:$D$28,[1]инфо!$A$15:$A$28,F67)</f>
        <v/>
      </c>
      <c r="AF67" s="62">
        <f>IF(H67=0,0,N67/H67)</f>
        <v/>
      </c>
      <c r="AG67" s="63">
        <f>AF67-AE67</f>
        <v/>
      </c>
      <c r="AH67" s="61">
        <f>SUMIFS([1]инфо!$E$15:$E$28,[1]инфо!$A$15:$A$28,F67)</f>
        <v/>
      </c>
      <c r="AI67" s="64">
        <f>IF(H67=0,0,S67/H67)</f>
        <v/>
      </c>
      <c r="AJ67" s="63">
        <f>AI67-AH67</f>
        <v/>
      </c>
      <c r="AK67" s="61">
        <f>SUMIFS([1]инфо!$F$15:$F$28,[1]инфо!$A$15:$A$28,F67)</f>
        <v/>
      </c>
      <c r="AL67" s="64">
        <f>IF(H67=0,0,Y67/H67)</f>
        <v/>
      </c>
      <c r="AM67" s="63">
        <f>AL67-AK67</f>
        <v/>
      </c>
      <c r="AN67" s="61">
        <f>SUMIFS([1]инфо!$G$15:$G$28,[1]инфо!$A$15:$A$28,F67)</f>
        <v/>
      </c>
      <c r="AO67" s="64">
        <f>IF(H67=0,0,AA67/H67)</f>
        <v/>
      </c>
      <c r="AP67" s="63">
        <f>AO67-AN67</f>
        <v/>
      </c>
      <c r="AQ67" s="61">
        <f>SUMIFS([1]инфо!$H$15:$H$28,[1]инфо!$A$15:$A$28,F67)</f>
        <v/>
      </c>
      <c r="AR67" s="62">
        <f>IF(H66=0,0,AC67/H66)</f>
        <v/>
      </c>
      <c r="AS67" s="63">
        <f>AR67-AQ67</f>
        <v/>
      </c>
      <c r="AT67" s="61">
        <f>SUMIFS([1]инфо!$I$15:$I$28,[1]инфо!$A$15:$A$28,F67)</f>
        <v/>
      </c>
      <c r="AU67" s="62">
        <f>IF(H67=0,0,AD67/H67)</f>
        <v/>
      </c>
      <c r="AV67" s="63">
        <f>AU67-AT67</f>
        <v/>
      </c>
      <c r="AX67" s="59">
        <f>SUMIFS([1]инфо!$C$15:$C$28,[1]инфо!$A$15:$A$28,F67)*H66</f>
        <v/>
      </c>
    </row>
    <row r="68">
      <c r="A68" s="71">
        <f>A66+1</f>
        <v/>
      </c>
      <c r="B68" s="65" t="n"/>
      <c r="C68" s="52" t="n"/>
      <c r="D68" s="53" t="n"/>
      <c r="E68" s="66" t="n"/>
      <c r="F68" s="67" t="n"/>
      <c r="G68" s="68" t="n"/>
      <c r="H68" s="68" t="n"/>
      <c r="I68" s="57">
        <f>IFERROR(H68*VLOOKUP(F68,[1]инфо!$A$15:$C$28,3,FALSE)/1000,0)</f>
        <v/>
      </c>
      <c r="J68" s="68" t="n"/>
      <c r="K68" s="68" t="n"/>
      <c r="L68" s="68" t="n"/>
      <c r="M68" s="55" t="n"/>
      <c r="N68" s="55" t="n"/>
      <c r="O68" s="58" t="n"/>
      <c r="P68" s="58" t="n"/>
      <c r="Q68" s="58" t="n"/>
      <c r="R68" s="58" t="n"/>
      <c r="S68" s="59">
        <f>SUM(O68:R68)</f>
        <v/>
      </c>
      <c r="T68" s="52" t="n"/>
      <c r="U68" s="53" t="n"/>
      <c r="V68" s="58" t="n"/>
      <c r="W68" s="58" t="n"/>
      <c r="X68" s="58" t="n"/>
      <c r="Y68" s="52" t="n"/>
      <c r="Z68" s="58" t="n"/>
      <c r="AA68" s="58" t="n"/>
      <c r="AB68" s="58" t="n"/>
      <c r="AC68" s="58" t="n"/>
      <c r="AD68" s="53" t="n"/>
      <c r="AE68" s="61">
        <f>SUMIFS([1]инфо!$D$15:$D$28,[1]инфо!$A$15:$A$28,F68)</f>
        <v/>
      </c>
      <c r="AF68" s="62">
        <f>IF(H68=0,0,N68/H68)</f>
        <v/>
      </c>
      <c r="AG68" s="63">
        <f>AF68-AE68</f>
        <v/>
      </c>
      <c r="AH68" s="61">
        <f>SUMIFS([1]инфо!$E$15:$E$28,[1]инфо!$A$15:$A$28,F68)</f>
        <v/>
      </c>
      <c r="AI68" s="64">
        <f>IF(H68=0,0,S68/H68)</f>
        <v/>
      </c>
      <c r="AJ68" s="63">
        <f>AI68-AH68</f>
        <v/>
      </c>
      <c r="AK68" s="61">
        <f>SUMIFS([1]инфо!$F$15:$F$28,[1]инфо!$A$15:$A$28,F68)</f>
        <v/>
      </c>
      <c r="AL68" s="64">
        <f>IF(H68=0,0,Y68/H68)</f>
        <v/>
      </c>
      <c r="AM68" s="63">
        <f>AL68-AK68</f>
        <v/>
      </c>
      <c r="AN68" s="61">
        <f>SUMIFS([1]инфо!$G$15:$G$28,[1]инфо!$A$15:$A$28,F68)</f>
        <v/>
      </c>
      <c r="AO68" s="64">
        <f>IF(H68=0,0,AA68/H68)</f>
        <v/>
      </c>
      <c r="AP68" s="63">
        <f>AO68-AN68</f>
        <v/>
      </c>
      <c r="AQ68" s="61">
        <f>SUMIFS([1]инфо!$H$15:$H$28,[1]инфо!$A$15:$A$28,F68)</f>
        <v/>
      </c>
      <c r="AR68" s="62">
        <f>IF(H67=0,0,AC68/H67)</f>
        <v/>
      </c>
      <c r="AS68" s="63">
        <f>AR68-AQ68</f>
        <v/>
      </c>
      <c r="AT68" s="61">
        <f>SUMIFS([1]инфо!$I$15:$I$28,[1]инфо!$A$15:$A$28,F68)</f>
        <v/>
      </c>
      <c r="AU68" s="62">
        <f>IF(H68=0,0,AD68/H68)</f>
        <v/>
      </c>
      <c r="AV68" s="63">
        <f>AU68-AT68</f>
        <v/>
      </c>
      <c r="AX68" s="59">
        <f>SUMIFS([1]инфо!$C$15:$C$28,[1]инфо!$A$15:$A$28,F68)*H67</f>
        <v/>
      </c>
    </row>
    <row r="69">
      <c r="A69" s="71">
        <f>A67+1</f>
        <v/>
      </c>
      <c r="B69" s="65" t="n"/>
      <c r="C69" s="77" t="n"/>
      <c r="D69" s="78" t="n"/>
      <c r="E69" s="66" t="n"/>
      <c r="F69" s="67" t="n"/>
      <c r="G69" s="68" t="n"/>
      <c r="H69" s="68" t="n"/>
      <c r="I69" s="57">
        <f>IFERROR(H69*VLOOKUP(F69,[1]инфо!$A$15:$C$28,3,FALSE)/1000,0)</f>
        <v/>
      </c>
      <c r="J69" s="68" t="n"/>
      <c r="K69" s="68" t="n"/>
      <c r="L69" s="68" t="n"/>
      <c r="M69" s="55" t="n"/>
      <c r="N69" s="56" t="n"/>
      <c r="O69" s="79" t="n"/>
      <c r="P69" s="79" t="n"/>
      <c r="Q69" s="79" t="n"/>
      <c r="R69" s="79" t="n"/>
      <c r="S69" s="80">
        <f>SUM(O69:R69)</f>
        <v/>
      </c>
      <c r="T69" s="77" t="n"/>
      <c r="U69" s="78" t="n"/>
      <c r="V69" s="79" t="n"/>
      <c r="W69" s="79" t="n"/>
      <c r="X69" s="79" t="n"/>
      <c r="Y69" s="77" t="n"/>
      <c r="Z69" s="79" t="n"/>
      <c r="AA69" s="79" t="n"/>
      <c r="AB69" s="79" t="n"/>
      <c r="AC69" s="79" t="n"/>
      <c r="AD69" s="78" t="n"/>
      <c r="AE69" s="81">
        <f>SUMIFS([1]инфо!$D$15:$D$28,[1]инфо!$A$15:$A$28,F69)</f>
        <v/>
      </c>
      <c r="AF69" s="62">
        <f>IF(H69=0,0,N69/H69)</f>
        <v/>
      </c>
      <c r="AG69" s="82">
        <f>AF69-AE69</f>
        <v/>
      </c>
      <c r="AH69" s="81">
        <f>SUMIFS([1]инфо!$E$15:$E$28,[1]инфо!$A$15:$A$28,F69)</f>
        <v/>
      </c>
      <c r="AI69" s="64">
        <f>IF(H69=0,0,S69/H69)</f>
        <v/>
      </c>
      <c r="AJ69" s="82">
        <f>AI69-AH69</f>
        <v/>
      </c>
      <c r="AK69" s="81">
        <f>SUMIFS([1]инфо!$F$15:$F$28,[1]инфо!$A$15:$A$28,F69)</f>
        <v/>
      </c>
      <c r="AL69" s="64">
        <f>IF(H69=0,0,Y69/H69)</f>
        <v/>
      </c>
      <c r="AM69" s="82">
        <f>AL69-AK69</f>
        <v/>
      </c>
      <c r="AN69" s="81">
        <f>SUMIFS([1]инфо!$G$15:$G$28,[1]инфо!$A$15:$A$28,F69)</f>
        <v/>
      </c>
      <c r="AO69" s="64">
        <f>IF(H69=0,0,AA69/H69)</f>
        <v/>
      </c>
      <c r="AP69" s="82">
        <f>AO69-AN69</f>
        <v/>
      </c>
      <c r="AQ69" s="81">
        <f>SUMIFS([1]инфо!$H$15:$H$28,[1]инфо!$A$15:$A$28,F69)</f>
        <v/>
      </c>
      <c r="AR69" s="85">
        <f>IF(H68=0,0,AC69/H68)</f>
        <v/>
      </c>
      <c r="AS69" s="82">
        <f>AR69-AQ69</f>
        <v/>
      </c>
      <c r="AT69" s="81">
        <f>SUMIFS([1]инфо!$I$15:$I$28,[1]инфо!$A$15:$A$28,F69)</f>
        <v/>
      </c>
      <c r="AU69" s="62">
        <f>IF(H69=0,0,AD69/H69)</f>
        <v/>
      </c>
      <c r="AV69" s="82">
        <f>AU69-AT69</f>
        <v/>
      </c>
      <c r="AX69" s="80">
        <f>SUMIFS([1]инфо!$C$15:$C$28,[1]инфо!$A$15:$A$28,F69)*H68</f>
        <v/>
      </c>
    </row>
    <row r="70">
      <c r="A70" s="71">
        <f>A68+1</f>
        <v/>
      </c>
      <c r="B70" s="65" t="n"/>
      <c r="C70" s="72" t="n"/>
      <c r="D70" s="73" t="n"/>
      <c r="E70" s="66" t="n"/>
      <c r="F70" s="67" t="n"/>
      <c r="G70" s="68" t="n"/>
      <c r="H70" s="68" t="n"/>
      <c r="I70" s="57">
        <f>IFERROR(H70*VLOOKUP(F70,[1]инфо!$A$15:$C$28,3,FALSE)/1000,0)</f>
        <v/>
      </c>
      <c r="J70" s="68" t="n"/>
      <c r="K70" s="68" t="n"/>
      <c r="L70" s="68" t="n"/>
      <c r="M70" s="55" t="n"/>
      <c r="N70" s="67" t="n"/>
      <c r="O70" s="74" t="n"/>
      <c r="P70" s="74" t="n"/>
      <c r="Q70" s="74" t="n"/>
      <c r="R70" s="74" t="n"/>
      <c r="S70" s="70">
        <f>SUM(O70:R70)</f>
        <v/>
      </c>
      <c r="T70" s="72" t="n"/>
      <c r="U70" s="73" t="n"/>
      <c r="V70" s="74" t="n"/>
      <c r="W70" s="74" t="n"/>
      <c r="X70" s="74" t="n"/>
      <c r="Y70" s="72" t="n"/>
      <c r="Z70" s="74" t="n"/>
      <c r="AA70" s="74" t="n"/>
      <c r="AB70" s="74" t="n"/>
      <c r="AC70" s="74" t="n"/>
      <c r="AD70" s="73" t="n"/>
      <c r="AE70" s="75">
        <f>SUMIFS([1]инфо!$D$15:$D$28,[1]инфо!$A$15:$A$28,F70)</f>
        <v/>
      </c>
      <c r="AF70" s="62">
        <f>IF(H70=0,0,N70/H70)</f>
        <v/>
      </c>
      <c r="AG70" s="76">
        <f>AF70-AE70</f>
        <v/>
      </c>
      <c r="AH70" s="75">
        <f>SUMIFS([1]инфо!$E$15:$E$28,[1]инфо!$A$15:$A$28,F70)</f>
        <v/>
      </c>
      <c r="AI70" s="64">
        <f>IF(H70=0,0,S70/H70)</f>
        <v/>
      </c>
      <c r="AJ70" s="76">
        <f>AI70-AH70</f>
        <v/>
      </c>
      <c r="AK70" s="75">
        <f>SUMIFS([1]инфо!$F$15:$F$28,[1]инфо!$A$15:$A$28,F70)</f>
        <v/>
      </c>
      <c r="AL70" s="64">
        <f>IF(H70=0,0,Y70/H70)</f>
        <v/>
      </c>
      <c r="AM70" s="76">
        <f>AL70-AK70</f>
        <v/>
      </c>
      <c r="AN70" s="75">
        <f>SUMIFS([1]инфо!$G$15:$G$28,[1]инфо!$A$15:$A$28,F70)</f>
        <v/>
      </c>
      <c r="AO70" s="64">
        <f>IF(H70=0,0,AA70/H70)</f>
        <v/>
      </c>
      <c r="AP70" s="76">
        <f>AO70-AN70</f>
        <v/>
      </c>
      <c r="AQ70" s="75">
        <f>SUMIFS([1]инфо!$H$15:$H$28,[1]инфо!$A$15:$A$28,F70)</f>
        <v/>
      </c>
      <c r="AR70" s="64">
        <f>IF(H69=0,0,AC70/H69)</f>
        <v/>
      </c>
      <c r="AS70" s="76">
        <f>AR70-AQ70</f>
        <v/>
      </c>
      <c r="AT70" s="75">
        <f>SUMIFS([1]инфо!$I$15:$I$28,[1]инфо!$A$15:$A$28,F70)</f>
        <v/>
      </c>
      <c r="AU70" s="62">
        <f>IF(H70=0,0,AD70/H70)</f>
        <v/>
      </c>
      <c r="AV70" s="76">
        <f>AU70-AT70</f>
        <v/>
      </c>
      <c r="AX70" s="70">
        <f>SUMIFS([1]инфо!$C$15:$C$28,[1]инфо!$A$15:$A$28,F70)*H69</f>
        <v/>
      </c>
    </row>
    <row r="71">
      <c r="A71" s="71">
        <f>A69+1</f>
        <v/>
      </c>
      <c r="B71" s="65" t="n"/>
      <c r="C71" s="52" t="n"/>
      <c r="D71" s="53" t="n"/>
      <c r="E71" s="66" t="n"/>
      <c r="F71" s="67" t="n"/>
      <c r="G71" s="68" t="n"/>
      <c r="H71" s="68" t="n"/>
      <c r="I71" s="57">
        <f>IFERROR(H71*VLOOKUP(F71,[1]инфо!$A$15:$C$28,3,FALSE)/1000,0)</f>
        <v/>
      </c>
      <c r="J71" s="68" t="n"/>
      <c r="K71" s="68" t="n"/>
      <c r="L71" s="68" t="n"/>
      <c r="M71" s="55" t="n"/>
      <c r="N71" s="55" t="n"/>
      <c r="O71" s="58" t="n"/>
      <c r="P71" s="58" t="n"/>
      <c r="Q71" s="58" t="n"/>
      <c r="R71" s="58" t="n"/>
      <c r="S71" s="59">
        <f>SUM(O71:R71)</f>
        <v/>
      </c>
      <c r="T71" s="52" t="n"/>
      <c r="U71" s="53" t="n"/>
      <c r="V71" s="58" t="n"/>
      <c r="W71" s="58" t="n"/>
      <c r="X71" s="58" t="n"/>
      <c r="Y71" s="52" t="n"/>
      <c r="Z71" s="58" t="n"/>
      <c r="AA71" s="58" t="n"/>
      <c r="AB71" s="58" t="n"/>
      <c r="AC71" s="58" t="n"/>
      <c r="AD71" s="53" t="n"/>
      <c r="AE71" s="61">
        <f>SUMIFS([1]инфо!$D$15:$D$28,[1]инфо!$A$15:$A$28,F71)</f>
        <v/>
      </c>
      <c r="AF71" s="62">
        <f>IF(H71=0,0,N71/H71)</f>
        <v/>
      </c>
      <c r="AG71" s="63">
        <f>AF71-AE71</f>
        <v/>
      </c>
      <c r="AH71" s="61">
        <f>SUMIFS([1]инфо!$E$15:$E$28,[1]инфо!$A$15:$A$28,F71)</f>
        <v/>
      </c>
      <c r="AI71" s="64">
        <f>IF(H71=0,0,S71/H71)</f>
        <v/>
      </c>
      <c r="AJ71" s="63">
        <f>AI71-AH71</f>
        <v/>
      </c>
      <c r="AK71" s="61">
        <f>SUMIFS([1]инфо!$F$15:$F$28,[1]инфо!$A$15:$A$28,F71)</f>
        <v/>
      </c>
      <c r="AL71" s="64">
        <f>IF(H71=0,0,Y71/H71)</f>
        <v/>
      </c>
      <c r="AM71" s="63">
        <f>AL71-AK71</f>
        <v/>
      </c>
      <c r="AN71" s="61">
        <f>SUMIFS([1]инфо!$G$15:$G$28,[1]инфо!$A$15:$A$28,F71)</f>
        <v/>
      </c>
      <c r="AO71" s="64">
        <f>IF(H71=0,0,AA71/H71)</f>
        <v/>
      </c>
      <c r="AP71" s="63">
        <f>AO71-AN71</f>
        <v/>
      </c>
      <c r="AQ71" s="61">
        <f>SUMIFS([1]инфо!$H$15:$H$28,[1]инфо!$A$15:$A$28,F71)</f>
        <v/>
      </c>
      <c r="AR71" s="62">
        <f>IF(H70=0,0,AC71/H70)</f>
        <v/>
      </c>
      <c r="AS71" s="63">
        <f>AR71-AQ71</f>
        <v/>
      </c>
      <c r="AT71" s="61">
        <f>SUMIFS([1]инфо!$I$15:$I$28,[1]инфо!$A$15:$A$28,F71)</f>
        <v/>
      </c>
      <c r="AU71" s="62">
        <f>IF(H71=0,0,AD71/H71)</f>
        <v/>
      </c>
      <c r="AV71" s="63">
        <f>AU71-AT71</f>
        <v/>
      </c>
      <c r="AX71" s="59">
        <f>SUMIFS([1]инфо!$C$15:$C$28,[1]инфо!$A$15:$A$28,F71)*H70</f>
        <v/>
      </c>
    </row>
    <row r="72">
      <c r="A72" s="71">
        <f>A70+1</f>
        <v/>
      </c>
      <c r="B72" s="65" t="n"/>
      <c r="C72" s="52" t="n"/>
      <c r="D72" s="53" t="n"/>
      <c r="E72" s="66" t="n"/>
      <c r="F72" s="67" t="n"/>
      <c r="G72" s="68" t="n"/>
      <c r="H72" s="68" t="n"/>
      <c r="I72" s="57">
        <f>IFERROR(H72*VLOOKUP(F72,[1]инфо!$A$15:$C$28,3,FALSE)/1000,0)</f>
        <v/>
      </c>
      <c r="J72" s="68" t="n"/>
      <c r="K72" s="68" t="n"/>
      <c r="L72" s="68" t="n"/>
      <c r="M72" s="55" t="n"/>
      <c r="N72" s="55" t="n"/>
      <c r="O72" s="58" t="n"/>
      <c r="P72" s="58" t="n"/>
      <c r="Q72" s="58" t="n"/>
      <c r="R72" s="58" t="n"/>
      <c r="S72" s="59">
        <f>SUM(O72:R72)</f>
        <v/>
      </c>
      <c r="T72" s="52" t="n"/>
      <c r="U72" s="53" t="n"/>
      <c r="V72" s="58" t="n"/>
      <c r="W72" s="58" t="n"/>
      <c r="X72" s="58" t="n"/>
      <c r="Y72" s="52" t="n"/>
      <c r="Z72" s="58" t="n"/>
      <c r="AA72" s="58" t="n"/>
      <c r="AB72" s="58" t="n"/>
      <c r="AC72" s="58" t="n"/>
      <c r="AD72" s="53" t="n"/>
      <c r="AE72" s="61">
        <f>SUMIFS([1]инфо!$D$15:$D$28,[1]инфо!$A$15:$A$28,F72)</f>
        <v/>
      </c>
      <c r="AF72" s="62">
        <f>IF(H72=0,0,N72/H72)</f>
        <v/>
      </c>
      <c r="AG72" s="63">
        <f>AF72-AE72</f>
        <v/>
      </c>
      <c r="AH72" s="61">
        <f>SUMIFS([1]инфо!$E$15:$E$28,[1]инфо!$A$15:$A$28,F72)</f>
        <v/>
      </c>
      <c r="AI72" s="64">
        <f>IF(H72=0,0,S72/H72)</f>
        <v/>
      </c>
      <c r="AJ72" s="63">
        <f>AI72-AH72</f>
        <v/>
      </c>
      <c r="AK72" s="61">
        <f>SUMIFS([1]инфо!$F$15:$F$28,[1]инфо!$A$15:$A$28,F72)</f>
        <v/>
      </c>
      <c r="AL72" s="64">
        <f>IF(H72=0,0,Y72/H72)</f>
        <v/>
      </c>
      <c r="AM72" s="63">
        <f>AL72-AK72</f>
        <v/>
      </c>
      <c r="AN72" s="61">
        <f>SUMIFS([1]инфо!$G$15:$G$28,[1]инфо!$A$15:$A$28,F72)</f>
        <v/>
      </c>
      <c r="AO72" s="64">
        <f>IF(H72=0,0,AA72/H72)</f>
        <v/>
      </c>
      <c r="AP72" s="63">
        <f>AO72-AN72</f>
        <v/>
      </c>
      <c r="AQ72" s="61">
        <f>SUMIFS([1]инфо!$H$15:$H$28,[1]инфо!$A$15:$A$28,F72)</f>
        <v/>
      </c>
      <c r="AR72" s="62">
        <f>IF(H71=0,0,AC72/H71)</f>
        <v/>
      </c>
      <c r="AS72" s="63">
        <f>AR72-AQ72</f>
        <v/>
      </c>
      <c r="AT72" s="61">
        <f>SUMIFS([1]инфо!$I$15:$I$28,[1]инфо!$A$15:$A$28,F72)</f>
        <v/>
      </c>
      <c r="AU72" s="62">
        <f>IF(H72=0,0,AD72/H72)</f>
        <v/>
      </c>
      <c r="AV72" s="63">
        <f>AU72-AT72</f>
        <v/>
      </c>
      <c r="AX72" s="59">
        <f>SUMIFS([1]инфо!$C$15:$C$28,[1]инфо!$A$15:$A$28,F72)*H71</f>
        <v/>
      </c>
    </row>
    <row r="73">
      <c r="A73" s="71">
        <f>A71+1</f>
        <v/>
      </c>
      <c r="B73" s="65" t="n"/>
      <c r="C73" s="77" t="n"/>
      <c r="D73" s="78" t="n"/>
      <c r="E73" s="66" t="n"/>
      <c r="F73" s="67" t="n"/>
      <c r="G73" s="68" t="n"/>
      <c r="H73" s="68" t="n"/>
      <c r="I73" s="57">
        <f>IFERROR(H73*VLOOKUP(F73,[1]инфо!$A$15:$C$28,3,FALSE)/1000,0)</f>
        <v/>
      </c>
      <c r="J73" s="68" t="n"/>
      <c r="K73" s="68" t="n"/>
      <c r="L73" s="68" t="n"/>
      <c r="M73" s="55" t="n"/>
      <c r="N73" s="56" t="n"/>
      <c r="O73" s="79" t="n"/>
      <c r="P73" s="79" t="n"/>
      <c r="Q73" s="79" t="n"/>
      <c r="R73" s="79" t="n"/>
      <c r="S73" s="80">
        <f>SUM(O73:R73)</f>
        <v/>
      </c>
      <c r="T73" s="77" t="n"/>
      <c r="U73" s="78" t="n"/>
      <c r="V73" s="79" t="n"/>
      <c r="W73" s="79" t="n"/>
      <c r="X73" s="79" t="n"/>
      <c r="Y73" s="77" t="n"/>
      <c r="Z73" s="79" t="n"/>
      <c r="AA73" s="79" t="n"/>
      <c r="AB73" s="79" t="n"/>
      <c r="AC73" s="79" t="n"/>
      <c r="AD73" s="78" t="n"/>
      <c r="AE73" s="81">
        <f>SUMIFS([1]инфо!$D$15:$D$28,[1]инфо!$A$15:$A$28,F73)</f>
        <v/>
      </c>
      <c r="AF73" s="62">
        <f>IF(H73=0,0,N73/H73)</f>
        <v/>
      </c>
      <c r="AG73" s="82">
        <f>AF73-AE73</f>
        <v/>
      </c>
      <c r="AH73" s="81">
        <f>SUMIFS([1]инфо!$E$15:$E$28,[1]инфо!$A$15:$A$28,F73)</f>
        <v/>
      </c>
      <c r="AI73" s="64">
        <f>IF(H73=0,0,S73/H73)</f>
        <v/>
      </c>
      <c r="AJ73" s="82">
        <f>AI73-AH73</f>
        <v/>
      </c>
      <c r="AK73" s="81">
        <f>SUMIFS([1]инфо!$F$15:$F$28,[1]инфо!$A$15:$A$28,F73)</f>
        <v/>
      </c>
      <c r="AL73" s="64">
        <f>IF(H73=0,0,Y73/H73)</f>
        <v/>
      </c>
      <c r="AM73" s="82">
        <f>AL73-AK73</f>
        <v/>
      </c>
      <c r="AN73" s="81">
        <f>SUMIFS([1]инфо!$G$15:$G$28,[1]инфо!$A$15:$A$28,F73)</f>
        <v/>
      </c>
      <c r="AO73" s="64">
        <f>IF(H73=0,0,AA73/H73)</f>
        <v/>
      </c>
      <c r="AP73" s="82">
        <f>AO73-AN73</f>
        <v/>
      </c>
      <c r="AQ73" s="81">
        <f>SUMIFS([1]инфо!$H$15:$H$28,[1]инфо!$A$15:$A$28,F73)</f>
        <v/>
      </c>
      <c r="AR73" s="85">
        <f>IF(H72=0,0,AC73/H72)</f>
        <v/>
      </c>
      <c r="AS73" s="82">
        <f>AR73-AQ73</f>
        <v/>
      </c>
      <c r="AT73" s="81">
        <f>SUMIFS([1]инфо!$I$15:$I$28,[1]инфо!$A$15:$A$28,F73)</f>
        <v/>
      </c>
      <c r="AU73" s="62">
        <f>IF(H73=0,0,AD73/H73)</f>
        <v/>
      </c>
      <c r="AV73" s="82">
        <f>AU73-AT73</f>
        <v/>
      </c>
      <c r="AX73" s="80">
        <f>SUMIFS([1]инфо!$C$15:$C$28,[1]инфо!$A$15:$A$28,F73)*H72</f>
        <v/>
      </c>
    </row>
    <row r="74">
      <c r="A74" s="71">
        <f>A72+1</f>
        <v/>
      </c>
      <c r="B74" s="65" t="n"/>
      <c r="C74" s="72" t="n"/>
      <c r="D74" s="73" t="n"/>
      <c r="E74" s="66" t="n"/>
      <c r="F74" s="67" t="n"/>
      <c r="G74" s="68" t="n"/>
      <c r="H74" s="68" t="n"/>
      <c r="I74" s="57">
        <f>IFERROR(H74*VLOOKUP(F74,[1]инфо!$A$15:$C$28,3,FALSE)/1000,0)</f>
        <v/>
      </c>
      <c r="J74" s="68" t="n"/>
      <c r="K74" s="68" t="n"/>
      <c r="L74" s="68" t="n"/>
      <c r="M74" s="55" t="n"/>
      <c r="N74" s="67" t="n"/>
      <c r="O74" s="74" t="n"/>
      <c r="P74" s="74" t="n"/>
      <c r="Q74" s="74" t="n"/>
      <c r="R74" s="74" t="n"/>
      <c r="S74" s="70">
        <f>SUM(O74:R74)</f>
        <v/>
      </c>
      <c r="T74" s="72" t="n"/>
      <c r="U74" s="73" t="n"/>
      <c r="V74" s="74" t="n"/>
      <c r="W74" s="74" t="n"/>
      <c r="X74" s="74" t="n"/>
      <c r="Y74" s="72" t="n"/>
      <c r="Z74" s="74" t="n"/>
      <c r="AA74" s="74" t="n"/>
      <c r="AB74" s="74" t="n"/>
      <c r="AC74" s="74" t="n"/>
      <c r="AD74" s="73" t="n"/>
      <c r="AE74" s="75">
        <f>SUMIFS([1]инфо!$D$15:$D$28,[1]инфо!$A$15:$A$28,F74)</f>
        <v/>
      </c>
      <c r="AF74" s="62">
        <f>IF(H74=0,0,N74/H74)</f>
        <v/>
      </c>
      <c r="AG74" s="76">
        <f>AF74-AE74</f>
        <v/>
      </c>
      <c r="AH74" s="75">
        <f>SUMIFS([1]инфо!$E$15:$E$28,[1]инфо!$A$15:$A$28,F74)</f>
        <v/>
      </c>
      <c r="AI74" s="64">
        <f>IF(H74=0,0,S74/H74)</f>
        <v/>
      </c>
      <c r="AJ74" s="76">
        <f>AI74-AH74</f>
        <v/>
      </c>
      <c r="AK74" s="75">
        <f>SUMIFS([1]инфо!$F$15:$F$28,[1]инфо!$A$15:$A$28,F74)</f>
        <v/>
      </c>
      <c r="AL74" s="64">
        <f>IF(H74=0,0,Y74/H74)</f>
        <v/>
      </c>
      <c r="AM74" s="76">
        <f>AL74-AK74</f>
        <v/>
      </c>
      <c r="AN74" s="75">
        <f>SUMIFS([1]инфо!$G$15:$G$28,[1]инфо!$A$15:$A$28,F74)</f>
        <v/>
      </c>
      <c r="AO74" s="64">
        <f>IF(H74=0,0,AA74/H74)</f>
        <v/>
      </c>
      <c r="AP74" s="76">
        <f>AO74-AN74</f>
        <v/>
      </c>
      <c r="AQ74" s="75">
        <f>SUMIFS([1]инфо!$H$15:$H$28,[1]инфо!$A$15:$A$28,F74)</f>
        <v/>
      </c>
      <c r="AR74" s="64">
        <f>IF(H73=0,0,AC74/H73)</f>
        <v/>
      </c>
      <c r="AS74" s="76">
        <f>AR74-AQ74</f>
        <v/>
      </c>
      <c r="AT74" s="75">
        <f>SUMIFS([1]инфо!$I$15:$I$28,[1]инфо!$A$15:$A$28,F74)</f>
        <v/>
      </c>
      <c r="AU74" s="62">
        <f>IF(H74=0,0,AD74/H74)</f>
        <v/>
      </c>
      <c r="AV74" s="76">
        <f>AU74-AT74</f>
        <v/>
      </c>
      <c r="AX74" s="70">
        <f>SUMIFS([1]инфо!$C$15:$C$28,[1]инфо!$A$15:$A$28,F74)*H73</f>
        <v/>
      </c>
    </row>
    <row r="75">
      <c r="A75" s="71">
        <f>A73+1</f>
        <v/>
      </c>
      <c r="B75" s="65" t="n"/>
      <c r="C75" s="52" t="n"/>
      <c r="D75" s="53" t="n"/>
      <c r="E75" s="66" t="n"/>
      <c r="F75" s="67" t="n"/>
      <c r="G75" s="68" t="n"/>
      <c r="H75" s="68" t="n"/>
      <c r="I75" s="57">
        <f>IFERROR(H75*VLOOKUP(F75,[1]инфо!$A$15:$C$28,3,FALSE)/1000,0)</f>
        <v/>
      </c>
      <c r="J75" s="68" t="n"/>
      <c r="K75" s="68" t="n"/>
      <c r="L75" s="68" t="n"/>
      <c r="M75" s="55" t="n"/>
      <c r="N75" s="55" t="n"/>
      <c r="O75" s="58" t="n"/>
      <c r="P75" s="58" t="n"/>
      <c r="Q75" s="58" t="n"/>
      <c r="R75" s="58" t="n"/>
      <c r="S75" s="59">
        <f>SUM(O75:R75)</f>
        <v/>
      </c>
      <c r="T75" s="52" t="n"/>
      <c r="U75" s="53" t="n"/>
      <c r="V75" s="58" t="n"/>
      <c r="W75" s="58" t="n"/>
      <c r="X75" s="58" t="n"/>
      <c r="Y75" s="52" t="n"/>
      <c r="Z75" s="58" t="n"/>
      <c r="AA75" s="58" t="n"/>
      <c r="AB75" s="58" t="n"/>
      <c r="AC75" s="58" t="n"/>
      <c r="AD75" s="53" t="n"/>
      <c r="AE75" s="61">
        <f>SUMIFS([1]инфо!$D$15:$D$28,[1]инфо!$A$15:$A$28,F75)</f>
        <v/>
      </c>
      <c r="AF75" s="62">
        <f>IF(H75=0,0,N75/H75)</f>
        <v/>
      </c>
      <c r="AG75" s="63">
        <f>AF75-AE75</f>
        <v/>
      </c>
      <c r="AH75" s="61">
        <f>SUMIFS([1]инфо!$E$15:$E$28,[1]инфо!$A$15:$A$28,F75)</f>
        <v/>
      </c>
      <c r="AI75" s="64">
        <f>IF(H75=0,0,S75/H75)</f>
        <v/>
      </c>
      <c r="AJ75" s="63">
        <f>AI75-AH75</f>
        <v/>
      </c>
      <c r="AK75" s="61">
        <f>SUMIFS([1]инфо!$F$15:$F$28,[1]инфо!$A$15:$A$28,F75)</f>
        <v/>
      </c>
      <c r="AL75" s="64">
        <f>IF(H75=0,0,Y75/H75)</f>
        <v/>
      </c>
      <c r="AM75" s="63">
        <f>AL75-AK75</f>
        <v/>
      </c>
      <c r="AN75" s="61">
        <f>SUMIFS([1]инфо!$G$15:$G$28,[1]инфо!$A$15:$A$28,F75)</f>
        <v/>
      </c>
      <c r="AO75" s="64">
        <f>IF(H75=0,0,AA75/H75)</f>
        <v/>
      </c>
      <c r="AP75" s="63">
        <f>AO75-AN75</f>
        <v/>
      </c>
      <c r="AQ75" s="61">
        <f>SUMIFS([1]инфо!$H$15:$H$28,[1]инфо!$A$15:$A$28,F75)</f>
        <v/>
      </c>
      <c r="AR75" s="62">
        <f>IF(H74=0,0,AC75/H74)</f>
        <v/>
      </c>
      <c r="AS75" s="63">
        <f>AR75-AQ75</f>
        <v/>
      </c>
      <c r="AT75" s="61">
        <f>SUMIFS([1]инфо!$I$15:$I$28,[1]инфо!$A$15:$A$28,F75)</f>
        <v/>
      </c>
      <c r="AU75" s="62">
        <f>IF(H75=0,0,AD75/H75)</f>
        <v/>
      </c>
      <c r="AV75" s="63">
        <f>AU75-AT75</f>
        <v/>
      </c>
      <c r="AX75" s="59">
        <f>SUMIFS([1]инфо!$C$15:$C$28,[1]инфо!$A$15:$A$28,F75)*H74</f>
        <v/>
      </c>
    </row>
    <row r="76">
      <c r="A76" s="71">
        <f>A74+1</f>
        <v/>
      </c>
      <c r="B76" s="65" t="n"/>
      <c r="C76" s="52" t="n"/>
      <c r="D76" s="53" t="n"/>
      <c r="E76" s="66" t="n"/>
      <c r="F76" s="67" t="n"/>
      <c r="G76" s="68" t="n"/>
      <c r="H76" s="68" t="n"/>
      <c r="I76" s="57">
        <f>IFERROR(H76*VLOOKUP(F76,[1]инфо!$A$15:$C$28,3,FALSE)/1000,0)</f>
        <v/>
      </c>
      <c r="J76" s="68" t="n"/>
      <c r="K76" s="68" t="n"/>
      <c r="L76" s="68" t="n"/>
      <c r="M76" s="55" t="n"/>
      <c r="N76" s="55" t="n"/>
      <c r="O76" s="58" t="n"/>
      <c r="P76" s="58" t="n"/>
      <c r="Q76" s="58" t="n"/>
      <c r="R76" s="58" t="n"/>
      <c r="S76" s="59">
        <f>SUM(O76:R76)</f>
        <v/>
      </c>
      <c r="T76" s="52" t="n"/>
      <c r="U76" s="53" t="n"/>
      <c r="V76" s="58" t="n"/>
      <c r="W76" s="58" t="n"/>
      <c r="X76" s="58" t="n"/>
      <c r="Y76" s="52" t="n"/>
      <c r="Z76" s="58" t="n"/>
      <c r="AA76" s="58" t="n"/>
      <c r="AB76" s="58" t="n"/>
      <c r="AC76" s="58" t="n"/>
      <c r="AD76" s="53" t="n"/>
      <c r="AE76" s="61">
        <f>SUMIFS([1]инфо!$D$15:$D$28,[1]инфо!$A$15:$A$28,F76)</f>
        <v/>
      </c>
      <c r="AF76" s="62">
        <f>IF(H76=0,0,N76/H76)</f>
        <v/>
      </c>
      <c r="AG76" s="63">
        <f>AF76-AE76</f>
        <v/>
      </c>
      <c r="AH76" s="61">
        <f>SUMIFS([1]инфо!$E$15:$E$28,[1]инфо!$A$15:$A$28,F76)</f>
        <v/>
      </c>
      <c r="AI76" s="64">
        <f>IF(H76=0,0,S76/H76)</f>
        <v/>
      </c>
      <c r="AJ76" s="63">
        <f>AI76-AH76</f>
        <v/>
      </c>
      <c r="AK76" s="61">
        <f>SUMIFS([1]инфо!$F$15:$F$28,[1]инфо!$A$15:$A$28,F76)</f>
        <v/>
      </c>
      <c r="AL76" s="64">
        <f>IF(H76=0,0,Y76/H76)</f>
        <v/>
      </c>
      <c r="AM76" s="63">
        <f>AL76-AK76</f>
        <v/>
      </c>
      <c r="AN76" s="61">
        <f>SUMIFS([1]инфо!$G$15:$G$28,[1]инфо!$A$15:$A$28,F76)</f>
        <v/>
      </c>
      <c r="AO76" s="64">
        <f>IF(H76=0,0,AA76/H76)</f>
        <v/>
      </c>
      <c r="AP76" s="63">
        <f>AO76-AN76</f>
        <v/>
      </c>
      <c r="AQ76" s="61">
        <f>SUMIFS([1]инфо!$H$15:$H$28,[1]инфо!$A$15:$A$28,F76)</f>
        <v/>
      </c>
      <c r="AR76" s="62">
        <f>IF(H75=0,0,AC76/H75)</f>
        <v/>
      </c>
      <c r="AS76" s="63">
        <f>AR76-AQ76</f>
        <v/>
      </c>
      <c r="AT76" s="61">
        <f>SUMIFS([1]инфо!$I$15:$I$28,[1]инфо!$A$15:$A$28,F76)</f>
        <v/>
      </c>
      <c r="AU76" s="62">
        <f>IF(H76=0,0,AD76/H76)</f>
        <v/>
      </c>
      <c r="AV76" s="63">
        <f>AU76-AT76</f>
        <v/>
      </c>
      <c r="AX76" s="59">
        <f>SUMIFS([1]инфо!$C$15:$C$28,[1]инфо!$A$15:$A$28,F76)*H75</f>
        <v/>
      </c>
    </row>
    <row r="77">
      <c r="A77" s="71">
        <f>A75+1</f>
        <v/>
      </c>
      <c r="B77" s="65" t="n"/>
      <c r="C77" s="77" t="n"/>
      <c r="D77" s="78" t="n"/>
      <c r="E77" s="66" t="n"/>
      <c r="F77" s="67" t="n"/>
      <c r="G77" s="68" t="n"/>
      <c r="H77" s="68" t="n"/>
      <c r="I77" s="57">
        <f>IFERROR(H77*VLOOKUP(F77,[1]инфо!$A$15:$C$28,3,FALSE)/1000,0)</f>
        <v/>
      </c>
      <c r="J77" s="68" t="n"/>
      <c r="K77" s="68" t="n"/>
      <c r="L77" s="68" t="n"/>
      <c r="M77" s="55" t="n"/>
      <c r="N77" s="56" t="n"/>
      <c r="O77" s="79" t="n"/>
      <c r="P77" s="79" t="n"/>
      <c r="Q77" s="79" t="n"/>
      <c r="R77" s="79" t="n"/>
      <c r="S77" s="80">
        <f>SUM(O77:R77)</f>
        <v/>
      </c>
      <c r="T77" s="77" t="n"/>
      <c r="U77" s="78" t="n"/>
      <c r="V77" s="79" t="n"/>
      <c r="W77" s="79" t="n"/>
      <c r="X77" s="79" t="n"/>
      <c r="Y77" s="77" t="n"/>
      <c r="Z77" s="79" t="n"/>
      <c r="AA77" s="79" t="n"/>
      <c r="AB77" s="79" t="n"/>
      <c r="AC77" s="79" t="n"/>
      <c r="AD77" s="78" t="n"/>
      <c r="AE77" s="81">
        <f>SUMIFS([1]инфо!$D$15:$D$28,[1]инфо!$A$15:$A$28,F77)</f>
        <v/>
      </c>
      <c r="AF77" s="62">
        <f>IF(H77=0,0,N77/H77)</f>
        <v/>
      </c>
      <c r="AG77" s="82">
        <f>AF77-AE77</f>
        <v/>
      </c>
      <c r="AH77" s="81">
        <f>SUMIFS([1]инфо!$E$15:$E$28,[1]инфо!$A$15:$A$28,F77)</f>
        <v/>
      </c>
      <c r="AI77" s="64">
        <f>IF(H77=0,0,S77/H77)</f>
        <v/>
      </c>
      <c r="AJ77" s="82">
        <f>AI77-AH77</f>
        <v/>
      </c>
      <c r="AK77" s="81">
        <f>SUMIFS([1]инфо!$F$15:$F$28,[1]инфо!$A$15:$A$28,F77)</f>
        <v/>
      </c>
      <c r="AL77" s="64">
        <f>IF(H77=0,0,Y77/H77)</f>
        <v/>
      </c>
      <c r="AM77" s="82">
        <f>AL77-AK77</f>
        <v/>
      </c>
      <c r="AN77" s="81">
        <f>SUMIFS([1]инфо!$G$15:$G$28,[1]инфо!$A$15:$A$28,F77)</f>
        <v/>
      </c>
      <c r="AO77" s="64">
        <f>IF(H77=0,0,AA77/H77)</f>
        <v/>
      </c>
      <c r="AP77" s="82">
        <f>AO77-AN77</f>
        <v/>
      </c>
      <c r="AQ77" s="81">
        <f>SUMIFS([1]инфо!$H$15:$H$28,[1]инфо!$A$15:$A$28,F77)</f>
        <v/>
      </c>
      <c r="AR77" s="85">
        <f>IF(H76=0,0,AC77/H76)</f>
        <v/>
      </c>
      <c r="AS77" s="82">
        <f>AR77-AQ77</f>
        <v/>
      </c>
      <c r="AT77" s="81">
        <f>SUMIFS([1]инфо!$I$15:$I$28,[1]инфо!$A$15:$A$28,F77)</f>
        <v/>
      </c>
      <c r="AU77" s="62">
        <f>IF(H77=0,0,AD77/H77)</f>
        <v/>
      </c>
      <c r="AV77" s="82">
        <f>AU77-AT77</f>
        <v/>
      </c>
      <c r="AX77" s="80">
        <f>SUMIFS([1]инфо!$C$15:$C$28,[1]инфо!$A$15:$A$28,F77)*H76</f>
        <v/>
      </c>
    </row>
    <row r="78">
      <c r="A78" s="71">
        <f>A76+1</f>
        <v/>
      </c>
      <c r="B78" s="65" t="n"/>
      <c r="C78" s="72" t="n"/>
      <c r="D78" s="73" t="n"/>
      <c r="E78" s="66" t="n"/>
      <c r="F78" s="67" t="n"/>
      <c r="G78" s="68" t="n"/>
      <c r="H78" s="68" t="n"/>
      <c r="I78" s="57">
        <f>IFERROR(H78*VLOOKUP(F78,[1]инфо!$A$15:$C$28,3,FALSE)/1000,0)</f>
        <v/>
      </c>
      <c r="J78" s="68" t="n"/>
      <c r="K78" s="68" t="n"/>
      <c r="L78" s="68" t="n"/>
      <c r="M78" s="55" t="n"/>
      <c r="N78" s="67" t="n"/>
      <c r="O78" s="74" t="n"/>
      <c r="P78" s="74" t="n"/>
      <c r="Q78" s="74" t="n"/>
      <c r="R78" s="74" t="n"/>
      <c r="S78" s="70">
        <f>SUM(O78:R78)</f>
        <v/>
      </c>
      <c r="T78" s="72" t="n"/>
      <c r="U78" s="73" t="n"/>
      <c r="V78" s="74" t="n"/>
      <c r="W78" s="74" t="n"/>
      <c r="X78" s="74" t="n"/>
      <c r="Y78" s="72" t="n"/>
      <c r="Z78" s="74" t="n"/>
      <c r="AA78" s="74" t="n"/>
      <c r="AB78" s="74" t="n"/>
      <c r="AC78" s="74" t="n"/>
      <c r="AD78" s="73" t="n"/>
      <c r="AE78" s="75">
        <f>SUMIFS([1]инфо!$D$15:$D$28,[1]инфо!$A$15:$A$28,F78)</f>
        <v/>
      </c>
      <c r="AF78" s="62">
        <f>IF(H78=0,0,N78/H78)</f>
        <v/>
      </c>
      <c r="AG78" s="76">
        <f>AF78-AE78</f>
        <v/>
      </c>
      <c r="AH78" s="75">
        <f>SUMIFS([1]инфо!$E$15:$E$28,[1]инфо!$A$15:$A$28,F78)</f>
        <v/>
      </c>
      <c r="AI78" s="64">
        <f>IF(H78=0,0,S78/H78)</f>
        <v/>
      </c>
      <c r="AJ78" s="76">
        <f>AI78-AH78</f>
        <v/>
      </c>
      <c r="AK78" s="75">
        <f>SUMIFS([1]инфо!$F$15:$F$28,[1]инфо!$A$15:$A$28,F78)</f>
        <v/>
      </c>
      <c r="AL78" s="64">
        <f>IF(H78=0,0,Y78/H78)</f>
        <v/>
      </c>
      <c r="AM78" s="76">
        <f>AL78-AK78</f>
        <v/>
      </c>
      <c r="AN78" s="75">
        <f>SUMIFS([1]инфо!$G$15:$G$28,[1]инфо!$A$15:$A$28,F78)</f>
        <v/>
      </c>
      <c r="AO78" s="64">
        <f>IF(H78=0,0,AA78/H78)</f>
        <v/>
      </c>
      <c r="AP78" s="76">
        <f>AO78-AN78</f>
        <v/>
      </c>
      <c r="AQ78" s="75">
        <f>SUMIFS([1]инфо!$H$15:$H$28,[1]инфо!$A$15:$A$28,F78)</f>
        <v/>
      </c>
      <c r="AR78" s="64">
        <f>IF(H77=0,0,AC78/H77)</f>
        <v/>
      </c>
      <c r="AS78" s="76">
        <f>AR78-AQ78</f>
        <v/>
      </c>
      <c r="AT78" s="75">
        <f>SUMIFS([1]инфо!$I$15:$I$28,[1]инфо!$A$15:$A$28,F78)</f>
        <v/>
      </c>
      <c r="AU78" s="62">
        <f>IF(H78=0,0,AD78/H78)</f>
        <v/>
      </c>
      <c r="AV78" s="76">
        <f>AU78-AT78</f>
        <v/>
      </c>
      <c r="AX78" s="70">
        <f>SUMIFS([1]инфо!$C$15:$C$28,[1]инфо!$A$15:$A$28,F78)*H77</f>
        <v/>
      </c>
    </row>
    <row r="79">
      <c r="A79" s="71">
        <f>A77+1</f>
        <v/>
      </c>
      <c r="B79" s="65" t="inlineStr">
        <is>
          <t>0051</t>
        </is>
      </c>
      <c r="C79" s="52" t="inlineStr">
        <is>
          <t>линия 2</t>
        </is>
      </c>
      <c r="D79" s="53" t="inlineStr">
        <is>
          <t>день</t>
        </is>
      </c>
      <c r="E79" s="66" t="inlineStr">
        <is>
          <t>Дауылбай</t>
        </is>
      </c>
      <c r="F79" s="67" t="inlineStr">
        <is>
          <t>8 волн рифленый</t>
        </is>
      </c>
      <c r="G79" s="68" t="n">
        <v>48</v>
      </c>
      <c r="H79" s="68" t="n">
        <v>1910</v>
      </c>
      <c r="I79" s="57">
        <f>IFERROR(H79*VLOOKUP(F79,[1]инфо!$A$15:$C$28,3,FALSE)/1000,0)</f>
        <v/>
      </c>
      <c r="J79" s="68" t="n">
        <v>750</v>
      </c>
      <c r="K79" s="68" t="n">
        <v>25</v>
      </c>
      <c r="L79" s="68" t="n">
        <v>3</v>
      </c>
      <c r="M79" s="55" t="n"/>
      <c r="N79" s="55" t="n">
        <v>4869</v>
      </c>
      <c r="O79" s="58" t="n"/>
      <c r="P79" s="58" t="n"/>
      <c r="Q79" s="58" t="n">
        <v>15981</v>
      </c>
      <c r="R79" s="58" t="n">
        <v>14725</v>
      </c>
      <c r="S79" s="59">
        <f>SUM(O79:R79)</f>
        <v/>
      </c>
      <c r="T79" s="52" t="n"/>
      <c r="U79" s="53" t="n"/>
      <c r="V79" s="58" t="n"/>
      <c r="W79" s="58" t="n"/>
      <c r="X79" s="58" t="n"/>
      <c r="Y79" s="52" t="n">
        <v>209</v>
      </c>
      <c r="Z79" s="58" t="n"/>
      <c r="AA79" s="58" t="n"/>
      <c r="AB79" s="58" t="n"/>
      <c r="AC79" s="69" t="n">
        <v>140</v>
      </c>
      <c r="AD79" s="53" t="n"/>
      <c r="AE79" s="61">
        <f>SUMIFS([1]инфо!$D$15:$D$28,[1]инфо!$A$15:$A$28,F79)</f>
        <v/>
      </c>
      <c r="AF79" s="62">
        <f>IF(H79=0,0,N79/H79)</f>
        <v/>
      </c>
      <c r="AG79" s="63">
        <f>AF79-AE79</f>
        <v/>
      </c>
      <c r="AH79" s="61">
        <f>SUMIFS([1]инфо!$E$15:$E$28,[1]инфо!$A$15:$A$28,F79)</f>
        <v/>
      </c>
      <c r="AI79" s="64">
        <f>IF(H79=0,0,S79/H79)</f>
        <v/>
      </c>
      <c r="AJ79" s="63">
        <f>AI79-AH79</f>
        <v/>
      </c>
      <c r="AK79" s="61">
        <f>SUMIFS([1]инфо!$F$15:$F$28,[1]инфо!$A$15:$A$28,F79)</f>
        <v/>
      </c>
      <c r="AL79" s="64">
        <f>IF(H79=0,0,Y79/H79)</f>
        <v/>
      </c>
      <c r="AM79" s="63">
        <f>AL79-AK79</f>
        <v/>
      </c>
      <c r="AN79" s="61">
        <f>SUMIFS([1]инфо!$G$15:$G$28,[1]инфо!$A$15:$A$28,F79)</f>
        <v/>
      </c>
      <c r="AO79" s="64">
        <f>IF(H79=0,0,AA79/H79)</f>
        <v/>
      </c>
      <c r="AP79" s="63">
        <f>AO79-AN79</f>
        <v/>
      </c>
      <c r="AQ79" s="61">
        <f>SUMIFS([1]инфо!$H$15:$H$28,[1]инфо!$A$15:$A$28,F79)</f>
        <v/>
      </c>
      <c r="AR79" s="62">
        <f>IF(H78=0,0,AC79/H78)</f>
        <v/>
      </c>
      <c r="AS79" s="63">
        <f>AR79-AQ79</f>
        <v/>
      </c>
      <c r="AT79" s="61">
        <f>SUMIFS([1]инфо!$I$15:$I$28,[1]инфо!$A$15:$A$28,F79)</f>
        <v/>
      </c>
      <c r="AU79" s="62">
        <f>IF(H79=0,0,AD79/H79)</f>
        <v/>
      </c>
      <c r="AV79" s="63">
        <f>AU79-AT79</f>
        <v/>
      </c>
      <c r="AX79" s="59">
        <f>SUMIFS([1]инфо!$C$15:$C$28,[1]инфо!$A$15:$A$28,F79)*H78</f>
        <v/>
      </c>
    </row>
    <row r="80">
      <c r="A80" s="71">
        <f>A78+1</f>
        <v/>
      </c>
      <c r="B80" s="65" t="inlineStr">
        <is>
          <t>0052</t>
        </is>
      </c>
      <c r="C80" s="52" t="inlineStr">
        <is>
          <t>линия 2</t>
        </is>
      </c>
      <c r="D80" s="53" t="inlineStr">
        <is>
          <t>ночь</t>
        </is>
      </c>
      <c r="E80" s="66" t="inlineStr">
        <is>
          <t>Султанулы</t>
        </is>
      </c>
      <c r="F80" s="67" t="inlineStr">
        <is>
          <t>8 волн рифленый</t>
        </is>
      </c>
      <c r="G80" s="68" t="n">
        <v>57</v>
      </c>
      <c r="H80" s="68" t="n">
        <v>2440</v>
      </c>
      <c r="I80" s="57">
        <f>IFERROR(H80*VLOOKUP(F80,[1]инфо!$A$15:$C$28,3,FALSE)/1000,0)</f>
        <v/>
      </c>
      <c r="J80" s="68" t="n">
        <v>2500</v>
      </c>
      <c r="K80" s="68" t="n">
        <v>5</v>
      </c>
      <c r="L80" s="68" t="n">
        <v>3</v>
      </c>
      <c r="M80" s="55" t="n"/>
      <c r="N80" s="55" t="n">
        <v>5865</v>
      </c>
      <c r="O80" s="58" t="n"/>
      <c r="P80" s="58" t="n"/>
      <c r="Q80" s="58" t="n">
        <v>21750</v>
      </c>
      <c r="R80" s="58" t="n">
        <v>14722</v>
      </c>
      <c r="S80" s="59">
        <f>SUM(O80:R80)</f>
        <v/>
      </c>
      <c r="T80" s="52" t="n"/>
      <c r="U80" s="53" t="n"/>
      <c r="V80" s="58" t="n"/>
      <c r="W80" s="58" t="n"/>
      <c r="X80" s="58" t="n"/>
      <c r="Y80" s="52" t="n">
        <v>490</v>
      </c>
      <c r="Z80" s="58" t="n"/>
      <c r="AA80" s="58" t="n"/>
      <c r="AB80" s="58" t="n"/>
      <c r="AC80" s="69" t="n">
        <v>550</v>
      </c>
      <c r="AD80" s="53" t="n"/>
      <c r="AE80" s="61">
        <f>SUMIFS([1]инфо!$D$15:$D$28,[1]инфо!$A$15:$A$28,F80)</f>
        <v/>
      </c>
      <c r="AF80" s="62">
        <f>IF(H80=0,0,N80/H80)</f>
        <v/>
      </c>
      <c r="AG80" s="63">
        <f>AF80-AE80</f>
        <v/>
      </c>
      <c r="AH80" s="61">
        <f>SUMIFS([1]инфо!$E$15:$E$28,[1]инфо!$A$15:$A$28,F80)</f>
        <v/>
      </c>
      <c r="AI80" s="64">
        <f>IF(H80=0,0,S80/H80)</f>
        <v/>
      </c>
      <c r="AJ80" s="63">
        <f>AI80-AH80</f>
        <v/>
      </c>
      <c r="AK80" s="61">
        <f>SUMIFS([1]инфо!$F$15:$F$28,[1]инфо!$A$15:$A$28,F80)</f>
        <v/>
      </c>
      <c r="AL80" s="64">
        <f>IF(H80=0,0,Y80/H80)</f>
        <v/>
      </c>
      <c r="AM80" s="63">
        <f>AL80-AK80</f>
        <v/>
      </c>
      <c r="AN80" s="61">
        <f>SUMIFS([1]инфо!$G$15:$G$28,[1]инфо!$A$15:$A$28,F80)</f>
        <v/>
      </c>
      <c r="AO80" s="64">
        <f>IF(H80=0,0,AA80/H80)</f>
        <v/>
      </c>
      <c r="AP80" s="63">
        <f>AO80-AN80</f>
        <v/>
      </c>
      <c r="AQ80" s="61">
        <f>SUMIFS([1]инфо!$H$15:$H$28,[1]инфо!$A$15:$A$28,F80)</f>
        <v/>
      </c>
      <c r="AR80" s="62">
        <f>IF(H79=0,0,AC80/H79)</f>
        <v/>
      </c>
      <c r="AS80" s="63">
        <f>AR80-AQ80</f>
        <v/>
      </c>
      <c r="AT80" s="61">
        <f>SUMIFS([1]инфо!$I$15:$I$28,[1]инфо!$A$15:$A$28,F80)</f>
        <v/>
      </c>
      <c r="AU80" s="62">
        <f>IF(H80=0,0,AD80/H80)</f>
        <v/>
      </c>
      <c r="AV80" s="63">
        <f>AU80-AT80</f>
        <v/>
      </c>
      <c r="AX80" s="59">
        <f>SUMIFS([1]инфо!$C$15:$C$28,[1]инфо!$A$15:$A$28,F80)*H79</f>
        <v/>
      </c>
    </row>
    <row r="81">
      <c r="A81" s="71">
        <f>A79+1</f>
        <v/>
      </c>
      <c r="B81" s="65" t="inlineStr">
        <is>
          <t>0053</t>
        </is>
      </c>
      <c r="C81" s="77" t="inlineStr">
        <is>
          <t>линия 2</t>
        </is>
      </c>
      <c r="D81" s="78" t="inlineStr">
        <is>
          <t>день</t>
        </is>
      </c>
      <c r="E81" s="66" t="inlineStr">
        <is>
          <t>Монаев</t>
        </is>
      </c>
      <c r="F81" s="67" t="inlineStr">
        <is>
          <t>8 волн рифленый</t>
        </is>
      </c>
      <c r="G81" s="68" t="n">
        <v>29</v>
      </c>
      <c r="H81" s="68" t="n">
        <v>1240</v>
      </c>
      <c r="I81" s="57">
        <f>IFERROR(H81*VLOOKUP(F81,[1]инфо!$A$15:$C$28,3,FALSE)/1000,0)</f>
        <v/>
      </c>
      <c r="J81" s="68" t="n">
        <v>1000</v>
      </c>
      <c r="K81" s="68" t="n">
        <v>35</v>
      </c>
      <c r="L81" s="68" t="n">
        <v>2</v>
      </c>
      <c r="M81" s="55" t="n"/>
      <c r="N81" s="56" t="n">
        <v>2919</v>
      </c>
      <c r="O81" s="79" t="n"/>
      <c r="P81" s="79" t="n"/>
      <c r="Q81" s="79" t="n">
        <v>10227</v>
      </c>
      <c r="R81" s="79" t="n">
        <v>8312</v>
      </c>
      <c r="S81" s="80">
        <f>SUM(O81:R81)</f>
        <v/>
      </c>
      <c r="T81" s="77" t="n"/>
      <c r="U81" s="78" t="n"/>
      <c r="V81" s="79" t="n"/>
      <c r="W81" s="79" t="n"/>
      <c r="X81" s="79" t="n"/>
      <c r="Y81" s="77" t="n">
        <v>290</v>
      </c>
      <c r="Z81" s="79" t="n"/>
      <c r="AA81" s="79" t="n"/>
      <c r="AB81" s="79" t="n"/>
      <c r="AC81" s="69" t="n">
        <v>290</v>
      </c>
      <c r="AD81" s="78" t="n">
        <v>120</v>
      </c>
      <c r="AE81" s="81">
        <f>SUMIFS([1]инфо!$D$15:$D$28,[1]инфо!$A$15:$A$28,F81)</f>
        <v/>
      </c>
      <c r="AF81" s="62">
        <f>IF(H81=0,0,N81/H81)</f>
        <v/>
      </c>
      <c r="AG81" s="82">
        <f>AF81-AE81</f>
        <v/>
      </c>
      <c r="AH81" s="81">
        <f>SUMIFS([1]инфо!$E$15:$E$28,[1]инфо!$A$15:$A$28,F81)</f>
        <v/>
      </c>
      <c r="AI81" s="64">
        <f>IF(H81=0,0,S81/H81)</f>
        <v/>
      </c>
      <c r="AJ81" s="82">
        <f>AI81-AH81</f>
        <v/>
      </c>
      <c r="AK81" s="81">
        <f>SUMIFS([1]инфо!$F$15:$F$28,[1]инфо!$A$15:$A$28,F81)</f>
        <v/>
      </c>
      <c r="AL81" s="64">
        <f>IF(H81=0,0,Y81/H81)</f>
        <v/>
      </c>
      <c r="AM81" s="82">
        <f>AL81-AK81</f>
        <v/>
      </c>
      <c r="AN81" s="81">
        <f>SUMIFS([1]инфо!$G$15:$G$28,[1]инфо!$A$15:$A$28,F81)</f>
        <v/>
      </c>
      <c r="AO81" s="64">
        <f>IF(H81=0,0,AA81/H81)</f>
        <v/>
      </c>
      <c r="AP81" s="82">
        <f>AO81-AN81</f>
        <v/>
      </c>
      <c r="AQ81" s="81">
        <f>SUMIFS([1]инфо!$H$15:$H$28,[1]инфо!$A$15:$A$28,F81)</f>
        <v/>
      </c>
      <c r="AR81" s="85">
        <f>IF(H80=0,0,AC81/H80)</f>
        <v/>
      </c>
      <c r="AS81" s="82">
        <f>AR81-AQ81</f>
        <v/>
      </c>
      <c r="AT81" s="81">
        <f>SUMIFS([1]инфо!$I$15:$I$28,[1]инфо!$A$15:$A$28,F81)</f>
        <v/>
      </c>
      <c r="AU81" s="62">
        <f>IF(H81=0,0,AD81/H81)</f>
        <v/>
      </c>
      <c r="AV81" s="82">
        <f>AU81-AT81</f>
        <v/>
      </c>
      <c r="AX81" s="80">
        <f>SUMIFS([1]инфо!$C$15:$C$28,[1]инфо!$A$15:$A$28,F81)*H80</f>
        <v/>
      </c>
    </row>
    <row r="82">
      <c r="A82" s="71">
        <f>A80+1</f>
        <v/>
      </c>
      <c r="B82" s="65" t="inlineStr">
        <is>
          <t>0054</t>
        </is>
      </c>
      <c r="C82" s="72" t="inlineStr">
        <is>
          <t>линия 2</t>
        </is>
      </c>
      <c r="D82" s="73" t="inlineStr">
        <is>
          <t>ночь</t>
        </is>
      </c>
      <c r="E82" s="66" t="inlineStr">
        <is>
          <t>Дауылбай</t>
        </is>
      </c>
      <c r="F82" s="67" t="inlineStr">
        <is>
          <t>8 волн рифленый</t>
        </is>
      </c>
      <c r="G82" s="68" t="n">
        <v>55</v>
      </c>
      <c r="H82" s="68" t="n">
        <v>2600</v>
      </c>
      <c r="I82" s="57">
        <f>IFERROR(H82*VLOOKUP(F82,[1]инфо!$A$15:$C$28,3,FALSE)/1000,0)</f>
        <v/>
      </c>
      <c r="J82" s="68" t="n">
        <v>2250</v>
      </c>
      <c r="K82" s="68" t="n">
        <v>143</v>
      </c>
      <c r="L82" s="68" t="n">
        <v>4</v>
      </c>
      <c r="M82" s="55" t="n"/>
      <c r="N82" s="67" t="n">
        <v>5511</v>
      </c>
      <c r="O82" s="74" t="n"/>
      <c r="P82" s="74" t="n"/>
      <c r="Q82" s="74" t="n">
        <v>17905</v>
      </c>
      <c r="R82" s="74" t="n">
        <v>17284</v>
      </c>
      <c r="S82" s="70">
        <f>SUM(O82:R82)</f>
        <v/>
      </c>
      <c r="T82" s="72" t="n"/>
      <c r="U82" s="73" t="n"/>
      <c r="V82" s="74" t="n"/>
      <c r="W82" s="74" t="n"/>
      <c r="X82" s="74" t="n"/>
      <c r="Y82" s="72" t="n">
        <v>550</v>
      </c>
      <c r="Z82" s="74" t="n"/>
      <c r="AA82" s="74" t="n">
        <v>55</v>
      </c>
      <c r="AB82" s="74" t="n"/>
      <c r="AC82" s="69" t="n">
        <v>550</v>
      </c>
      <c r="AD82" s="73" t="n">
        <v>275</v>
      </c>
      <c r="AE82" s="75">
        <f>SUMIFS([1]инфо!$D$15:$D$28,[1]инфо!$A$15:$A$28,F82)</f>
        <v/>
      </c>
      <c r="AF82" s="62">
        <f>IF(H82=0,0,N82/H82)</f>
        <v/>
      </c>
      <c r="AG82" s="76">
        <f>AF82-AE82</f>
        <v/>
      </c>
      <c r="AH82" s="75">
        <f>SUMIFS([1]инфо!$E$15:$E$28,[1]инфо!$A$15:$A$28,F82)</f>
        <v/>
      </c>
      <c r="AI82" s="64">
        <f>IF(H82=0,0,S82/H82)</f>
        <v/>
      </c>
      <c r="AJ82" s="76">
        <f>AI82-AH82</f>
        <v/>
      </c>
      <c r="AK82" s="75">
        <f>SUMIFS([1]инфо!$F$15:$F$28,[1]инфо!$A$15:$A$28,F82)</f>
        <v/>
      </c>
      <c r="AL82" s="64">
        <f>IF(H82=0,0,Y82/H82)</f>
        <v/>
      </c>
      <c r="AM82" s="76">
        <f>AL82-AK82</f>
        <v/>
      </c>
      <c r="AN82" s="75">
        <f>SUMIFS([1]инфо!$G$15:$G$28,[1]инфо!$A$15:$A$28,F82)</f>
        <v/>
      </c>
      <c r="AO82" s="64">
        <f>IF(H82=0,0,AA82/H82)</f>
        <v/>
      </c>
      <c r="AP82" s="76">
        <f>AO82-AN82</f>
        <v/>
      </c>
      <c r="AQ82" s="75">
        <f>SUMIFS([1]инфо!$H$15:$H$28,[1]инфо!$A$15:$A$28,F82)</f>
        <v/>
      </c>
      <c r="AR82" s="64">
        <f>IF(H81=0,0,AC82/H81)</f>
        <v/>
      </c>
      <c r="AS82" s="76">
        <f>AR82-AQ82</f>
        <v/>
      </c>
      <c r="AT82" s="75">
        <f>SUMIFS([1]инфо!$I$15:$I$28,[1]инфо!$A$15:$A$28,F82)</f>
        <v/>
      </c>
      <c r="AU82" s="62">
        <f>IF(H82=0,0,AD82/H82)</f>
        <v/>
      </c>
      <c r="AV82" s="76">
        <f>AU82-AT82</f>
        <v/>
      </c>
      <c r="AX82" s="70">
        <f>SUMIFS([1]инфо!$C$15:$C$28,[1]инфо!$A$15:$A$28,F82)*H81</f>
        <v/>
      </c>
    </row>
    <row r="83">
      <c r="A83" s="71">
        <f>A81+1</f>
        <v/>
      </c>
      <c r="B83" s="65" t="inlineStr">
        <is>
          <t>0055</t>
        </is>
      </c>
      <c r="C83" s="52" t="inlineStr">
        <is>
          <t>линия 2</t>
        </is>
      </c>
      <c r="D83" s="53" t="inlineStr">
        <is>
          <t>день</t>
        </is>
      </c>
      <c r="E83" s="66" t="inlineStr">
        <is>
          <t>Бекбосынов</t>
        </is>
      </c>
      <c r="F83" s="67" t="inlineStr">
        <is>
          <t>8 волн рифленый</t>
        </is>
      </c>
      <c r="G83" s="68" t="n">
        <v>45</v>
      </c>
      <c r="H83" s="68" t="n">
        <v>2010</v>
      </c>
      <c r="I83" s="57">
        <f>IFERROR(H83*VLOOKUP(F83,[1]инфо!$A$15:$C$28,3,FALSE)/1000,0)</f>
        <v/>
      </c>
      <c r="J83" s="68" t="n">
        <v>2000</v>
      </c>
      <c r="K83" s="68" t="n">
        <v>84</v>
      </c>
      <c r="L83" s="68" t="n">
        <v>2</v>
      </c>
      <c r="M83" s="55" t="n"/>
      <c r="N83" s="55" t="n">
        <v>4603</v>
      </c>
      <c r="O83" s="58" t="n"/>
      <c r="P83" s="58" t="n"/>
      <c r="Q83" s="58" t="n">
        <v>15211</v>
      </c>
      <c r="R83" s="58" t="n">
        <v>13439</v>
      </c>
      <c r="S83" s="59">
        <f>SUM(O83:R83)</f>
        <v/>
      </c>
      <c r="T83" s="52" t="n"/>
      <c r="U83" s="53" t="n"/>
      <c r="V83" s="58" t="n"/>
      <c r="W83" s="58" t="n"/>
      <c r="X83" s="58" t="n"/>
      <c r="Y83" s="52" t="n">
        <v>450</v>
      </c>
      <c r="Z83" s="58" t="n"/>
      <c r="AA83" s="58" t="n">
        <v>45</v>
      </c>
      <c r="AB83" s="58" t="n"/>
      <c r="AC83" s="69" t="n">
        <v>450</v>
      </c>
      <c r="AD83" s="53" t="n">
        <v>220</v>
      </c>
      <c r="AE83" s="61">
        <f>SUMIFS([1]инфо!$D$15:$D$28,[1]инфо!$A$15:$A$28,F83)</f>
        <v/>
      </c>
      <c r="AF83" s="62">
        <f>IF(H83=0,0,N83/H83)</f>
        <v/>
      </c>
      <c r="AG83" s="63">
        <f>AF83-AE83</f>
        <v/>
      </c>
      <c r="AH83" s="61">
        <f>SUMIFS([1]инфо!$E$15:$E$28,[1]инфо!$A$15:$A$28,F83)</f>
        <v/>
      </c>
      <c r="AI83" s="64">
        <f>IF(H83=0,0,S83/H83)</f>
        <v/>
      </c>
      <c r="AJ83" s="63">
        <f>AI83-AH83</f>
        <v/>
      </c>
      <c r="AK83" s="61">
        <f>SUMIFS([1]инфо!$F$15:$F$28,[1]инфо!$A$15:$A$28,F83)</f>
        <v/>
      </c>
      <c r="AL83" s="64">
        <f>IF(H83=0,0,Y83/H83)</f>
        <v/>
      </c>
      <c r="AM83" s="63">
        <f>AL83-AK83</f>
        <v/>
      </c>
      <c r="AN83" s="61">
        <f>SUMIFS([1]инфо!$G$15:$G$28,[1]инфо!$A$15:$A$28,F83)</f>
        <v/>
      </c>
      <c r="AO83" s="64">
        <f>IF(H83=0,0,AA83/H83)</f>
        <v/>
      </c>
      <c r="AP83" s="63">
        <f>AO83-AN83</f>
        <v/>
      </c>
      <c r="AQ83" s="61">
        <f>SUMIFS([1]инфо!$H$15:$H$28,[1]инфо!$A$15:$A$28,F83)</f>
        <v/>
      </c>
      <c r="AR83" s="62">
        <f>IF(H82=0,0,AC83/H82)</f>
        <v/>
      </c>
      <c r="AS83" s="63">
        <f>AR83-AQ83</f>
        <v/>
      </c>
      <c r="AT83" s="61">
        <f>SUMIFS([1]инфо!$I$15:$I$28,[1]инфо!$A$15:$A$28,F83)</f>
        <v/>
      </c>
      <c r="AU83" s="62">
        <f>IF(H83=0,0,AD83/H83)</f>
        <v/>
      </c>
      <c r="AV83" s="63">
        <f>AU83-AT83</f>
        <v/>
      </c>
      <c r="AX83" s="59">
        <f>SUMIFS([1]инфо!$C$15:$C$28,[1]инфо!$A$15:$A$28,F83)*H82</f>
        <v/>
      </c>
    </row>
    <row r="84">
      <c r="A84" s="71">
        <f>A82+1</f>
        <v/>
      </c>
      <c r="B84" s="65" t="inlineStr">
        <is>
          <t>0056</t>
        </is>
      </c>
      <c r="C84" s="52" t="inlineStr">
        <is>
          <t>линия 2</t>
        </is>
      </c>
      <c r="D84" s="53" t="inlineStr">
        <is>
          <t>ночь</t>
        </is>
      </c>
      <c r="E84" s="66" t="inlineStr">
        <is>
          <t>Монаев</t>
        </is>
      </c>
      <c r="F84" s="67" t="inlineStr">
        <is>
          <t>8 волн рифленый</t>
        </is>
      </c>
      <c r="G84" s="68" t="n">
        <v>51</v>
      </c>
      <c r="H84" s="68" t="n">
        <v>2240</v>
      </c>
      <c r="I84" s="57">
        <f>IFERROR(H84*VLOOKUP(F84,[1]инфо!$A$15:$C$28,3,FALSE)/1000,0)</f>
        <v/>
      </c>
      <c r="J84" s="68" t="n">
        <v>2250</v>
      </c>
      <c r="K84" s="68" t="n">
        <v>117</v>
      </c>
      <c r="L84" s="68" t="n">
        <v>4</v>
      </c>
      <c r="M84" s="55" t="n"/>
      <c r="N84" s="55" t="n">
        <v>5088</v>
      </c>
      <c r="O84" s="58" t="n"/>
      <c r="P84" s="58" t="n"/>
      <c r="Q84" s="58" t="n">
        <v>16086</v>
      </c>
      <c r="R84" s="58" t="n">
        <v>16636</v>
      </c>
      <c r="S84" s="59">
        <f>SUM(O84:R84)</f>
        <v/>
      </c>
      <c r="T84" s="52" t="n"/>
      <c r="U84" s="53" t="n"/>
      <c r="V84" s="58" t="n"/>
      <c r="W84" s="58" t="n"/>
      <c r="X84" s="58" t="n"/>
      <c r="Y84" s="52" t="n">
        <v>510</v>
      </c>
      <c r="Z84" s="58" t="n"/>
      <c r="AA84" s="58" t="n">
        <v>51</v>
      </c>
      <c r="AB84" s="58" t="n"/>
      <c r="AC84" s="69" t="n">
        <v>510</v>
      </c>
      <c r="AD84" s="53" t="n">
        <v>255</v>
      </c>
      <c r="AE84" s="61">
        <f>SUMIFS([1]инфо!$D$15:$D$28,[1]инфо!$A$15:$A$28,F84)</f>
        <v/>
      </c>
      <c r="AF84" s="62">
        <f>IF(H84=0,0,N84/H84)</f>
        <v/>
      </c>
      <c r="AG84" s="63">
        <f>AF84-AE84</f>
        <v/>
      </c>
      <c r="AH84" s="61">
        <f>SUMIFS([1]инфо!$E$15:$E$28,[1]инфо!$A$15:$A$28,F84)</f>
        <v/>
      </c>
      <c r="AI84" s="64">
        <f>IF(H84=0,0,S84/H84)</f>
        <v/>
      </c>
      <c r="AJ84" s="63">
        <f>AI84-AH84</f>
        <v/>
      </c>
      <c r="AK84" s="61">
        <f>SUMIFS([1]инфо!$F$15:$F$28,[1]инфо!$A$15:$A$28,F84)</f>
        <v/>
      </c>
      <c r="AL84" s="64">
        <f>IF(H84=0,0,Y84/H84)</f>
        <v/>
      </c>
      <c r="AM84" s="63">
        <f>AL84-AK84</f>
        <v/>
      </c>
      <c r="AN84" s="61">
        <f>SUMIFS([1]инфо!$G$15:$G$28,[1]инфо!$A$15:$A$28,F84)</f>
        <v/>
      </c>
      <c r="AO84" s="64">
        <f>IF(H84=0,0,AA84/H84)</f>
        <v/>
      </c>
      <c r="AP84" s="63">
        <f>AO84-AN84</f>
        <v/>
      </c>
      <c r="AQ84" s="61">
        <f>SUMIFS([1]инфо!$H$15:$H$28,[1]инфо!$A$15:$A$28,F84)</f>
        <v/>
      </c>
      <c r="AR84" s="62">
        <f>IF(H83=0,0,AC84/H83)</f>
        <v/>
      </c>
      <c r="AS84" s="63">
        <f>AR84-AQ84</f>
        <v/>
      </c>
      <c r="AT84" s="61">
        <f>SUMIFS([1]инфо!$I$15:$I$28,[1]инфо!$A$15:$A$28,F84)</f>
        <v/>
      </c>
      <c r="AU84" s="62">
        <f>IF(H84=0,0,AD84/H84)</f>
        <v/>
      </c>
      <c r="AV84" s="63">
        <f>AU84-AT84</f>
        <v/>
      </c>
      <c r="AX84" s="59">
        <f>SUMIFS([1]инфо!$C$15:$C$28,[1]инфо!$A$15:$A$28,F84)*H83</f>
        <v/>
      </c>
    </row>
    <row r="85">
      <c r="A85" s="71">
        <f>A83+1</f>
        <v/>
      </c>
      <c r="B85" s="65" t="inlineStr">
        <is>
          <t>0057</t>
        </is>
      </c>
      <c r="C85" s="77" t="inlineStr">
        <is>
          <t>линия 2</t>
        </is>
      </c>
      <c r="D85" s="78" t="inlineStr">
        <is>
          <t>день</t>
        </is>
      </c>
      <c r="E85" s="66" t="inlineStr">
        <is>
          <t>Султанулы</t>
        </is>
      </c>
      <c r="F85" s="67" t="inlineStr">
        <is>
          <t>8 волн рифленый</t>
        </is>
      </c>
      <c r="G85" s="68" t="n">
        <v>32</v>
      </c>
      <c r="H85" s="68" t="n">
        <v>1300</v>
      </c>
      <c r="I85" s="57">
        <f>IFERROR(H85*VLOOKUP(F85,[1]инфо!$A$15:$C$28,3,FALSE)/1000,0)</f>
        <v/>
      </c>
      <c r="J85" s="68" t="n">
        <v>1500</v>
      </c>
      <c r="K85" s="68" t="n">
        <v>5</v>
      </c>
      <c r="L85" s="68" t="n">
        <v>2</v>
      </c>
      <c r="M85" s="55" t="n"/>
      <c r="N85" s="56" t="n">
        <v>3165</v>
      </c>
      <c r="O85" s="79" t="n"/>
      <c r="P85" s="79" t="n"/>
      <c r="Q85" s="79" t="n">
        <v>9595</v>
      </c>
      <c r="R85" s="79" t="n">
        <v>10875</v>
      </c>
      <c r="S85" s="80">
        <f>SUM(O85:R85)</f>
        <v/>
      </c>
      <c r="T85" s="77" t="n"/>
      <c r="U85" s="78" t="n"/>
      <c r="V85" s="79" t="n"/>
      <c r="W85" s="79" t="n"/>
      <c r="X85" s="79" t="n"/>
      <c r="Y85" s="77" t="n">
        <v>320</v>
      </c>
      <c r="Z85" s="79" t="n"/>
      <c r="AA85" s="79" t="n">
        <v>32</v>
      </c>
      <c r="AB85" s="79" t="n"/>
      <c r="AC85" s="69" t="n">
        <v>320</v>
      </c>
      <c r="AD85" s="78" t="n">
        <v>160</v>
      </c>
      <c r="AE85" s="81">
        <f>SUMIFS([1]инфо!$D$15:$D$28,[1]инфо!$A$15:$A$28,F85)</f>
        <v/>
      </c>
      <c r="AF85" s="62">
        <f>IF(H85=0,0,N85/H85)</f>
        <v/>
      </c>
      <c r="AG85" s="82">
        <f>AF85-AE85</f>
        <v/>
      </c>
      <c r="AH85" s="81">
        <f>SUMIFS([1]инфо!$E$15:$E$28,[1]инфо!$A$15:$A$28,F85)</f>
        <v/>
      </c>
      <c r="AI85" s="64">
        <f>IF(H85=0,0,S85/H85)</f>
        <v/>
      </c>
      <c r="AJ85" s="82">
        <f>AI85-AH85</f>
        <v/>
      </c>
      <c r="AK85" s="81">
        <f>SUMIFS([1]инфо!$F$15:$F$28,[1]инфо!$A$15:$A$28,F85)</f>
        <v/>
      </c>
      <c r="AL85" s="64">
        <f>IF(H85=0,0,Y85/H85)</f>
        <v/>
      </c>
      <c r="AM85" s="82">
        <f>AL85-AK85</f>
        <v/>
      </c>
      <c r="AN85" s="81">
        <f>SUMIFS([1]инфо!$G$15:$G$28,[1]инфо!$A$15:$A$28,F85)</f>
        <v/>
      </c>
      <c r="AO85" s="64">
        <f>IF(H85=0,0,AA85/H85)</f>
        <v/>
      </c>
      <c r="AP85" s="82">
        <f>AO85-AN85</f>
        <v/>
      </c>
      <c r="AQ85" s="81">
        <f>SUMIFS([1]инфо!$H$15:$H$28,[1]инфо!$A$15:$A$28,F85)</f>
        <v/>
      </c>
      <c r="AR85" s="85">
        <f>IF(H84=0,0,AC85/H84)</f>
        <v/>
      </c>
      <c r="AS85" s="82">
        <f>AR85-AQ85</f>
        <v/>
      </c>
      <c r="AT85" s="81">
        <f>SUMIFS([1]инфо!$I$15:$I$28,[1]инфо!$A$15:$A$28,F85)</f>
        <v/>
      </c>
      <c r="AU85" s="62">
        <f>IF(H85=0,0,AD85/H85)</f>
        <v/>
      </c>
      <c r="AV85" s="82">
        <f>AU85-AT85</f>
        <v/>
      </c>
      <c r="AX85" s="80">
        <f>SUMIFS([1]инфо!$C$15:$C$28,[1]инфо!$A$15:$A$28,F85)*H84</f>
        <v/>
      </c>
    </row>
    <row r="86">
      <c r="A86" s="71">
        <f>A84+1</f>
        <v/>
      </c>
      <c r="B86" s="65" t="inlineStr">
        <is>
          <t>0058</t>
        </is>
      </c>
      <c r="C86" s="72" t="inlineStr">
        <is>
          <t>линия 2</t>
        </is>
      </c>
      <c r="D86" s="73" t="inlineStr">
        <is>
          <t>ночь</t>
        </is>
      </c>
      <c r="E86" s="66" t="inlineStr">
        <is>
          <t>Бекбосынов</t>
        </is>
      </c>
      <c r="F86" s="67" t="inlineStr">
        <is>
          <t>8 волн рифленый</t>
        </is>
      </c>
      <c r="G86" s="68" t="n">
        <v>53</v>
      </c>
      <c r="H86" s="68" t="n">
        <v>2150</v>
      </c>
      <c r="I86" s="57">
        <f>IFERROR(H86*VLOOKUP(F86,[1]инфо!$A$15:$C$28,3,FALSE)/1000,0)</f>
        <v/>
      </c>
      <c r="J86" s="68" t="n">
        <v>2000</v>
      </c>
      <c r="K86" s="68" t="n">
        <v>18</v>
      </c>
      <c r="L86" s="68" t="n">
        <v>24</v>
      </c>
      <c r="M86" s="55" t="n"/>
      <c r="N86" s="67" t="n">
        <v>5749</v>
      </c>
      <c r="O86" s="74" t="n"/>
      <c r="P86" s="74" t="n"/>
      <c r="Q86" s="74" t="n">
        <v>20452</v>
      </c>
      <c r="R86" s="74" t="n">
        <v>16640</v>
      </c>
      <c r="S86" s="70">
        <f>SUM(O86:R86)</f>
        <v/>
      </c>
      <c r="T86" s="72" t="n"/>
      <c r="U86" s="73" t="n"/>
      <c r="V86" s="74" t="n"/>
      <c r="W86" s="74" t="n"/>
      <c r="X86" s="74" t="n"/>
      <c r="Y86" s="72" t="n">
        <v>530</v>
      </c>
      <c r="Z86" s="74" t="n"/>
      <c r="AA86" s="74" t="n">
        <v>55</v>
      </c>
      <c r="AB86" s="74" t="n"/>
      <c r="AC86" s="69" t="n">
        <v>530</v>
      </c>
      <c r="AD86" s="73" t="n">
        <v>265</v>
      </c>
      <c r="AE86" s="75">
        <f>SUMIFS([1]инфо!$D$15:$D$28,[1]инфо!$A$15:$A$28,F86)</f>
        <v/>
      </c>
      <c r="AF86" s="62">
        <f>IF(H86=0,0,N86/H86)</f>
        <v/>
      </c>
      <c r="AG86" s="76">
        <f>AF86-AE86</f>
        <v/>
      </c>
      <c r="AH86" s="75">
        <f>SUMIFS([1]инфо!$E$15:$E$28,[1]инфо!$A$15:$A$28,F86)</f>
        <v/>
      </c>
      <c r="AI86" s="64">
        <f>IF(H86=0,0,S86/H86)</f>
        <v/>
      </c>
      <c r="AJ86" s="76">
        <f>AI86-AH86</f>
        <v/>
      </c>
      <c r="AK86" s="75">
        <f>SUMIFS([1]инфо!$F$15:$F$28,[1]инфо!$A$15:$A$28,F86)</f>
        <v/>
      </c>
      <c r="AL86" s="64">
        <f>IF(H86=0,0,Y86/H86)</f>
        <v/>
      </c>
      <c r="AM86" s="76">
        <f>AL86-AK86</f>
        <v/>
      </c>
      <c r="AN86" s="75">
        <f>SUMIFS([1]инфо!$G$15:$G$28,[1]инфо!$A$15:$A$28,F86)</f>
        <v/>
      </c>
      <c r="AO86" s="64">
        <f>IF(H86=0,0,AA86/H86)</f>
        <v/>
      </c>
      <c r="AP86" s="76">
        <f>AO86-AN86</f>
        <v/>
      </c>
      <c r="AQ86" s="75">
        <f>SUMIFS([1]инфо!$H$15:$H$28,[1]инфо!$A$15:$A$28,F86)</f>
        <v/>
      </c>
      <c r="AR86" s="64">
        <f>IF(H85=0,0,AC86/H85)</f>
        <v/>
      </c>
      <c r="AS86" s="76">
        <f>AR86-AQ86</f>
        <v/>
      </c>
      <c r="AT86" s="75">
        <f>SUMIFS([1]инфо!$I$15:$I$28,[1]инфо!$A$15:$A$28,F86)</f>
        <v/>
      </c>
      <c r="AU86" s="62">
        <f>IF(H86=0,0,AD86/H86)</f>
        <v/>
      </c>
      <c r="AV86" s="76">
        <f>AU86-AT86</f>
        <v/>
      </c>
      <c r="AX86" s="70">
        <f>SUMIFS([1]инфо!$C$15:$C$28,[1]инфо!$A$15:$A$28,F86)*H85</f>
        <v/>
      </c>
    </row>
    <row r="87">
      <c r="A87" s="71">
        <f>A85+1</f>
        <v/>
      </c>
      <c r="B87" s="65" t="inlineStr">
        <is>
          <t>0059</t>
        </is>
      </c>
      <c r="C87" s="52" t="inlineStr">
        <is>
          <t>линия 2</t>
        </is>
      </c>
      <c r="D87" s="53" t="inlineStr">
        <is>
          <t>день</t>
        </is>
      </c>
      <c r="E87" s="66" t="inlineStr">
        <is>
          <t>Дауылбай</t>
        </is>
      </c>
      <c r="F87" s="67" t="inlineStr">
        <is>
          <t>8 волн рифленый</t>
        </is>
      </c>
      <c r="G87" s="68" t="n">
        <v>49</v>
      </c>
      <c r="H87" s="68" t="n">
        <v>2050</v>
      </c>
      <c r="I87" s="57">
        <f>IFERROR(H87*VLOOKUP(F87,[1]инфо!$A$15:$C$28,3,FALSE)/1000,0)</f>
        <v/>
      </c>
      <c r="J87" s="68" t="n">
        <v>2000</v>
      </c>
      <c r="K87" s="68" t="n">
        <v>63</v>
      </c>
      <c r="L87" s="68" t="n">
        <v>3</v>
      </c>
      <c r="M87" s="55" t="n"/>
      <c r="N87" s="55" t="n">
        <v>4469</v>
      </c>
      <c r="O87" s="58" t="n"/>
      <c r="P87" s="58" t="n"/>
      <c r="Q87" s="58" t="n">
        <v>14079</v>
      </c>
      <c r="R87" s="58" t="n">
        <v>14715</v>
      </c>
      <c r="S87" s="59">
        <f>SUM(O87:R87)</f>
        <v/>
      </c>
      <c r="T87" s="52" t="n"/>
      <c r="U87" s="53" t="n"/>
      <c r="V87" s="58" t="n"/>
      <c r="W87" s="58" t="n"/>
      <c r="X87" s="58" t="n"/>
      <c r="Y87" s="52" t="n">
        <v>450</v>
      </c>
      <c r="Z87" s="58" t="n"/>
      <c r="AA87" s="58" t="n">
        <v>51</v>
      </c>
      <c r="AB87" s="58" t="n"/>
      <c r="AC87" s="69" t="n">
        <v>450</v>
      </c>
      <c r="AD87" s="53" t="n">
        <v>225</v>
      </c>
      <c r="AE87" s="61">
        <f>SUMIFS([1]инфо!$D$15:$D$28,[1]инфо!$A$15:$A$28,F87)</f>
        <v/>
      </c>
      <c r="AF87" s="62">
        <f>IF(H87=0,0,N87/H87)</f>
        <v/>
      </c>
      <c r="AG87" s="63">
        <f>AF87-AE87</f>
        <v/>
      </c>
      <c r="AH87" s="61">
        <f>SUMIFS([1]инфо!$E$15:$E$28,[1]инфо!$A$15:$A$28,F87)</f>
        <v/>
      </c>
      <c r="AI87" s="64">
        <f>IF(H87=0,0,S87/H87)</f>
        <v/>
      </c>
      <c r="AJ87" s="63">
        <f>AI87-AH87</f>
        <v/>
      </c>
      <c r="AK87" s="61">
        <f>SUMIFS([1]инфо!$F$15:$F$28,[1]инфо!$A$15:$A$28,F87)</f>
        <v/>
      </c>
      <c r="AL87" s="64">
        <f>IF(H87=0,0,Y87/H87)</f>
        <v/>
      </c>
      <c r="AM87" s="63">
        <f>AL87-AK87</f>
        <v/>
      </c>
      <c r="AN87" s="61">
        <f>SUMIFS([1]инфо!$G$15:$G$28,[1]инфо!$A$15:$A$28,F87)</f>
        <v/>
      </c>
      <c r="AO87" s="64">
        <f>IF(H87=0,0,AA87/H87)</f>
        <v/>
      </c>
      <c r="AP87" s="63">
        <f>AO87-AN87</f>
        <v/>
      </c>
      <c r="AQ87" s="61">
        <f>SUMIFS([1]инфо!$H$15:$H$28,[1]инфо!$A$15:$A$28,F87)</f>
        <v/>
      </c>
      <c r="AR87" s="62">
        <f>IF(H86=0,0,AC87/H86)</f>
        <v/>
      </c>
      <c r="AS87" s="63">
        <f>AR87-AQ87</f>
        <v/>
      </c>
      <c r="AT87" s="61">
        <f>SUMIFS([1]инфо!$I$15:$I$28,[1]инфо!$A$15:$A$28,F87)</f>
        <v/>
      </c>
      <c r="AU87" s="62">
        <f>IF(H87=0,0,AD87/H87)</f>
        <v/>
      </c>
      <c r="AV87" s="63">
        <f>AU87-AT87</f>
        <v/>
      </c>
      <c r="AX87" s="59">
        <f>SUMIFS([1]инфо!$C$15:$C$28,[1]инфо!$A$15:$A$28,F87)*H86</f>
        <v/>
      </c>
    </row>
    <row r="88">
      <c r="A88" s="71">
        <f>A86+1</f>
        <v/>
      </c>
      <c r="B88" s="65" t="inlineStr">
        <is>
          <t>0060</t>
        </is>
      </c>
      <c r="C88" s="52" t="inlineStr">
        <is>
          <t>линия 2</t>
        </is>
      </c>
      <c r="D88" s="53" t="inlineStr">
        <is>
          <t>ночь</t>
        </is>
      </c>
      <c r="E88" s="66" t="inlineStr">
        <is>
          <t>Султанулы</t>
        </is>
      </c>
      <c r="F88" s="67" t="inlineStr">
        <is>
          <t>8 волн рифленый</t>
        </is>
      </c>
      <c r="G88" s="68" t="n">
        <v>56</v>
      </c>
      <c r="H88" s="68" t="n">
        <v>2580</v>
      </c>
      <c r="I88" s="57">
        <f>IFERROR(H88*VLOOKUP(F88,[1]инфо!$A$15:$C$28,3,FALSE)/1000,0)</f>
        <v/>
      </c>
      <c r="J88" s="68" t="n">
        <v>2500</v>
      </c>
      <c r="K88" s="68" t="n"/>
      <c r="L88" s="68" t="n">
        <v>6</v>
      </c>
      <c r="M88" s="55" t="n"/>
      <c r="N88" s="55" t="n">
        <v>5539</v>
      </c>
      <c r="O88" s="58" t="n"/>
      <c r="P88" s="58" t="n"/>
      <c r="Q88" s="58" t="n">
        <v>18539</v>
      </c>
      <c r="R88" s="58" t="n">
        <v>17277</v>
      </c>
      <c r="S88" s="59">
        <f>SUM(O88:R88)</f>
        <v/>
      </c>
      <c r="T88" s="52" t="n"/>
      <c r="U88" s="53" t="n"/>
      <c r="V88" s="58" t="n"/>
      <c r="W88" s="58" t="n"/>
      <c r="X88" s="58" t="n"/>
      <c r="Y88" s="52" t="n">
        <v>560</v>
      </c>
      <c r="Z88" s="58" t="n"/>
      <c r="AA88" s="58" t="n">
        <v>112</v>
      </c>
      <c r="AB88" s="58" t="n"/>
      <c r="AC88" s="69" t="n">
        <v>560</v>
      </c>
      <c r="AD88" s="53" t="n">
        <v>280</v>
      </c>
      <c r="AE88" s="61">
        <f>SUMIFS([1]инфо!$D$15:$D$28,[1]инфо!$A$15:$A$28,F88)</f>
        <v/>
      </c>
      <c r="AF88" s="62">
        <f>IF(H88=0,0,N88/H88)</f>
        <v/>
      </c>
      <c r="AG88" s="63">
        <f>AF88-AE88</f>
        <v/>
      </c>
      <c r="AH88" s="61">
        <f>SUMIFS([1]инфо!$E$15:$E$28,[1]инфо!$A$15:$A$28,F88)</f>
        <v/>
      </c>
      <c r="AI88" s="64">
        <f>IF(H88=0,0,S88/H88)</f>
        <v/>
      </c>
      <c r="AJ88" s="63">
        <f>AI88-AH88</f>
        <v/>
      </c>
      <c r="AK88" s="61">
        <f>SUMIFS([1]инфо!$F$15:$F$28,[1]инфо!$A$15:$A$28,F88)</f>
        <v/>
      </c>
      <c r="AL88" s="64">
        <f>IF(H88=0,0,Y88/H88)</f>
        <v/>
      </c>
      <c r="AM88" s="63">
        <f>AL88-AK88</f>
        <v/>
      </c>
      <c r="AN88" s="61">
        <f>SUMIFS([1]инфо!$G$15:$G$28,[1]инфо!$A$15:$A$28,F88)</f>
        <v/>
      </c>
      <c r="AO88" s="64">
        <f>IF(H88=0,0,AA88/H88)</f>
        <v/>
      </c>
      <c r="AP88" s="63">
        <f>AO88-AN88</f>
        <v/>
      </c>
      <c r="AQ88" s="61">
        <f>SUMIFS([1]инфо!$H$15:$H$28,[1]инфо!$A$15:$A$28,F88)</f>
        <v/>
      </c>
      <c r="AR88" s="62">
        <f>IF(H87=0,0,AC88/H87)</f>
        <v/>
      </c>
      <c r="AS88" s="63">
        <f>AR88-AQ88</f>
        <v/>
      </c>
      <c r="AT88" s="61">
        <f>SUMIFS([1]инфо!$I$15:$I$28,[1]инфо!$A$15:$A$28,F88)</f>
        <v/>
      </c>
      <c r="AU88" s="62">
        <f>IF(H88=0,0,AD88/H88)</f>
        <v/>
      </c>
      <c r="AV88" s="63">
        <f>AU88-AT88</f>
        <v/>
      </c>
      <c r="AX88" s="59">
        <f>SUMIFS([1]инфо!$C$15:$C$28,[1]инфо!$A$15:$A$28,F88)*H87</f>
        <v/>
      </c>
    </row>
    <row r="89">
      <c r="A89" s="71">
        <f>A87+1</f>
        <v/>
      </c>
      <c r="B89" s="65" t="inlineStr">
        <is>
          <t>0061</t>
        </is>
      </c>
      <c r="C89" s="77" t="inlineStr">
        <is>
          <t>линия 2</t>
        </is>
      </c>
      <c r="D89" s="78" t="inlineStr">
        <is>
          <t>день</t>
        </is>
      </c>
      <c r="E89" s="66" t="inlineStr">
        <is>
          <t>Монаев</t>
        </is>
      </c>
      <c r="F89" s="67" t="inlineStr">
        <is>
          <t>8 волн рифленый</t>
        </is>
      </c>
      <c r="G89" s="68" t="n">
        <v>5</v>
      </c>
      <c r="H89" s="68" t="n">
        <v>190</v>
      </c>
      <c r="I89" s="57">
        <f>IFERROR(H89*VLOOKUP(F89,[1]инфо!$A$15:$C$28,3,FALSE)/1000,0)</f>
        <v/>
      </c>
      <c r="J89" s="68" t="n"/>
      <c r="K89" s="68" t="n"/>
      <c r="L89" s="68" t="n"/>
      <c r="M89" s="55" t="n"/>
      <c r="N89" s="56" t="n">
        <v>480</v>
      </c>
      <c r="O89" s="79" t="n"/>
      <c r="P89" s="79" t="n"/>
      <c r="Q89" s="79" t="n">
        <v>1920</v>
      </c>
      <c r="R89" s="79" t="n">
        <v>1279</v>
      </c>
      <c r="S89" s="80">
        <f>SUM(O89:R89)</f>
        <v/>
      </c>
      <c r="T89" s="77" t="n"/>
      <c r="U89" s="78" t="n"/>
      <c r="V89" s="79" t="n"/>
      <c r="W89" s="79" t="n"/>
      <c r="X89" s="79" t="n"/>
      <c r="Y89" s="77" t="n">
        <v>50</v>
      </c>
      <c r="Z89" s="79" t="n"/>
      <c r="AA89" s="79" t="n">
        <v>10</v>
      </c>
      <c r="AB89" s="79" t="n"/>
      <c r="AC89" s="69" t="n">
        <v>50</v>
      </c>
      <c r="AD89" s="78" t="n"/>
      <c r="AE89" s="81">
        <f>SUMIFS([1]инфо!$D$15:$D$28,[1]инфо!$A$15:$A$28,F89)</f>
        <v/>
      </c>
      <c r="AF89" s="62">
        <f>IF(H89=0,0,N89/H89)</f>
        <v/>
      </c>
      <c r="AG89" s="82">
        <f>AF89-AE89</f>
        <v/>
      </c>
      <c r="AH89" s="81">
        <f>SUMIFS([1]инфо!$E$15:$E$28,[1]инфо!$A$15:$A$28,F89)</f>
        <v/>
      </c>
      <c r="AI89" s="64">
        <f>IF(H89=0,0,S89/H89)</f>
        <v/>
      </c>
      <c r="AJ89" s="82">
        <f>AI89-AH89</f>
        <v/>
      </c>
      <c r="AK89" s="81">
        <f>SUMIFS([1]инфо!$F$15:$F$28,[1]инфо!$A$15:$A$28,F89)</f>
        <v/>
      </c>
      <c r="AL89" s="64">
        <f>IF(H89=0,0,Y89/H89)</f>
        <v/>
      </c>
      <c r="AM89" s="82">
        <f>AL89-AK89</f>
        <v/>
      </c>
      <c r="AN89" s="81">
        <f>SUMIFS([1]инфо!$G$15:$G$28,[1]инфо!$A$15:$A$28,F89)</f>
        <v/>
      </c>
      <c r="AO89" s="64">
        <f>IF(H89=0,0,AA89/H89)</f>
        <v/>
      </c>
      <c r="AP89" s="82">
        <f>AO89-AN89</f>
        <v/>
      </c>
      <c r="AQ89" s="81">
        <f>SUMIFS([1]инфо!$H$15:$H$28,[1]инфо!$A$15:$A$28,F89)</f>
        <v/>
      </c>
      <c r="AR89" s="85">
        <f>IF(H88=0,0,AC89/H88)</f>
        <v/>
      </c>
      <c r="AS89" s="82">
        <f>AR89-AQ89</f>
        <v/>
      </c>
      <c r="AT89" s="81">
        <f>SUMIFS([1]инфо!$I$15:$I$28,[1]инфо!$A$15:$A$28,F89)</f>
        <v/>
      </c>
      <c r="AU89" s="62">
        <f>IF(H89=0,0,AD89/H89)</f>
        <v/>
      </c>
      <c r="AV89" s="82">
        <f>AU89-AT89</f>
        <v/>
      </c>
      <c r="AX89" s="80">
        <f>SUMIFS([1]инфо!$C$15:$C$28,[1]инфо!$A$15:$A$28,F89)*H88</f>
        <v/>
      </c>
    </row>
    <row r="90">
      <c r="A90" s="71">
        <f>A88+1</f>
        <v/>
      </c>
      <c r="B90" s="65" t="inlineStr">
        <is>
          <t>0062</t>
        </is>
      </c>
      <c r="C90" s="72" t="inlineStr">
        <is>
          <t>линия 2</t>
        </is>
      </c>
      <c r="D90" s="73" t="inlineStr">
        <is>
          <t>ночь</t>
        </is>
      </c>
      <c r="E90" s="66" t="inlineStr">
        <is>
          <t>Дауылбай</t>
        </is>
      </c>
      <c r="F90" s="67" t="inlineStr">
        <is>
          <t>8 волн рифленый</t>
        </is>
      </c>
      <c r="G90" s="68" t="n">
        <v>53</v>
      </c>
      <c r="H90" s="68" t="n">
        <v>2450</v>
      </c>
      <c r="I90" s="57">
        <f>IFERROR(H90*VLOOKUP(F90,[1]инфо!$A$15:$C$28,3,FALSE)/1000,0)</f>
        <v/>
      </c>
      <c r="J90" s="68" t="n">
        <v>2500</v>
      </c>
      <c r="K90" s="68" t="n">
        <v>31</v>
      </c>
      <c r="L90" s="68" t="n">
        <v>6</v>
      </c>
      <c r="M90" s="55" t="n">
        <v>175</v>
      </c>
      <c r="N90" s="67" t="n">
        <v>5330</v>
      </c>
      <c r="O90" s="74" t="n"/>
      <c r="P90" s="74" t="n"/>
      <c r="Q90" s="74" t="n">
        <v>18572</v>
      </c>
      <c r="R90" s="74" t="n">
        <v>15353</v>
      </c>
      <c r="S90" s="70">
        <f>SUM(O90:R90)</f>
        <v/>
      </c>
      <c r="T90" s="72" t="n"/>
      <c r="U90" s="73" t="n"/>
      <c r="V90" s="74" t="n"/>
      <c r="W90" s="74" t="n"/>
      <c r="X90" s="74" t="n"/>
      <c r="Y90" s="72" t="n">
        <v>530</v>
      </c>
      <c r="Z90" s="74" t="n"/>
      <c r="AA90" s="74" t="n">
        <v>106</v>
      </c>
      <c r="AB90" s="74" t="n"/>
      <c r="AC90" s="69" t="n">
        <v>530</v>
      </c>
      <c r="AD90" s="73" t="n">
        <v>180</v>
      </c>
      <c r="AE90" s="75">
        <f>SUMIFS([1]инфо!$D$15:$D$28,[1]инфо!$A$15:$A$28,F90)</f>
        <v/>
      </c>
      <c r="AF90" s="62">
        <f>IF(H90=0,0,N90/H90)</f>
        <v/>
      </c>
      <c r="AG90" s="76">
        <f>AF90-AE90</f>
        <v/>
      </c>
      <c r="AH90" s="75">
        <f>SUMIFS([1]инфо!$E$15:$E$28,[1]инфо!$A$15:$A$28,F90)</f>
        <v/>
      </c>
      <c r="AI90" s="64">
        <f>IF(H90=0,0,S90/H90)</f>
        <v/>
      </c>
      <c r="AJ90" s="76">
        <f>AI90-AH90</f>
        <v/>
      </c>
      <c r="AK90" s="75">
        <f>SUMIFS([1]инфо!$F$15:$F$28,[1]инфо!$A$15:$A$28,F90)</f>
        <v/>
      </c>
      <c r="AL90" s="64">
        <f>IF(H90=0,0,Y90/H90)</f>
        <v/>
      </c>
      <c r="AM90" s="76">
        <f>AL90-AK90</f>
        <v/>
      </c>
      <c r="AN90" s="75">
        <f>SUMIFS([1]инфо!$G$15:$G$28,[1]инфо!$A$15:$A$28,F90)</f>
        <v/>
      </c>
      <c r="AO90" s="64">
        <f>IF(H90=0,0,AA90/H90)</f>
        <v/>
      </c>
      <c r="AP90" s="76">
        <f>AO90-AN90</f>
        <v/>
      </c>
      <c r="AQ90" s="75">
        <f>SUMIFS([1]инфо!$H$15:$H$28,[1]инфо!$A$15:$A$28,F90)</f>
        <v/>
      </c>
      <c r="AR90" s="64">
        <f>IF(H89=0,0,AC90/H89)</f>
        <v/>
      </c>
      <c r="AS90" s="76">
        <f>AR90-AQ90</f>
        <v/>
      </c>
      <c r="AT90" s="75">
        <f>SUMIFS([1]инфо!$I$15:$I$28,[1]инфо!$A$15:$A$28,F90)</f>
        <v/>
      </c>
      <c r="AU90" s="62">
        <f>IF(H90=0,0,AD90/H90)</f>
        <v/>
      </c>
      <c r="AV90" s="76">
        <f>AU90-AT90</f>
        <v/>
      </c>
      <c r="AX90" s="70">
        <f>SUMIFS([1]инфо!$C$15:$C$28,[1]инфо!$A$15:$A$28,F90)*H89</f>
        <v/>
      </c>
    </row>
    <row r="91">
      <c r="A91" s="71">
        <f>A89+1</f>
        <v/>
      </c>
      <c r="B91" s="65" t="inlineStr">
        <is>
          <t>0063</t>
        </is>
      </c>
      <c r="C91" s="52" t="inlineStr">
        <is>
          <t>линия 2</t>
        </is>
      </c>
      <c r="D91" s="53" t="inlineStr">
        <is>
          <t>день</t>
        </is>
      </c>
      <c r="E91" s="66" t="inlineStr">
        <is>
          <t>Бекбосынов</t>
        </is>
      </c>
      <c r="F91" s="67" t="inlineStr">
        <is>
          <t>8 волн рифленый</t>
        </is>
      </c>
      <c r="G91" s="68" t="n">
        <v>43</v>
      </c>
      <c r="H91" s="68" t="n">
        <v>1970</v>
      </c>
      <c r="I91" s="57">
        <f>IFERROR(H91*VLOOKUP(F91,[1]инфо!$A$15:$C$28,3,FALSE)/1000,0)</f>
        <v/>
      </c>
      <c r="J91" s="68" t="n">
        <v>2000</v>
      </c>
      <c r="K91" s="68" t="n">
        <v>30</v>
      </c>
      <c r="L91" s="68" t="n">
        <v>2</v>
      </c>
      <c r="M91" s="55" t="n">
        <v>140</v>
      </c>
      <c r="N91" s="55" t="n">
        <v>4326</v>
      </c>
      <c r="O91" s="58" t="n"/>
      <c r="P91" s="58" t="n"/>
      <c r="Q91" s="58" t="n">
        <v>15358</v>
      </c>
      <c r="R91" s="58" t="n">
        <v>12151</v>
      </c>
      <c r="S91" s="59">
        <f>SUM(O91:R91)</f>
        <v/>
      </c>
      <c r="T91" s="52" t="n"/>
      <c r="U91" s="53" t="n"/>
      <c r="V91" s="58" t="n"/>
      <c r="W91" s="58" t="n"/>
      <c r="X91" s="58" t="n"/>
      <c r="Y91" s="52" t="n">
        <v>430</v>
      </c>
      <c r="Z91" s="58" t="n"/>
      <c r="AA91" s="58" t="n">
        <v>86</v>
      </c>
      <c r="AB91" s="58" t="n"/>
      <c r="AC91" s="69" t="n">
        <v>430</v>
      </c>
      <c r="AD91" s="53" t="n">
        <v>100</v>
      </c>
      <c r="AE91" s="61">
        <f>SUMIFS([1]инфо!$D$15:$D$28,[1]инфо!$A$15:$A$28,F91)</f>
        <v/>
      </c>
      <c r="AF91" s="62">
        <f>IF(H91=0,0,N91/H91)</f>
        <v/>
      </c>
      <c r="AG91" s="63">
        <f>AF91-AE91</f>
        <v/>
      </c>
      <c r="AH91" s="61">
        <f>SUMIFS([1]инфо!$E$15:$E$28,[1]инфо!$A$15:$A$28,F91)</f>
        <v/>
      </c>
      <c r="AI91" s="64">
        <f>IF(H91=0,0,S91/H91)</f>
        <v/>
      </c>
      <c r="AJ91" s="63">
        <f>AI91-AH91</f>
        <v/>
      </c>
      <c r="AK91" s="61">
        <f>SUMIFS([1]инфо!$F$15:$F$28,[1]инфо!$A$15:$A$28,F91)</f>
        <v/>
      </c>
      <c r="AL91" s="64">
        <f>IF(H91=0,0,Y91/H91)</f>
        <v/>
      </c>
      <c r="AM91" s="63">
        <f>AL91-AK91</f>
        <v/>
      </c>
      <c r="AN91" s="61">
        <f>SUMIFS([1]инфо!$G$15:$G$28,[1]инфо!$A$15:$A$28,F91)</f>
        <v/>
      </c>
      <c r="AO91" s="64">
        <f>IF(H91=0,0,AA91/H91)</f>
        <v/>
      </c>
      <c r="AP91" s="63">
        <f>AO91-AN91</f>
        <v/>
      </c>
      <c r="AQ91" s="61">
        <f>SUMIFS([1]инфо!$H$15:$H$28,[1]инфо!$A$15:$A$28,F91)</f>
        <v/>
      </c>
      <c r="AR91" s="62">
        <f>IF(H90=0,0,AC91/H90)</f>
        <v/>
      </c>
      <c r="AS91" s="63">
        <f>AR91-AQ91</f>
        <v/>
      </c>
      <c r="AT91" s="61">
        <f>SUMIFS([1]инфо!$I$15:$I$28,[1]инфо!$A$15:$A$28,F91)</f>
        <v/>
      </c>
      <c r="AU91" s="62">
        <f>IF(H91=0,0,AD91/H91)</f>
        <v/>
      </c>
      <c r="AV91" s="63">
        <f>AU91-AT91</f>
        <v/>
      </c>
      <c r="AX91" s="59">
        <f>SUMIFS([1]инфо!$C$15:$C$28,[1]инфо!$A$15:$A$28,F91)*H90</f>
        <v/>
      </c>
    </row>
    <row r="92">
      <c r="A92" s="71">
        <f>A90+1</f>
        <v/>
      </c>
      <c r="B92" s="65" t="inlineStr">
        <is>
          <t>0064</t>
        </is>
      </c>
      <c r="C92" s="52" t="inlineStr">
        <is>
          <t>линия 2</t>
        </is>
      </c>
      <c r="D92" s="53" t="inlineStr">
        <is>
          <t>ночь</t>
        </is>
      </c>
      <c r="E92" s="66" t="inlineStr">
        <is>
          <t>Монаев</t>
        </is>
      </c>
      <c r="F92" s="67" t="inlineStr">
        <is>
          <t>8 волн рифленый</t>
        </is>
      </c>
      <c r="G92" s="68" t="n">
        <v>65</v>
      </c>
      <c r="H92" s="68" t="n">
        <v>3000</v>
      </c>
      <c r="I92" s="57">
        <f>IFERROR(H92*VLOOKUP(F92,[1]инфо!$A$15:$C$28,3,FALSE)/1000,0)</f>
        <v/>
      </c>
      <c r="J92" s="68" t="n">
        <v>2750</v>
      </c>
      <c r="K92" s="68" t="n">
        <v>37</v>
      </c>
      <c r="L92" s="68" t="n">
        <v>1</v>
      </c>
      <c r="M92" s="55" t="n">
        <v>70</v>
      </c>
      <c r="N92" s="55" t="n">
        <v>6509</v>
      </c>
      <c r="O92" s="58" t="n"/>
      <c r="P92" s="58" t="n"/>
      <c r="Q92" s="58" t="n">
        <v>20490</v>
      </c>
      <c r="R92" s="58" t="n">
        <v>21087</v>
      </c>
      <c r="S92" s="59">
        <f>SUM(O92:R92)</f>
        <v/>
      </c>
      <c r="T92" s="52" t="n"/>
      <c r="U92" s="53" t="n"/>
      <c r="V92" s="58" t="n"/>
      <c r="W92" s="58" t="n"/>
      <c r="X92" s="58" t="n"/>
      <c r="Y92" s="52" t="n">
        <v>650</v>
      </c>
      <c r="Z92" s="58" t="n"/>
      <c r="AA92" s="58" t="n">
        <v>130</v>
      </c>
      <c r="AB92" s="58" t="n"/>
      <c r="AC92" s="69" t="n">
        <v>400</v>
      </c>
      <c r="AD92" s="53" t="n">
        <v>200</v>
      </c>
      <c r="AE92" s="61">
        <f>SUMIFS([1]инфо!$D$15:$D$28,[1]инфо!$A$15:$A$28,F92)</f>
        <v/>
      </c>
      <c r="AF92" s="62">
        <f>IF(H92=0,0,N92/H92)</f>
        <v/>
      </c>
      <c r="AG92" s="63">
        <f>AF92-AE92</f>
        <v/>
      </c>
      <c r="AH92" s="61">
        <f>SUMIFS([1]инфо!$E$15:$E$28,[1]инфо!$A$15:$A$28,F92)</f>
        <v/>
      </c>
      <c r="AI92" s="64">
        <f>IF(H92=0,0,S92/H92)</f>
        <v/>
      </c>
      <c r="AJ92" s="63">
        <f>AI92-AH92</f>
        <v/>
      </c>
      <c r="AK92" s="61">
        <f>SUMIFS([1]инфо!$F$15:$F$28,[1]инфо!$A$15:$A$28,F92)</f>
        <v/>
      </c>
      <c r="AL92" s="64">
        <f>IF(H92=0,0,Y92/H92)</f>
        <v/>
      </c>
      <c r="AM92" s="63">
        <f>AL92-AK92</f>
        <v/>
      </c>
      <c r="AN92" s="61">
        <f>SUMIFS([1]инфо!$G$15:$G$28,[1]инфо!$A$15:$A$28,F92)</f>
        <v/>
      </c>
      <c r="AO92" s="64">
        <f>IF(H92=0,0,AA92/H92)</f>
        <v/>
      </c>
      <c r="AP92" s="63">
        <f>AO92-AN92</f>
        <v/>
      </c>
      <c r="AQ92" s="61">
        <f>SUMIFS([1]инфо!$H$15:$H$28,[1]инфо!$A$15:$A$28,F92)</f>
        <v/>
      </c>
      <c r="AR92" s="62">
        <f>IF(H91=0,0,AC92/H91)</f>
        <v/>
      </c>
      <c r="AS92" s="63">
        <f>AR92-AQ92</f>
        <v/>
      </c>
      <c r="AT92" s="61">
        <f>SUMIFS([1]инфо!$I$15:$I$28,[1]инфо!$A$15:$A$28,F92)</f>
        <v/>
      </c>
      <c r="AU92" s="62">
        <f>IF(H92=0,0,AD92/H92)</f>
        <v/>
      </c>
      <c r="AV92" s="63">
        <f>AU92-AT92</f>
        <v/>
      </c>
      <c r="AX92" s="59">
        <f>SUMIFS([1]инфо!$C$15:$C$28,[1]инфо!$A$15:$A$28,F92)*H91</f>
        <v/>
      </c>
    </row>
    <row r="93">
      <c r="A93" s="71">
        <f>A91+1</f>
        <v/>
      </c>
      <c r="B93" s="65" t="inlineStr">
        <is>
          <t>0065</t>
        </is>
      </c>
      <c r="C93" s="77" t="inlineStr">
        <is>
          <t>линия 2</t>
        </is>
      </c>
      <c r="D93" s="78" t="inlineStr">
        <is>
          <t>день</t>
        </is>
      </c>
      <c r="E93" s="66" t="inlineStr">
        <is>
          <t>Султанулы</t>
        </is>
      </c>
      <c r="F93" s="67" t="inlineStr">
        <is>
          <t>8 волн рифленый</t>
        </is>
      </c>
      <c r="G93" s="68" t="n">
        <v>59</v>
      </c>
      <c r="H93" s="68" t="n">
        <v>2460</v>
      </c>
      <c r="I93" s="57">
        <f>IFERROR(H93*VLOOKUP(F93,[1]инфо!$A$15:$C$28,3,FALSE)/1000,0)</f>
        <v/>
      </c>
      <c r="J93" s="68" t="n">
        <v>2500</v>
      </c>
      <c r="K93" s="68" t="n">
        <v>5</v>
      </c>
      <c r="L93" s="68" t="n">
        <v>4</v>
      </c>
      <c r="M93" s="55" t="n">
        <v>26</v>
      </c>
      <c r="N93" s="56" t="n">
        <v>5909</v>
      </c>
      <c r="O93" s="79" t="n"/>
      <c r="P93" s="79" t="n"/>
      <c r="Q93" s="79" t="n">
        <v>19197</v>
      </c>
      <c r="R93" s="79" t="n">
        <v>18531</v>
      </c>
      <c r="S93" s="80">
        <f>SUM(O93:R93)</f>
        <v/>
      </c>
      <c r="T93" s="77" t="n"/>
      <c r="U93" s="78" t="n"/>
      <c r="V93" s="79" t="n"/>
      <c r="W93" s="79" t="n"/>
      <c r="X93" s="79" t="n"/>
      <c r="Y93" s="77" t="n">
        <v>590</v>
      </c>
      <c r="Z93" s="79" t="n"/>
      <c r="AA93" s="79" t="n">
        <v>118</v>
      </c>
      <c r="AB93" s="79" t="n"/>
      <c r="AC93" s="69" t="n">
        <v>450</v>
      </c>
      <c r="AD93" s="78" t="n">
        <v>295</v>
      </c>
      <c r="AE93" s="81">
        <f>SUMIFS([1]инфо!$D$15:$D$28,[1]инфо!$A$15:$A$28,F93)</f>
        <v/>
      </c>
      <c r="AF93" s="62">
        <f>IF(H93=0,0,N93/H93)</f>
        <v/>
      </c>
      <c r="AG93" s="82">
        <f>AF93-AE93</f>
        <v/>
      </c>
      <c r="AH93" s="81">
        <f>SUMIFS([1]инфо!$E$15:$E$28,[1]инфо!$A$15:$A$28,F93)</f>
        <v/>
      </c>
      <c r="AI93" s="64">
        <f>IF(H93=0,0,S93/H93)</f>
        <v/>
      </c>
      <c r="AJ93" s="82">
        <f>AI93-AH93</f>
        <v/>
      </c>
      <c r="AK93" s="81">
        <f>SUMIFS([1]инфо!$F$15:$F$28,[1]инфо!$A$15:$A$28,F93)</f>
        <v/>
      </c>
      <c r="AL93" s="64">
        <f>IF(H93=0,0,Y93/H93)</f>
        <v/>
      </c>
      <c r="AM93" s="82">
        <f>AL93-AK93</f>
        <v/>
      </c>
      <c r="AN93" s="81">
        <f>SUMIFS([1]инфо!$G$15:$G$28,[1]инфо!$A$15:$A$28,F93)</f>
        <v/>
      </c>
      <c r="AO93" s="64">
        <f>IF(H93=0,0,AA93/H93)</f>
        <v/>
      </c>
      <c r="AP93" s="82">
        <f>AO93-AN93</f>
        <v/>
      </c>
      <c r="AQ93" s="81">
        <f>SUMIFS([1]инфо!$H$15:$H$28,[1]инфо!$A$15:$A$28,F93)</f>
        <v/>
      </c>
      <c r="AR93" s="85">
        <f>IF(H92=0,0,AC93/H92)</f>
        <v/>
      </c>
      <c r="AS93" s="82">
        <f>AR93-AQ93</f>
        <v/>
      </c>
      <c r="AT93" s="81">
        <f>SUMIFS([1]инфо!$I$15:$I$28,[1]инфо!$A$15:$A$28,F93)</f>
        <v/>
      </c>
      <c r="AU93" s="62">
        <f>IF(H93=0,0,AD93/H93)</f>
        <v/>
      </c>
      <c r="AV93" s="82">
        <f>AU93-AT93</f>
        <v/>
      </c>
      <c r="AX93" s="80">
        <f>SUMIFS([1]инфо!$C$15:$C$28,[1]инфо!$A$15:$A$28,F93)*H92</f>
        <v/>
      </c>
    </row>
    <row r="94">
      <c r="A94" s="71">
        <f>A92+1</f>
        <v/>
      </c>
      <c r="B94" s="65" t="inlineStr">
        <is>
          <t>0066</t>
        </is>
      </c>
      <c r="C94" s="72" t="inlineStr">
        <is>
          <t>линия 2</t>
        </is>
      </c>
      <c r="D94" s="73" t="inlineStr">
        <is>
          <t>ночь</t>
        </is>
      </c>
      <c r="E94" s="66" t="inlineStr">
        <is>
          <t>Бекбосынов</t>
        </is>
      </c>
      <c r="F94" s="67" t="inlineStr">
        <is>
          <t>8 волн рифленый</t>
        </is>
      </c>
      <c r="G94" s="68" t="n">
        <v>57</v>
      </c>
      <c r="H94" s="68" t="n">
        <v>2660</v>
      </c>
      <c r="I94" s="57">
        <f>IFERROR(H94*VLOOKUP(F94,[1]инфо!$A$15:$C$28,3,FALSE)/1000,0)</f>
        <v/>
      </c>
      <c r="J94" s="68" t="n">
        <v>2750</v>
      </c>
      <c r="K94" s="68" t="n">
        <v>10</v>
      </c>
      <c r="L94" s="68" t="n">
        <v>20</v>
      </c>
      <c r="M94" s="55" t="n">
        <v>86</v>
      </c>
      <c r="N94" s="67" t="n">
        <v>5842</v>
      </c>
      <c r="O94" s="74" t="n"/>
      <c r="P94" s="74" t="n"/>
      <c r="Q94" s="74" t="n">
        <v>12486</v>
      </c>
      <c r="R94" s="74" t="n">
        <v>23659</v>
      </c>
      <c r="S94" s="70">
        <f>SUM(O94:R94)</f>
        <v/>
      </c>
      <c r="T94" s="72" t="n"/>
      <c r="U94" s="73" t="n"/>
      <c r="V94" s="74" t="n"/>
      <c r="W94" s="74" t="n"/>
      <c r="X94" s="74" t="n"/>
      <c r="Y94" s="72" t="n">
        <v>560</v>
      </c>
      <c r="Z94" s="74" t="n"/>
      <c r="AA94" s="74" t="n">
        <v>114</v>
      </c>
      <c r="AB94" s="74" t="n"/>
      <c r="AC94" s="69" t="n">
        <v>545</v>
      </c>
      <c r="AD94" s="73" t="n">
        <v>245</v>
      </c>
      <c r="AE94" s="75">
        <f>SUMIFS([1]инфо!$D$15:$D$28,[1]инфо!$A$15:$A$28,F94)</f>
        <v/>
      </c>
      <c r="AF94" s="62">
        <f>IF(H94=0,0,N94/H94)</f>
        <v/>
      </c>
      <c r="AG94" s="76">
        <f>AF94-AE94</f>
        <v/>
      </c>
      <c r="AH94" s="75">
        <f>SUMIFS([1]инфо!$E$15:$E$28,[1]инфо!$A$15:$A$28,F94)</f>
        <v/>
      </c>
      <c r="AI94" s="64">
        <f>IF(H94=0,0,S94/H94)</f>
        <v/>
      </c>
      <c r="AJ94" s="76">
        <f>AI94-AH94</f>
        <v/>
      </c>
      <c r="AK94" s="75">
        <f>SUMIFS([1]инфо!$F$15:$F$28,[1]инфо!$A$15:$A$28,F94)</f>
        <v/>
      </c>
      <c r="AL94" s="64">
        <f>IF(H94=0,0,Y94/H94)</f>
        <v/>
      </c>
      <c r="AM94" s="76">
        <f>AL94-AK94</f>
        <v/>
      </c>
      <c r="AN94" s="75">
        <f>SUMIFS([1]инфо!$G$15:$G$28,[1]инфо!$A$15:$A$28,F94)</f>
        <v/>
      </c>
      <c r="AO94" s="64">
        <f>IF(H94=0,0,AA94/H94)</f>
        <v/>
      </c>
      <c r="AP94" s="76">
        <f>AO94-AN94</f>
        <v/>
      </c>
      <c r="AQ94" s="75">
        <f>SUMIFS([1]инфо!$H$15:$H$28,[1]инфо!$A$15:$A$28,F94)</f>
        <v/>
      </c>
      <c r="AR94" s="64">
        <f>IF(H93=0,0,AC94/H93)</f>
        <v/>
      </c>
      <c r="AS94" s="76">
        <f>AR94-AQ94</f>
        <v/>
      </c>
      <c r="AT94" s="75">
        <f>SUMIFS([1]инфо!$I$15:$I$28,[1]инфо!$A$15:$A$28,F94)</f>
        <v/>
      </c>
      <c r="AU94" s="62">
        <f>IF(H94=0,0,AD94/H94)</f>
        <v/>
      </c>
      <c r="AV94" s="76">
        <f>AU94-AT94</f>
        <v/>
      </c>
      <c r="AX94" s="70">
        <f>SUMIFS([1]инфо!$C$15:$C$28,[1]инфо!$A$15:$A$28,F94)*H93</f>
        <v/>
      </c>
    </row>
    <row r="95">
      <c r="A95" s="71">
        <f>A93+1</f>
        <v/>
      </c>
      <c r="B95" s="65" t="inlineStr">
        <is>
          <t>0067</t>
        </is>
      </c>
      <c r="C95" s="52" t="inlineStr">
        <is>
          <t>линия 2</t>
        </is>
      </c>
      <c r="D95" s="53" t="inlineStr">
        <is>
          <t>день</t>
        </is>
      </c>
      <c r="E95" s="66" t="inlineStr">
        <is>
          <t>Дауылбай</t>
        </is>
      </c>
      <c r="F95" s="67" t="inlineStr">
        <is>
          <t>8 волн рифленый</t>
        </is>
      </c>
      <c r="G95" s="68" t="n">
        <v>15</v>
      </c>
      <c r="H95" s="68" t="n">
        <v>700</v>
      </c>
      <c r="I95" s="57">
        <f>IFERROR(H95*VLOOKUP(F95,[1]инфо!$A$15:$C$28,3,FALSE)/1000,0)</f>
        <v/>
      </c>
      <c r="J95" s="68" t="n">
        <v>1000</v>
      </c>
      <c r="K95" s="68" t="n">
        <v>14</v>
      </c>
      <c r="L95" s="68" t="n">
        <v>1</v>
      </c>
      <c r="M95" s="55" t="n">
        <v>58</v>
      </c>
      <c r="N95" s="55" t="n">
        <v>1504</v>
      </c>
      <c r="O95" s="58" t="n"/>
      <c r="P95" s="58" t="n"/>
      <c r="Q95" s="58" t="n">
        <v>4875</v>
      </c>
      <c r="R95" s="58" t="n">
        <v>5114</v>
      </c>
      <c r="S95" s="59">
        <f>SUM(O95:R95)</f>
        <v/>
      </c>
      <c r="T95" s="52" t="n"/>
      <c r="U95" s="53" t="n"/>
      <c r="V95" s="58" t="n"/>
      <c r="W95" s="58" t="n"/>
      <c r="X95" s="58" t="n"/>
      <c r="Y95" s="52" t="n">
        <v>150</v>
      </c>
      <c r="Z95" s="58" t="n"/>
      <c r="AA95" s="58" t="n">
        <v>30</v>
      </c>
      <c r="AB95" s="58" t="n"/>
      <c r="AC95" s="69" t="n">
        <v>150</v>
      </c>
      <c r="AD95" s="53" t="n">
        <v>55</v>
      </c>
      <c r="AE95" s="61">
        <f>SUMIFS([1]инфо!$D$15:$D$28,[1]инфо!$A$15:$A$28,F95)</f>
        <v/>
      </c>
      <c r="AF95" s="62">
        <f>IF(H95=0,0,N95/H95)</f>
        <v/>
      </c>
      <c r="AG95" s="63">
        <f>AF95-AE95</f>
        <v/>
      </c>
      <c r="AH95" s="61">
        <f>SUMIFS([1]инфо!$E$15:$E$28,[1]инфо!$A$15:$A$28,F95)</f>
        <v/>
      </c>
      <c r="AI95" s="64">
        <f>IF(H95=0,0,S95/H95)</f>
        <v/>
      </c>
      <c r="AJ95" s="63">
        <f>AI95-AH95</f>
        <v/>
      </c>
      <c r="AK95" s="61">
        <f>SUMIFS([1]инфо!$F$15:$F$28,[1]инфо!$A$15:$A$28,F95)</f>
        <v/>
      </c>
      <c r="AL95" s="64">
        <f>IF(H95=0,0,Y95/H95)</f>
        <v/>
      </c>
      <c r="AM95" s="63">
        <f>AL95-AK95</f>
        <v/>
      </c>
      <c r="AN95" s="61">
        <f>SUMIFS([1]инфо!$G$15:$G$28,[1]инфо!$A$15:$A$28,F95)</f>
        <v/>
      </c>
      <c r="AO95" s="64">
        <f>IF(H95=0,0,AA95/H95)</f>
        <v/>
      </c>
      <c r="AP95" s="63">
        <f>AO95-AN95</f>
        <v/>
      </c>
      <c r="AQ95" s="61">
        <f>SUMIFS([1]инфо!$H$15:$H$28,[1]инфо!$A$15:$A$28,F95)</f>
        <v/>
      </c>
      <c r="AR95" s="62">
        <f>IF(H94=0,0,AC95/H94)</f>
        <v/>
      </c>
      <c r="AS95" s="63">
        <f>AR95-AQ95</f>
        <v/>
      </c>
      <c r="AT95" s="61">
        <f>SUMIFS([1]инфо!$I$15:$I$28,[1]инфо!$A$15:$A$28,F95)</f>
        <v/>
      </c>
      <c r="AU95" s="62">
        <f>IF(H95=0,0,AD95/H95)</f>
        <v/>
      </c>
      <c r="AV95" s="63">
        <f>AU95-AT95</f>
        <v/>
      </c>
      <c r="AX95" s="59">
        <f>SUMIFS([1]инфо!$C$15:$C$28,[1]инфо!$A$15:$A$28,F95)*H94</f>
        <v/>
      </c>
    </row>
    <row r="96">
      <c r="A96" s="71">
        <f>A94+1</f>
        <v/>
      </c>
      <c r="B96" s="65" t="inlineStr">
        <is>
          <t>0068</t>
        </is>
      </c>
      <c r="C96" s="52" t="inlineStr">
        <is>
          <t>линия 2</t>
        </is>
      </c>
      <c r="D96" s="53" t="inlineStr">
        <is>
          <t>ночь</t>
        </is>
      </c>
      <c r="E96" s="66" t="inlineStr">
        <is>
          <t>Султанулы</t>
        </is>
      </c>
      <c r="F96" s="67" t="inlineStr">
        <is>
          <t>8 волн рифленый</t>
        </is>
      </c>
      <c r="G96" s="68" t="n">
        <v>31</v>
      </c>
      <c r="H96" s="68" t="n">
        <v>1250</v>
      </c>
      <c r="I96" s="57">
        <f>IFERROR(H96*VLOOKUP(F96,[1]инфо!$A$15:$C$28,3,FALSE)/1000,0)</f>
        <v/>
      </c>
      <c r="J96" s="68" t="n">
        <v>750</v>
      </c>
      <c r="K96" s="68" t="n">
        <v>6</v>
      </c>
      <c r="L96" s="68" t="n"/>
      <c r="M96" s="55" t="n">
        <v>101</v>
      </c>
      <c r="N96" s="55" t="n">
        <v>3138</v>
      </c>
      <c r="O96" s="58" t="n"/>
      <c r="P96" s="58" t="n"/>
      <c r="Q96" s="58" t="n">
        <v>10183</v>
      </c>
      <c r="R96" s="58" t="n">
        <v>9590</v>
      </c>
      <c r="S96" s="59">
        <f>SUM(O96:R96)</f>
        <v/>
      </c>
      <c r="T96" s="52" t="n"/>
      <c r="U96" s="53" t="n"/>
      <c r="V96" s="58" t="n"/>
      <c r="W96" s="58" t="n"/>
      <c r="X96" s="58" t="n"/>
      <c r="Y96" s="52" t="n">
        <v>310</v>
      </c>
      <c r="Z96" s="58" t="n"/>
      <c r="AA96" s="58" t="n">
        <v>62</v>
      </c>
      <c r="AB96" s="58" t="n"/>
      <c r="AC96" s="69" t="n">
        <v>310</v>
      </c>
      <c r="AD96" s="53" t="n">
        <v>155</v>
      </c>
      <c r="AE96" s="61">
        <f>SUMIFS([1]инфо!$D$15:$D$28,[1]инфо!$A$15:$A$28,F96)</f>
        <v/>
      </c>
      <c r="AF96" s="62">
        <f>IF(H96=0,0,N96/H96)</f>
        <v/>
      </c>
      <c r="AG96" s="63">
        <f>AF96-AE96</f>
        <v/>
      </c>
      <c r="AH96" s="61">
        <f>SUMIFS([1]инфо!$E$15:$E$28,[1]инфо!$A$15:$A$28,F96)</f>
        <v/>
      </c>
      <c r="AI96" s="64">
        <f>IF(H96=0,0,S96/H96)</f>
        <v/>
      </c>
      <c r="AJ96" s="63">
        <f>AI96-AH96</f>
        <v/>
      </c>
      <c r="AK96" s="61">
        <f>SUMIFS([1]инфо!$F$15:$F$28,[1]инфо!$A$15:$A$28,F96)</f>
        <v/>
      </c>
      <c r="AL96" s="64">
        <f>IF(H96=0,0,Y96/H96)</f>
        <v/>
      </c>
      <c r="AM96" s="63">
        <f>AL96-AK96</f>
        <v/>
      </c>
      <c r="AN96" s="61">
        <f>SUMIFS([1]инфо!$G$15:$G$28,[1]инфо!$A$15:$A$28,F96)</f>
        <v/>
      </c>
      <c r="AO96" s="64">
        <f>IF(H96=0,0,AA96/H96)</f>
        <v/>
      </c>
      <c r="AP96" s="63">
        <f>AO96-AN96</f>
        <v/>
      </c>
      <c r="AQ96" s="61">
        <f>SUMIFS([1]инфо!$H$15:$H$28,[1]инфо!$A$15:$A$28,F96)</f>
        <v/>
      </c>
      <c r="AR96" s="62">
        <f>IF(H95=0,0,AC96/H95)</f>
        <v/>
      </c>
      <c r="AS96" s="63">
        <f>AR96-AQ96</f>
        <v/>
      </c>
      <c r="AT96" s="61">
        <f>SUMIFS([1]инфо!$I$15:$I$28,[1]инфо!$A$15:$A$28,F96)</f>
        <v/>
      </c>
      <c r="AU96" s="62">
        <f>IF(H96=0,0,AD96/H96)</f>
        <v/>
      </c>
      <c r="AV96" s="63">
        <f>AU96-AT96</f>
        <v/>
      </c>
      <c r="AX96" s="59">
        <f>SUMIFS([1]инфо!$C$15:$C$28,[1]инфо!$A$15:$A$28,F96)*H95</f>
        <v/>
      </c>
    </row>
    <row r="97">
      <c r="A97" s="71">
        <f>A95+1</f>
        <v/>
      </c>
      <c r="B97" s="65" t="inlineStr">
        <is>
          <t>0069</t>
        </is>
      </c>
      <c r="C97" s="77" t="inlineStr">
        <is>
          <t>линия 2</t>
        </is>
      </c>
      <c r="D97" s="78" t="inlineStr">
        <is>
          <t>день</t>
        </is>
      </c>
      <c r="E97" s="66" t="inlineStr">
        <is>
          <t>Монаев</t>
        </is>
      </c>
      <c r="F97" s="67" t="inlineStr">
        <is>
          <t>8 волн рифленый</t>
        </is>
      </c>
      <c r="G97" s="68" t="n">
        <v>58</v>
      </c>
      <c r="H97" s="68" t="n">
        <v>2700</v>
      </c>
      <c r="I97" s="57">
        <f>IFERROR(H97*VLOOKUP(F97,[1]инфо!$A$15:$C$28,3,FALSE)/1000,0)</f>
        <v/>
      </c>
      <c r="J97" s="68" t="n">
        <v>2750</v>
      </c>
      <c r="K97" s="68" t="n">
        <v>23</v>
      </c>
      <c r="L97" s="68" t="n">
        <v>14</v>
      </c>
      <c r="M97" s="55" t="n">
        <v>85</v>
      </c>
      <c r="N97" s="56" t="n">
        <v>5718</v>
      </c>
      <c r="O97" s="79" t="n"/>
      <c r="P97" s="79" t="n"/>
      <c r="Q97" s="79" t="n">
        <v>18588</v>
      </c>
      <c r="R97" s="79" t="n">
        <v>18552</v>
      </c>
      <c r="S97" s="80">
        <f>SUM(O97:R97)</f>
        <v/>
      </c>
      <c r="T97" s="77" t="n"/>
      <c r="U97" s="78" t="n"/>
      <c r="V97" s="79" t="n"/>
      <c r="W97" s="79" t="n"/>
      <c r="X97" s="79" t="n"/>
      <c r="Y97" s="77" t="n">
        <v>580</v>
      </c>
      <c r="Z97" s="79" t="n"/>
      <c r="AA97" s="79" t="n">
        <v>116</v>
      </c>
      <c r="AB97" s="79" t="n"/>
      <c r="AC97" s="69" t="n">
        <v>580</v>
      </c>
      <c r="AD97" s="78" t="n">
        <v>290</v>
      </c>
      <c r="AE97" s="81">
        <f>SUMIFS([1]инфо!$D$15:$D$28,[1]инфо!$A$15:$A$28,F97)</f>
        <v/>
      </c>
      <c r="AF97" s="62">
        <f>IF(H97=0,0,N97/H97)</f>
        <v/>
      </c>
      <c r="AG97" s="82">
        <f>AF97-AE97</f>
        <v/>
      </c>
      <c r="AH97" s="81">
        <f>SUMIFS([1]инфо!$E$15:$E$28,[1]инфо!$A$15:$A$28,F97)</f>
        <v/>
      </c>
      <c r="AI97" s="64">
        <f>IF(H97=0,0,S97/H97)</f>
        <v/>
      </c>
      <c r="AJ97" s="82">
        <f>AI97-AH97</f>
        <v/>
      </c>
      <c r="AK97" s="81">
        <f>SUMIFS([1]инфо!$F$15:$F$28,[1]инфо!$A$15:$A$28,F97)</f>
        <v/>
      </c>
      <c r="AL97" s="64">
        <f>IF(H97=0,0,Y97/H97)</f>
        <v/>
      </c>
      <c r="AM97" s="82">
        <f>AL97-AK97</f>
        <v/>
      </c>
      <c r="AN97" s="81">
        <f>SUMIFS([1]инфо!$G$15:$G$28,[1]инфо!$A$15:$A$28,F97)</f>
        <v/>
      </c>
      <c r="AO97" s="64">
        <f>IF(H97=0,0,AA97/H97)</f>
        <v/>
      </c>
      <c r="AP97" s="82">
        <f>AO97-AN97</f>
        <v/>
      </c>
      <c r="AQ97" s="81">
        <f>SUMIFS([1]инфо!$H$15:$H$28,[1]инфо!$A$15:$A$28,F97)</f>
        <v/>
      </c>
      <c r="AR97" s="85">
        <f>IF(H96=0,0,AC97/H96)</f>
        <v/>
      </c>
      <c r="AS97" s="82">
        <f>AR97-AQ97</f>
        <v/>
      </c>
      <c r="AT97" s="81">
        <f>SUMIFS([1]инфо!$I$15:$I$28,[1]инфо!$A$15:$A$28,F97)</f>
        <v/>
      </c>
      <c r="AU97" s="62">
        <f>IF(H97=0,0,AD97/H97)</f>
        <v/>
      </c>
      <c r="AV97" s="82">
        <f>AU97-AT97</f>
        <v/>
      </c>
      <c r="AX97" s="80">
        <f>SUMIFS([1]инфо!$C$15:$C$28,[1]инфо!$A$15:$A$28,F97)*H96</f>
        <v/>
      </c>
    </row>
    <row r="98">
      <c r="A98" s="71">
        <f>A96+1</f>
        <v/>
      </c>
      <c r="B98" s="65" t="inlineStr">
        <is>
          <t>0070</t>
        </is>
      </c>
      <c r="C98" s="72" t="inlineStr">
        <is>
          <t>линия 2</t>
        </is>
      </c>
      <c r="D98" s="73" t="inlineStr">
        <is>
          <t>ночь</t>
        </is>
      </c>
      <c r="E98" s="66" t="inlineStr">
        <is>
          <t>Дауылбай</t>
        </is>
      </c>
      <c r="F98" s="67" t="inlineStr">
        <is>
          <t>8 волн рифленый</t>
        </is>
      </c>
      <c r="G98" s="68" t="n">
        <v>72</v>
      </c>
      <c r="H98" s="68" t="n">
        <v>3380</v>
      </c>
      <c r="I98" s="57">
        <f>IFERROR(H98*VLOOKUP(F98,[1]инфо!$A$15:$C$28,3,FALSE)/1000,0)</f>
        <v/>
      </c>
      <c r="J98" s="68" t="n">
        <v>3250</v>
      </c>
      <c r="K98" s="68" t="n">
        <v>6</v>
      </c>
      <c r="L98" s="68" t="n">
        <v>29</v>
      </c>
      <c r="M98" s="55" t="n">
        <v>57</v>
      </c>
      <c r="N98" s="67" t="n">
        <v>7233</v>
      </c>
      <c r="O98" s="74" t="n"/>
      <c r="P98" s="74" t="n"/>
      <c r="Q98" s="74" t="n">
        <v>22371</v>
      </c>
      <c r="R98" s="74" t="n">
        <v>23673</v>
      </c>
      <c r="S98" s="70">
        <f>SUM(O98:R98)</f>
        <v/>
      </c>
      <c r="T98" s="72" t="n"/>
      <c r="U98" s="73" t="n"/>
      <c r="V98" s="74" t="n"/>
      <c r="W98" s="74" t="n"/>
      <c r="X98" s="74" t="n"/>
      <c r="Y98" s="72" t="n">
        <v>720</v>
      </c>
      <c r="Z98" s="74" t="n"/>
      <c r="AA98" s="74" t="n">
        <v>144</v>
      </c>
      <c r="AB98" s="74" t="n"/>
      <c r="AC98" s="69" t="n">
        <v>720</v>
      </c>
      <c r="AD98" s="73" t="n">
        <v>205</v>
      </c>
      <c r="AE98" s="75">
        <f>SUMIFS([1]инфо!$D$15:$D$28,[1]инфо!$A$15:$A$28,F98)</f>
        <v/>
      </c>
      <c r="AF98" s="62">
        <f>IF(H98=0,0,N98/H98)</f>
        <v/>
      </c>
      <c r="AG98" s="76">
        <f>AF98-AE98</f>
        <v/>
      </c>
      <c r="AH98" s="75">
        <f>SUMIFS([1]инфо!$E$15:$E$28,[1]инфо!$A$15:$A$28,F98)</f>
        <v/>
      </c>
      <c r="AI98" s="64">
        <f>IF(H98=0,0,S98/H98)</f>
        <v/>
      </c>
      <c r="AJ98" s="76">
        <f>AI98-AH98</f>
        <v/>
      </c>
      <c r="AK98" s="75">
        <f>SUMIFS([1]инфо!$F$15:$F$28,[1]инфо!$A$15:$A$28,F98)</f>
        <v/>
      </c>
      <c r="AL98" s="64">
        <f>IF(H98=0,0,Y98/H98)</f>
        <v/>
      </c>
      <c r="AM98" s="76">
        <f>AL98-AK98</f>
        <v/>
      </c>
      <c r="AN98" s="75">
        <f>SUMIFS([1]инфо!$G$15:$G$28,[1]инфо!$A$15:$A$28,F98)</f>
        <v/>
      </c>
      <c r="AO98" s="64">
        <f>IF(H98=0,0,AA98/H98)</f>
        <v/>
      </c>
      <c r="AP98" s="76">
        <f>AO98-AN98</f>
        <v/>
      </c>
      <c r="AQ98" s="75">
        <f>SUMIFS([1]инфо!$H$15:$H$28,[1]инфо!$A$15:$A$28,F98)</f>
        <v/>
      </c>
      <c r="AR98" s="64">
        <f>IF(H97=0,0,AC98/H97)</f>
        <v/>
      </c>
      <c r="AS98" s="76">
        <f>AR98-AQ98</f>
        <v/>
      </c>
      <c r="AT98" s="75">
        <f>SUMIFS([1]инфо!$I$15:$I$28,[1]инфо!$A$15:$A$28,F98)</f>
        <v/>
      </c>
      <c r="AU98" s="62">
        <f>IF(H98=0,0,AD98/H98)</f>
        <v/>
      </c>
      <c r="AV98" s="76">
        <f>AU98-AT98</f>
        <v/>
      </c>
      <c r="AX98" s="70">
        <f>SUMIFS([1]инфо!$C$15:$C$28,[1]инфо!$A$15:$A$28,F98)*H97</f>
        <v/>
      </c>
    </row>
    <row r="99">
      <c r="A99" s="71">
        <f>A97+1</f>
        <v/>
      </c>
      <c r="B99" s="65" t="inlineStr">
        <is>
          <t>0071</t>
        </is>
      </c>
      <c r="C99" s="52" t="inlineStr">
        <is>
          <t>линия 2</t>
        </is>
      </c>
      <c r="D99" s="53" t="inlineStr">
        <is>
          <t>день</t>
        </is>
      </c>
      <c r="E99" s="66" t="inlineStr">
        <is>
          <t>Бекбосынов</t>
        </is>
      </c>
      <c r="F99" s="67" t="inlineStr">
        <is>
          <t>8 волн рифленый</t>
        </is>
      </c>
      <c r="G99" s="68" t="n">
        <v>54</v>
      </c>
      <c r="H99" s="68" t="n">
        <v>2500</v>
      </c>
      <c r="I99" s="57">
        <f>IFERROR(H99*VLOOKUP(F99,[1]инфо!$A$15:$C$28,3,FALSE)/1000,0)</f>
        <v/>
      </c>
      <c r="J99" s="68" t="n">
        <v>2750</v>
      </c>
      <c r="K99" s="68" t="n">
        <v>12</v>
      </c>
      <c r="L99" s="68" t="n">
        <v>9</v>
      </c>
      <c r="M99" s="55" t="n">
        <v>107</v>
      </c>
      <c r="N99" s="55" t="n">
        <v>5494</v>
      </c>
      <c r="O99" s="58" t="n"/>
      <c r="P99" s="58" t="n"/>
      <c r="Q99" s="58" t="n">
        <v>18110</v>
      </c>
      <c r="R99" s="58" t="n">
        <v>17243</v>
      </c>
      <c r="S99" s="59">
        <f>SUM(O99:R99)</f>
        <v/>
      </c>
      <c r="T99" s="52" t="n"/>
      <c r="U99" s="53" t="n"/>
      <c r="V99" s="58" t="n"/>
      <c r="W99" s="58" t="n"/>
      <c r="X99" s="58" t="n"/>
      <c r="Y99" s="52" t="n">
        <v>540</v>
      </c>
      <c r="Z99" s="58" t="n"/>
      <c r="AA99" s="58" t="n">
        <v>108</v>
      </c>
      <c r="AB99" s="58" t="n"/>
      <c r="AC99" s="69" t="n">
        <v>500</v>
      </c>
      <c r="AD99" s="53" t="n">
        <v>240</v>
      </c>
      <c r="AE99" s="61">
        <f>SUMIFS([1]инфо!$D$15:$D$28,[1]инфо!$A$15:$A$28,F99)</f>
        <v/>
      </c>
      <c r="AF99" s="62">
        <f>IF(H99=0,0,N99/H99)</f>
        <v/>
      </c>
      <c r="AG99" s="63">
        <f>AF99-AE99</f>
        <v/>
      </c>
      <c r="AH99" s="61">
        <f>SUMIFS([1]инфо!$E$15:$E$28,[1]инфо!$A$15:$A$28,F99)</f>
        <v/>
      </c>
      <c r="AI99" s="64">
        <f>IF(H99=0,0,S99/H99)</f>
        <v/>
      </c>
      <c r="AJ99" s="63">
        <f>AI99-AH99</f>
        <v/>
      </c>
      <c r="AK99" s="61">
        <f>SUMIFS([1]инфо!$F$15:$F$28,[1]инфо!$A$15:$A$28,F99)</f>
        <v/>
      </c>
      <c r="AL99" s="64">
        <f>IF(H99=0,0,Y99/H99)</f>
        <v/>
      </c>
      <c r="AM99" s="63">
        <f>AL99-AK99</f>
        <v/>
      </c>
      <c r="AN99" s="61">
        <f>SUMIFS([1]инфо!$G$15:$G$28,[1]инфо!$A$15:$A$28,F99)</f>
        <v/>
      </c>
      <c r="AO99" s="64">
        <f>IF(H99=0,0,AA99/H99)</f>
        <v/>
      </c>
      <c r="AP99" s="63">
        <f>AO99-AN99</f>
        <v/>
      </c>
      <c r="AQ99" s="61">
        <f>SUMIFS([1]инфо!$H$15:$H$28,[1]инфо!$A$15:$A$28,F99)</f>
        <v/>
      </c>
      <c r="AR99" s="62">
        <f>IF(H98=0,0,AC99/H98)</f>
        <v/>
      </c>
      <c r="AS99" s="63">
        <f>AR99-AQ99</f>
        <v/>
      </c>
      <c r="AT99" s="61">
        <f>SUMIFS([1]инфо!$I$15:$I$28,[1]инфо!$A$15:$A$28,F99)</f>
        <v/>
      </c>
      <c r="AU99" s="62">
        <f>IF(H99=0,0,AD99/H99)</f>
        <v/>
      </c>
      <c r="AV99" s="63">
        <f>AU99-AT99</f>
        <v/>
      </c>
      <c r="AX99" s="59">
        <f>SUMIFS([1]инфо!$C$15:$C$28,[1]инфо!$A$15:$A$28,F99)*H98</f>
        <v/>
      </c>
    </row>
    <row r="100">
      <c r="A100" s="71">
        <f>A98+1</f>
        <v/>
      </c>
      <c r="B100" s="65" t="inlineStr">
        <is>
          <t>0072</t>
        </is>
      </c>
      <c r="C100" s="52" t="inlineStr">
        <is>
          <t>линия 2</t>
        </is>
      </c>
      <c r="D100" s="53" t="inlineStr">
        <is>
          <t>ночь</t>
        </is>
      </c>
      <c r="E100" s="66" t="inlineStr">
        <is>
          <t>Монаев</t>
        </is>
      </c>
      <c r="F100" s="67" t="inlineStr">
        <is>
          <t>8 волн рифленый</t>
        </is>
      </c>
      <c r="G100" s="68" t="n">
        <v>69</v>
      </c>
      <c r="H100" s="68" t="n">
        <v>3080</v>
      </c>
      <c r="I100" s="57">
        <f>IFERROR(H100*VLOOKUP(F100,[1]инфо!$A$15:$C$28,3,FALSE)/1000,0)</f>
        <v/>
      </c>
      <c r="J100" s="68" t="n">
        <v>2750</v>
      </c>
      <c r="K100" s="68" t="n">
        <v>20</v>
      </c>
      <c r="L100" s="68" t="n">
        <v>20</v>
      </c>
      <c r="M100" s="55" t="n">
        <v>90</v>
      </c>
      <c r="N100" s="55" t="n">
        <v>7009</v>
      </c>
      <c r="O100" s="58" t="n"/>
      <c r="P100" s="58" t="n"/>
      <c r="Q100" s="58" t="n">
        <v>21715</v>
      </c>
      <c r="R100" s="58" t="n">
        <v>22399</v>
      </c>
      <c r="S100" s="59">
        <f>SUM(O100:R100)</f>
        <v/>
      </c>
      <c r="T100" s="52" t="n"/>
      <c r="U100" s="53" t="n"/>
      <c r="V100" s="58" t="n"/>
      <c r="W100" s="58" t="n"/>
      <c r="X100" s="58" t="n"/>
      <c r="Y100" s="52" t="n">
        <v>690</v>
      </c>
      <c r="Z100" s="58" t="n"/>
      <c r="AA100" s="58" t="n">
        <v>138</v>
      </c>
      <c r="AB100" s="58" t="n"/>
      <c r="AC100" s="69" t="n">
        <v>690</v>
      </c>
      <c r="AD100" s="53" t="n">
        <v>0</v>
      </c>
      <c r="AE100" s="61">
        <f>SUMIFS([1]инфо!$D$15:$D$28,[1]инфо!$A$15:$A$28,F100)</f>
        <v/>
      </c>
      <c r="AF100" s="62">
        <f>IF(H100=0,0,N100/H100)</f>
        <v/>
      </c>
      <c r="AG100" s="63">
        <f>AF100-AE100</f>
        <v/>
      </c>
      <c r="AH100" s="61">
        <f>SUMIFS([1]инфо!$E$15:$E$28,[1]инфо!$A$15:$A$28,F100)</f>
        <v/>
      </c>
      <c r="AI100" s="64">
        <f>IF(H100=0,0,S100/H100)</f>
        <v/>
      </c>
      <c r="AJ100" s="63">
        <f>AI100-AH100</f>
        <v/>
      </c>
      <c r="AK100" s="61">
        <f>SUMIFS([1]инфо!$F$15:$F$28,[1]инфо!$A$15:$A$28,F100)</f>
        <v/>
      </c>
      <c r="AL100" s="64">
        <f>IF(H100=0,0,Y100/H100)</f>
        <v/>
      </c>
      <c r="AM100" s="63">
        <f>AL100-AK100</f>
        <v/>
      </c>
      <c r="AN100" s="61">
        <f>SUMIFS([1]инфо!$G$15:$G$28,[1]инфо!$A$15:$A$28,F100)</f>
        <v/>
      </c>
      <c r="AO100" s="64">
        <f>IF(H100=0,0,AA100/H100)</f>
        <v/>
      </c>
      <c r="AP100" s="63">
        <f>AO100-AN100</f>
        <v/>
      </c>
      <c r="AQ100" s="61">
        <f>SUMIFS([1]инфо!$H$15:$H$28,[1]инфо!$A$15:$A$28,F100)</f>
        <v/>
      </c>
      <c r="AR100" s="62">
        <f>IF(H99=0,0,AC100/H99)</f>
        <v/>
      </c>
      <c r="AS100" s="63">
        <f>AR100-AQ100</f>
        <v/>
      </c>
      <c r="AT100" s="61">
        <f>SUMIFS([1]инфо!$I$15:$I$28,[1]инфо!$A$15:$A$28,F100)</f>
        <v/>
      </c>
      <c r="AU100" s="62">
        <f>IF(H100=0,0,AD100/H100)</f>
        <v/>
      </c>
      <c r="AV100" s="63">
        <f>AU100-AT100</f>
        <v/>
      </c>
      <c r="AX100" s="59">
        <f>SUMIFS([1]инфо!$C$15:$C$28,[1]инфо!$A$15:$A$28,F100)*H99</f>
        <v/>
      </c>
    </row>
    <row r="101">
      <c r="A101" s="71">
        <f>A99+1</f>
        <v/>
      </c>
      <c r="B101" s="65" t="inlineStr">
        <is>
          <t>0073</t>
        </is>
      </c>
      <c r="C101" s="77" t="inlineStr">
        <is>
          <t>линия 2</t>
        </is>
      </c>
      <c r="D101" s="78" t="inlineStr">
        <is>
          <t>день</t>
        </is>
      </c>
      <c r="E101" s="66" t="inlineStr">
        <is>
          <t>Султанулы</t>
        </is>
      </c>
      <c r="F101" s="67" t="inlineStr">
        <is>
          <t>8 волн рифленый</t>
        </is>
      </c>
      <c r="G101" s="68" t="n">
        <v>54</v>
      </c>
      <c r="H101" s="68" t="n">
        <v>2420</v>
      </c>
      <c r="I101" s="57">
        <f>IFERROR(H101*VLOOKUP(F101,[1]инфо!$A$15:$C$28,3,FALSE)/1000,0)</f>
        <v/>
      </c>
      <c r="J101" s="68" t="n">
        <v>2500</v>
      </c>
      <c r="K101" s="68" t="n">
        <v>15</v>
      </c>
      <c r="L101" s="68" t="n">
        <v>2</v>
      </c>
      <c r="M101" s="55" t="n">
        <v>97</v>
      </c>
      <c r="N101" s="56" t="n">
        <v>5501</v>
      </c>
      <c r="O101" s="79" t="n"/>
      <c r="P101" s="79" t="n"/>
      <c r="Q101" s="79" t="n">
        <v>14704</v>
      </c>
      <c r="R101" s="79" t="n">
        <v>19828</v>
      </c>
      <c r="S101" s="80">
        <f>SUM(O101:R101)</f>
        <v/>
      </c>
      <c r="T101" s="77" t="n"/>
      <c r="U101" s="78" t="n"/>
      <c r="V101" s="79" t="n"/>
      <c r="W101" s="79" t="n"/>
      <c r="X101" s="79" t="n"/>
      <c r="Y101" s="77" t="n">
        <v>540</v>
      </c>
      <c r="Z101" s="79" t="n"/>
      <c r="AA101" s="79" t="n">
        <v>108</v>
      </c>
      <c r="AB101" s="79" t="n"/>
      <c r="AC101" s="69" t="n">
        <v>540</v>
      </c>
      <c r="AD101" s="78" t="n">
        <v>54</v>
      </c>
      <c r="AE101" s="81">
        <f>SUMIFS([1]инфо!$D$15:$D$28,[1]инфо!$A$15:$A$28,F101)</f>
        <v/>
      </c>
      <c r="AF101" s="62">
        <f>IF(H101=0,0,N101/H101)</f>
        <v/>
      </c>
      <c r="AG101" s="82">
        <f>AF101-AE101</f>
        <v/>
      </c>
      <c r="AH101" s="81">
        <f>SUMIFS([1]инфо!$E$15:$E$28,[1]инфо!$A$15:$A$28,F101)</f>
        <v/>
      </c>
      <c r="AI101" s="64">
        <f>IF(H101=0,0,S101/H101)</f>
        <v/>
      </c>
      <c r="AJ101" s="82">
        <f>AI101-AH101</f>
        <v/>
      </c>
      <c r="AK101" s="81">
        <f>SUMIFS([1]инфо!$F$15:$F$28,[1]инфо!$A$15:$A$28,F101)</f>
        <v/>
      </c>
      <c r="AL101" s="64">
        <f>IF(H101=0,0,Y101/H101)</f>
        <v/>
      </c>
      <c r="AM101" s="82">
        <f>AL101-AK101</f>
        <v/>
      </c>
      <c r="AN101" s="81">
        <f>SUMIFS([1]инфо!$G$15:$G$28,[1]инфо!$A$15:$A$28,F101)</f>
        <v/>
      </c>
      <c r="AO101" s="64">
        <f>IF(H101=0,0,AA101/H101)</f>
        <v/>
      </c>
      <c r="AP101" s="82">
        <f>AO101-AN101</f>
        <v/>
      </c>
      <c r="AQ101" s="81">
        <f>SUMIFS([1]инфо!$H$15:$H$28,[1]инфо!$A$15:$A$28,F101)</f>
        <v/>
      </c>
      <c r="AR101" s="85">
        <f>IF(H100=0,0,AC101/H100)</f>
        <v/>
      </c>
      <c r="AS101" s="82">
        <f>AR101-AQ101</f>
        <v/>
      </c>
      <c r="AT101" s="81">
        <f>SUMIFS([1]инфо!$I$15:$I$28,[1]инфо!$A$15:$A$28,F101)</f>
        <v/>
      </c>
      <c r="AU101" s="62">
        <f>IF(H101=0,0,AD101/H101)</f>
        <v/>
      </c>
      <c r="AV101" s="82">
        <f>AU101-AT101</f>
        <v/>
      </c>
      <c r="AX101" s="80">
        <f>SUMIFS([1]инфо!$C$15:$C$28,[1]инфо!$A$15:$A$28,F101)*H100</f>
        <v/>
      </c>
    </row>
    <row r="102">
      <c r="A102" s="71">
        <f>A100+1</f>
        <v/>
      </c>
      <c r="B102" s="65" t="inlineStr">
        <is>
          <t>0074</t>
        </is>
      </c>
      <c r="C102" s="72" t="inlineStr">
        <is>
          <t>линия 2</t>
        </is>
      </c>
      <c r="D102" s="73" t="inlineStr">
        <is>
          <t>ночь</t>
        </is>
      </c>
      <c r="E102" s="66" t="inlineStr">
        <is>
          <t>Бекбосынов</t>
        </is>
      </c>
      <c r="F102" s="67" t="inlineStr">
        <is>
          <t>8 волн рифленый</t>
        </is>
      </c>
      <c r="G102" s="68" t="n">
        <v>61</v>
      </c>
      <c r="H102" s="68" t="n">
        <v>2800</v>
      </c>
      <c r="I102" s="57">
        <f>IFERROR(H102*VLOOKUP(F102,[1]инфо!$A$15:$C$28,3,FALSE)/1000,0)</f>
        <v/>
      </c>
      <c r="J102" s="68" t="n">
        <v>2750</v>
      </c>
      <c r="K102" s="68" t="n">
        <v>19</v>
      </c>
      <c r="L102" s="68" t="n">
        <v>27</v>
      </c>
      <c r="M102" s="55" t="n">
        <v>125</v>
      </c>
      <c r="N102" s="67" t="n">
        <v>6251</v>
      </c>
      <c r="O102" s="74" t="n"/>
      <c r="P102" s="74" t="n"/>
      <c r="Q102" s="74" t="n">
        <v>19825</v>
      </c>
      <c r="R102" s="74" t="n">
        <v>19822</v>
      </c>
      <c r="S102" s="70">
        <f>SUM(O102:R102)</f>
        <v/>
      </c>
      <c r="T102" s="72" t="n"/>
      <c r="U102" s="73" t="n"/>
      <c r="V102" s="74" t="n"/>
      <c r="W102" s="74" t="n"/>
      <c r="X102" s="74" t="n"/>
      <c r="Y102" s="72" t="n">
        <v>610</v>
      </c>
      <c r="Z102" s="74" t="n"/>
      <c r="AA102" s="74" t="n">
        <v>122</v>
      </c>
      <c r="AB102" s="74" t="n"/>
      <c r="AC102" s="69" t="n">
        <v>610</v>
      </c>
      <c r="AD102" s="73" t="n">
        <v>305</v>
      </c>
      <c r="AE102" s="75">
        <f>SUMIFS([1]инфо!$D$15:$D$28,[1]инфо!$A$15:$A$28,F102)</f>
        <v/>
      </c>
      <c r="AF102" s="62">
        <f>IF(H102=0,0,N102/H102)</f>
        <v/>
      </c>
      <c r="AG102" s="76">
        <f>AF102-AE102</f>
        <v/>
      </c>
      <c r="AH102" s="75">
        <f>SUMIFS([1]инфо!$E$15:$E$28,[1]инфо!$A$15:$A$28,F102)</f>
        <v/>
      </c>
      <c r="AI102" s="64">
        <f>IF(H102=0,0,S102/H102)</f>
        <v/>
      </c>
      <c r="AJ102" s="76">
        <f>AI102-AH102</f>
        <v/>
      </c>
      <c r="AK102" s="75">
        <f>SUMIFS([1]инфо!$F$15:$F$28,[1]инфо!$A$15:$A$28,F102)</f>
        <v/>
      </c>
      <c r="AL102" s="64">
        <f>IF(H102=0,0,Y102/H102)</f>
        <v/>
      </c>
      <c r="AM102" s="76">
        <f>AL102-AK102</f>
        <v/>
      </c>
      <c r="AN102" s="75">
        <f>SUMIFS([1]инфо!$G$15:$G$28,[1]инфо!$A$15:$A$28,F102)</f>
        <v/>
      </c>
      <c r="AO102" s="64">
        <f>IF(H102=0,0,AA102/H102)</f>
        <v/>
      </c>
      <c r="AP102" s="76">
        <f>AO102-AN102</f>
        <v/>
      </c>
      <c r="AQ102" s="75">
        <f>SUMIFS([1]инфо!$H$15:$H$28,[1]инфо!$A$15:$A$28,F102)</f>
        <v/>
      </c>
      <c r="AR102" s="64">
        <f>IF(H101=0,0,AC102/H101)</f>
        <v/>
      </c>
      <c r="AS102" s="76">
        <f>AR102-AQ102</f>
        <v/>
      </c>
      <c r="AT102" s="75">
        <f>SUMIFS([1]инфо!$I$15:$I$28,[1]инфо!$A$15:$A$28,F102)</f>
        <v/>
      </c>
      <c r="AU102" s="62">
        <f>IF(H102=0,0,AD102/H102)</f>
        <v/>
      </c>
      <c r="AV102" s="76">
        <f>AU102-AT102</f>
        <v/>
      </c>
      <c r="AX102" s="70">
        <f>SUMIFS([1]инфо!$C$15:$C$28,[1]инфо!$A$15:$A$28,F102)*H101</f>
        <v/>
      </c>
    </row>
    <row r="103">
      <c r="A103" s="71">
        <f>A101+1</f>
        <v/>
      </c>
      <c r="B103" s="65" t="inlineStr">
        <is>
          <t>0075</t>
        </is>
      </c>
      <c r="C103" s="52" t="inlineStr">
        <is>
          <t>линия 2</t>
        </is>
      </c>
      <c r="D103" s="53" t="inlineStr">
        <is>
          <t>день</t>
        </is>
      </c>
      <c r="E103" s="42" t="inlineStr">
        <is>
          <t>Дауылбай</t>
        </is>
      </c>
      <c r="F103" s="67" t="inlineStr">
        <is>
          <t>8 волн рифленый</t>
        </is>
      </c>
      <c r="G103" s="68" t="n"/>
      <c r="H103" s="68" t="n">
        <v>100</v>
      </c>
      <c r="I103" s="57">
        <f>IFERROR(H103*VLOOKUP(F103,[1]инфо!$A$15:$C$28,3,FALSE)/1000,0)</f>
        <v/>
      </c>
      <c r="J103" s="68" t="n">
        <v>1346</v>
      </c>
      <c r="K103" s="68" t="n">
        <v>48</v>
      </c>
      <c r="L103" s="68" t="n">
        <v>5</v>
      </c>
      <c r="M103" s="55" t="n"/>
      <c r="N103" s="55" t="n"/>
      <c r="O103" s="58" t="n"/>
      <c r="P103" s="58" t="n"/>
      <c r="Q103" s="58" t="n"/>
      <c r="R103" s="58" t="n"/>
      <c r="S103" s="59">
        <f>SUM(O103:R103)</f>
        <v/>
      </c>
      <c r="T103" s="52" t="n"/>
      <c r="U103" s="53" t="n"/>
      <c r="V103" s="58" t="n"/>
      <c r="W103" s="58" t="n"/>
      <c r="X103" s="58" t="n"/>
      <c r="Y103" s="52" t="n"/>
      <c r="Z103" s="58" t="n"/>
      <c r="AA103" s="58" t="n"/>
      <c r="AB103" s="58" t="n"/>
      <c r="AC103" s="69" t="n"/>
      <c r="AD103" s="53" t="n"/>
      <c r="AE103" s="61">
        <f>SUMIFS([1]инфо!$D$15:$D$28,[1]инфо!$A$15:$A$28,F103)</f>
        <v/>
      </c>
      <c r="AF103" s="62">
        <f>IF(H103=0,0,N103/H103)</f>
        <v/>
      </c>
      <c r="AG103" s="63">
        <f>AF103-AE103</f>
        <v/>
      </c>
      <c r="AH103" s="61">
        <f>SUMIFS([1]инфо!$E$15:$E$28,[1]инфо!$A$15:$A$28,F103)</f>
        <v/>
      </c>
      <c r="AI103" s="64">
        <f>IF(H103=0,0,S103/H103)</f>
        <v/>
      </c>
      <c r="AJ103" s="63">
        <f>AI103-AH103</f>
        <v/>
      </c>
      <c r="AK103" s="61">
        <f>SUMIFS([1]инфо!$F$15:$F$28,[1]инфо!$A$15:$A$28,F103)</f>
        <v/>
      </c>
      <c r="AL103" s="64">
        <f>IF(H103=0,0,Y103/H103)</f>
        <v/>
      </c>
      <c r="AM103" s="63">
        <f>AL103-AK103</f>
        <v/>
      </c>
      <c r="AN103" s="61">
        <f>SUMIFS([1]инфо!$G$15:$G$28,[1]инфо!$A$15:$A$28,F103)</f>
        <v/>
      </c>
      <c r="AO103" s="64">
        <f>IF(H103=0,0,AA103/H103)</f>
        <v/>
      </c>
      <c r="AP103" s="63">
        <f>AO103-AN103</f>
        <v/>
      </c>
      <c r="AQ103" s="61">
        <f>SUMIFS([1]инфо!$H$15:$H$28,[1]инфо!$A$15:$A$28,F103)</f>
        <v/>
      </c>
      <c r="AR103" s="62">
        <f>IF(H102=0,0,AC103/H102)</f>
        <v/>
      </c>
      <c r="AS103" s="63">
        <f>AR103-AQ103</f>
        <v/>
      </c>
      <c r="AT103" s="61">
        <f>SUMIFS([1]инфо!$I$15:$I$28,[1]инфо!$A$15:$A$28,F103)</f>
        <v/>
      </c>
      <c r="AU103" s="62">
        <f>IF(H103=0,0,AD103/H103)</f>
        <v/>
      </c>
      <c r="AV103" s="63">
        <f>AU103-AT103</f>
        <v/>
      </c>
      <c r="AX103" s="59">
        <f>SUMIFS([1]инфо!$C$15:$C$28,[1]инфо!$A$15:$A$28,F103)*H102</f>
        <v/>
      </c>
    </row>
    <row r="104">
      <c r="A104" s="71">
        <f>A102+1</f>
        <v/>
      </c>
      <c r="B104" s="65" t="inlineStr">
        <is>
          <t>0075</t>
        </is>
      </c>
      <c r="C104" s="52" t="inlineStr">
        <is>
          <t>линия 2</t>
        </is>
      </c>
      <c r="D104" s="53" t="inlineStr">
        <is>
          <t>день</t>
        </is>
      </c>
      <c r="E104" s="42" t="inlineStr">
        <is>
          <t>Дауылбай</t>
        </is>
      </c>
      <c r="F104" s="67" t="inlineStr">
        <is>
          <t>8 волн гладкий</t>
        </is>
      </c>
      <c r="G104" s="68" t="n">
        <v>37</v>
      </c>
      <c r="H104" s="68" t="n">
        <v>1600</v>
      </c>
      <c r="I104" s="57">
        <f>IFERROR(H104*VLOOKUP(F104,[1]инфо!$A$15:$C$28,3,FALSE)/1000,0)</f>
        <v/>
      </c>
      <c r="J104" s="68" t="n">
        <v>500</v>
      </c>
      <c r="K104" s="68" t="n">
        <v>14</v>
      </c>
      <c r="L104" s="68" t="n"/>
      <c r="M104" s="55" t="n">
        <v>96</v>
      </c>
      <c r="N104" s="55" t="n">
        <v>3768</v>
      </c>
      <c r="O104" s="58" t="n"/>
      <c r="P104" s="58" t="n"/>
      <c r="Q104" s="58" t="n">
        <v>12157</v>
      </c>
      <c r="R104" s="58" t="n">
        <v>11513</v>
      </c>
      <c r="S104" s="59" t="n">
        <v>23670</v>
      </c>
      <c r="T104" s="52" t="n"/>
      <c r="U104" s="53" t="n"/>
      <c r="V104" s="58" t="n"/>
      <c r="W104" s="58" t="n"/>
      <c r="X104" s="58" t="n"/>
      <c r="Y104" s="52" t="n">
        <v>370</v>
      </c>
      <c r="Z104" s="58" t="n"/>
      <c r="AA104" s="58" t="n">
        <v>74</v>
      </c>
      <c r="AB104" s="58" t="n"/>
      <c r="AC104" s="69" t="n">
        <v>370</v>
      </c>
      <c r="AD104" s="53" t="n">
        <v>185</v>
      </c>
      <c r="AE104" s="61" t="n"/>
      <c r="AF104" s="62" t="n"/>
      <c r="AG104" s="63" t="n"/>
      <c r="AH104" s="61" t="n"/>
      <c r="AI104" s="64" t="n"/>
      <c r="AJ104" s="63" t="n"/>
      <c r="AK104" s="61" t="n"/>
      <c r="AL104" s="64" t="n"/>
      <c r="AM104" s="63" t="n"/>
      <c r="AN104" s="61" t="n"/>
      <c r="AO104" s="64" t="n"/>
      <c r="AP104" s="63" t="n"/>
      <c r="AQ104" s="61" t="n"/>
      <c r="AR104" s="62" t="n"/>
      <c r="AS104" s="63" t="n"/>
      <c r="AT104" s="61" t="n"/>
      <c r="AU104" s="62">
        <f>IF(H104=0,0,AD104/H104)</f>
        <v/>
      </c>
      <c r="AV104" s="63" t="n"/>
      <c r="AX104" s="59" t="n"/>
    </row>
    <row r="105">
      <c r="A105" s="71">
        <f>A102+1</f>
        <v/>
      </c>
      <c r="B105" s="65" t="inlineStr">
        <is>
          <t>0076</t>
        </is>
      </c>
      <c r="C105" s="52" t="inlineStr">
        <is>
          <t>линия 2</t>
        </is>
      </c>
      <c r="D105" s="53" t="inlineStr">
        <is>
          <t>ночь</t>
        </is>
      </c>
      <c r="E105" s="66" t="inlineStr">
        <is>
          <t>Султанулы</t>
        </is>
      </c>
      <c r="F105" s="67" t="inlineStr">
        <is>
          <t>8 волн гладкий</t>
        </is>
      </c>
      <c r="G105" s="68" t="n">
        <v>63</v>
      </c>
      <c r="H105" s="68" t="n">
        <v>2830</v>
      </c>
      <c r="I105" s="57">
        <f>IFERROR(H105*VLOOKUP(F105,[1]инфо!$A$15:$C$28,3,FALSE)/1000,0)</f>
        <v/>
      </c>
      <c r="J105" s="68" t="n">
        <v>2500</v>
      </c>
      <c r="K105" s="68" t="n">
        <v>22</v>
      </c>
      <c r="L105" s="68" t="n">
        <v>6</v>
      </c>
      <c r="M105" s="55" t="n">
        <v>118</v>
      </c>
      <c r="N105" s="55" t="n">
        <v>6355</v>
      </c>
      <c r="O105" s="58" t="n"/>
      <c r="P105" s="58" t="n"/>
      <c r="Q105" s="58" t="n">
        <v>19832</v>
      </c>
      <c r="R105" s="58" t="n">
        <v>20466</v>
      </c>
      <c r="S105" s="59">
        <f>SUM(O105:R105)</f>
        <v/>
      </c>
      <c r="T105" s="52" t="n"/>
      <c r="U105" s="53" t="n"/>
      <c r="V105" s="58" t="n"/>
      <c r="W105" s="58" t="n"/>
      <c r="X105" s="58" t="n"/>
      <c r="Y105" s="52" t="n">
        <v>630</v>
      </c>
      <c r="Z105" s="58" t="n"/>
      <c r="AA105" s="58" t="n">
        <v>126</v>
      </c>
      <c r="AB105" s="58" t="n"/>
      <c r="AC105" s="69" t="n">
        <v>630</v>
      </c>
      <c r="AD105" s="53" t="n">
        <v>315</v>
      </c>
      <c r="AE105" s="61">
        <f>SUMIFS([1]инфо!$D$15:$D$28,[1]инфо!$A$15:$A$28,F105)</f>
        <v/>
      </c>
      <c r="AF105" s="62">
        <f>IF(H105=0,0,N105/H105)</f>
        <v/>
      </c>
      <c r="AG105" s="63">
        <f>AF105-AE105</f>
        <v/>
      </c>
      <c r="AH105" s="61">
        <f>SUMIFS([1]инфо!$E$15:$E$28,[1]инфо!$A$15:$A$28,F105)</f>
        <v/>
      </c>
      <c r="AI105" s="64">
        <f>IF(H105=0,0,S105/H105)</f>
        <v/>
      </c>
      <c r="AJ105" s="63">
        <f>AI105-AH105</f>
        <v/>
      </c>
      <c r="AK105" s="61">
        <f>SUMIFS([1]инфо!$F$15:$F$28,[1]инфо!$A$15:$A$28,F105)</f>
        <v/>
      </c>
      <c r="AL105" s="64">
        <f>IF(H105=0,0,Y105/H105)</f>
        <v/>
      </c>
      <c r="AM105" s="63">
        <f>AL105-AK105</f>
        <v/>
      </c>
      <c r="AN105" s="61">
        <f>SUMIFS([1]инфо!$G$15:$G$28,[1]инфо!$A$15:$A$28,F105)</f>
        <v/>
      </c>
      <c r="AO105" s="64">
        <f>IF(H105=0,0,AA105/H105)</f>
        <v/>
      </c>
      <c r="AP105" s="63">
        <f>AO105-AN105</f>
        <v/>
      </c>
      <c r="AQ105" s="61">
        <f>SUMIFS([1]инфо!$H$15:$H$28,[1]инфо!$A$15:$A$28,F105)</f>
        <v/>
      </c>
      <c r="AR105" s="62">
        <f>IF(H103=0,0,AC105/H103)</f>
        <v/>
      </c>
      <c r="AS105" s="63">
        <f>AR105-AQ105</f>
        <v/>
      </c>
      <c r="AT105" s="61">
        <f>SUMIFS([1]инфо!$I$15:$I$28,[1]инфо!$A$15:$A$28,F105)</f>
        <v/>
      </c>
      <c r="AU105" s="62">
        <f>IF(H105=0,0,AD105/H105)</f>
        <v/>
      </c>
      <c r="AV105" s="63">
        <f>AU105-AT105</f>
        <v/>
      </c>
      <c r="AX105" s="59">
        <f>SUMIFS([1]инфо!$C$15:$C$28,[1]инфо!$A$15:$A$28,F105)*H103</f>
        <v/>
      </c>
    </row>
    <row r="106">
      <c r="A106" s="71">
        <f>A103+1</f>
        <v/>
      </c>
      <c r="B106" s="65" t="inlineStr">
        <is>
          <t>0077</t>
        </is>
      </c>
      <c r="C106" s="77" t="inlineStr">
        <is>
          <t>линия 2</t>
        </is>
      </c>
      <c r="D106" s="78" t="inlineStr">
        <is>
          <t>день</t>
        </is>
      </c>
      <c r="E106" s="66" t="inlineStr">
        <is>
          <t>Монаев</t>
        </is>
      </c>
      <c r="F106" s="67" t="inlineStr">
        <is>
          <t>8 волн гладкий</t>
        </is>
      </c>
      <c r="G106" s="68" t="n">
        <v>45</v>
      </c>
      <c r="H106" s="68" t="n">
        <v>2130</v>
      </c>
      <c r="I106" s="57">
        <f>IFERROR(H106*VLOOKUP(F106,[1]инфо!$A$15:$C$28,3,FALSE)/1000,0)</f>
        <v/>
      </c>
      <c r="J106" s="68" t="n">
        <v>2250</v>
      </c>
      <c r="K106" s="68" t="n">
        <v>25</v>
      </c>
      <c r="L106" s="68" t="n">
        <v>9</v>
      </c>
      <c r="M106" s="55" t="n">
        <v>80</v>
      </c>
      <c r="N106" s="56" t="n">
        <v>4544</v>
      </c>
      <c r="O106" s="79" t="n"/>
      <c r="P106" s="79" t="n"/>
      <c r="Q106" s="79" t="n">
        <v>14063</v>
      </c>
      <c r="R106" s="79" t="n">
        <v>14707</v>
      </c>
      <c r="S106" s="80">
        <f>SUM(O106:R106)</f>
        <v/>
      </c>
      <c r="T106" s="77" t="n"/>
      <c r="U106" s="78" t="n"/>
      <c r="V106" s="79" t="n"/>
      <c r="W106" s="79" t="n"/>
      <c r="X106" s="79" t="n"/>
      <c r="Y106" s="77" t="n">
        <v>450</v>
      </c>
      <c r="Z106" s="79" t="n"/>
      <c r="AA106" s="79" t="n">
        <v>990</v>
      </c>
      <c r="AB106" s="79" t="n"/>
      <c r="AC106" s="69" t="n">
        <v>450</v>
      </c>
      <c r="AD106" s="78" t="n">
        <v>225</v>
      </c>
      <c r="AE106" s="81">
        <f>SUMIFS([1]инфо!$D$15:$D$28,[1]инфо!$A$15:$A$28,F106)</f>
        <v/>
      </c>
      <c r="AF106" s="62">
        <f>IF(H106=0,0,N106/H106)</f>
        <v/>
      </c>
      <c r="AG106" s="82">
        <f>AF106-AE106</f>
        <v/>
      </c>
      <c r="AH106" s="81">
        <f>SUMIFS([1]инфо!$E$15:$E$28,[1]инфо!$A$15:$A$28,F106)</f>
        <v/>
      </c>
      <c r="AI106" s="64">
        <f>IF(H106=0,0,S106/H106)</f>
        <v/>
      </c>
      <c r="AJ106" s="82">
        <f>AI106-AH106</f>
        <v/>
      </c>
      <c r="AK106" s="81">
        <f>SUMIFS([1]инфо!$F$15:$F$28,[1]инфо!$A$15:$A$28,F106)</f>
        <v/>
      </c>
      <c r="AL106" s="64">
        <f>IF(H106=0,0,Y106/H106)</f>
        <v/>
      </c>
      <c r="AM106" s="82">
        <f>AL106-AK106</f>
        <v/>
      </c>
      <c r="AN106" s="81">
        <f>SUMIFS([1]инфо!$G$15:$G$28,[1]инфо!$A$15:$A$28,F106)</f>
        <v/>
      </c>
      <c r="AO106" s="64">
        <f>IF(H106=0,0,AA106/H106)</f>
        <v/>
      </c>
      <c r="AP106" s="82">
        <f>AO106-AN106</f>
        <v/>
      </c>
      <c r="AQ106" s="81">
        <f>SUMIFS([1]инфо!$H$15:$H$28,[1]инфо!$A$15:$A$28,F106)</f>
        <v/>
      </c>
      <c r="AR106" s="85">
        <f>IF(H105=0,0,AC106/H105)</f>
        <v/>
      </c>
      <c r="AS106" s="82">
        <f>AR106-AQ106</f>
        <v/>
      </c>
      <c r="AT106" s="81">
        <f>SUMIFS([1]инфо!$I$15:$I$28,[1]инфо!$A$15:$A$28,F106)</f>
        <v/>
      </c>
      <c r="AU106" s="62">
        <f>IF(H106=0,0,AD106/H106)</f>
        <v/>
      </c>
      <c r="AV106" s="82">
        <f>AU106-AT106</f>
        <v/>
      </c>
      <c r="AX106" s="80">
        <f>SUMIFS([1]инфо!$C$15:$C$28,[1]инфо!$A$15:$A$28,F106)*H105</f>
        <v/>
      </c>
    </row>
    <row r="107">
      <c r="A107" s="71">
        <f>A105+1</f>
        <v/>
      </c>
      <c r="B107" s="65" t="inlineStr">
        <is>
          <t>0078</t>
        </is>
      </c>
      <c r="C107" s="72" t="inlineStr">
        <is>
          <t>линия 2</t>
        </is>
      </c>
      <c r="D107" s="73" t="inlineStr">
        <is>
          <t>ночь</t>
        </is>
      </c>
      <c r="E107" s="66" t="inlineStr">
        <is>
          <t>Дауылбай</t>
        </is>
      </c>
      <c r="F107" s="67" t="inlineStr">
        <is>
          <t>8 волн гладкий</t>
        </is>
      </c>
      <c r="G107" s="68" t="n">
        <v>71</v>
      </c>
      <c r="H107" s="68" t="n">
        <v>3250</v>
      </c>
      <c r="I107" s="57">
        <f>IFERROR(H107*VLOOKUP(F107,[1]инфо!$A$15:$C$28,3,FALSE)/1000,0)</f>
        <v/>
      </c>
      <c r="J107" s="68" t="n">
        <v>3000</v>
      </c>
      <c r="K107" s="68" t="n">
        <v>33</v>
      </c>
      <c r="L107" s="68" t="n">
        <v>3</v>
      </c>
      <c r="M107" s="55" t="n">
        <v>101</v>
      </c>
      <c r="N107" s="67" t="n">
        <v>7141</v>
      </c>
      <c r="O107" s="74" t="n"/>
      <c r="P107" s="74" t="n"/>
      <c r="Q107" s="74" t="n">
        <v>23030</v>
      </c>
      <c r="R107" s="74" t="n">
        <v>22396</v>
      </c>
      <c r="S107" s="70">
        <f>SUM(O107:R107)</f>
        <v/>
      </c>
      <c r="T107" s="72" t="n"/>
      <c r="U107" s="73" t="n"/>
      <c r="V107" s="74" t="n"/>
      <c r="W107" s="74" t="n"/>
      <c r="X107" s="74" t="n"/>
      <c r="Y107" s="72" t="n">
        <v>710</v>
      </c>
      <c r="Z107" s="74" t="n"/>
      <c r="AA107" s="74" t="n">
        <v>142</v>
      </c>
      <c r="AB107" s="74" t="n"/>
      <c r="AC107" s="69" t="n">
        <v>710</v>
      </c>
      <c r="AD107" s="73" t="n">
        <v>335</v>
      </c>
      <c r="AE107" s="75">
        <f>SUMIFS([1]инфо!$D$15:$D$28,[1]инфо!$A$15:$A$28,F107)</f>
        <v/>
      </c>
      <c r="AF107" s="62">
        <f>IF(H107=0,0,N107/H107)</f>
        <v/>
      </c>
      <c r="AG107" s="76">
        <f>AF107-AE107</f>
        <v/>
      </c>
      <c r="AH107" s="75">
        <f>SUMIFS([1]инфо!$E$15:$E$28,[1]инфо!$A$15:$A$28,F107)</f>
        <v/>
      </c>
      <c r="AI107" s="64">
        <f>IF(H107=0,0,S107/H107)</f>
        <v/>
      </c>
      <c r="AJ107" s="76">
        <f>AI107-AH107</f>
        <v/>
      </c>
      <c r="AK107" s="75">
        <f>SUMIFS([1]инфо!$F$15:$F$28,[1]инфо!$A$15:$A$28,F107)</f>
        <v/>
      </c>
      <c r="AL107" s="64">
        <f>IF(H107=0,0,Y107/H107)</f>
        <v/>
      </c>
      <c r="AM107" s="76">
        <f>AL107-AK107</f>
        <v/>
      </c>
      <c r="AN107" s="75">
        <f>SUMIFS([1]инфо!$G$15:$G$28,[1]инфо!$A$15:$A$28,F107)</f>
        <v/>
      </c>
      <c r="AO107" s="64">
        <f>IF(H107=0,0,AA107/H107)</f>
        <v/>
      </c>
      <c r="AP107" s="76">
        <f>AO107-AN107</f>
        <v/>
      </c>
      <c r="AQ107" s="75">
        <f>SUMIFS([1]инфо!$H$15:$H$28,[1]инфо!$A$15:$A$28,F107)</f>
        <v/>
      </c>
      <c r="AR107" s="64">
        <f>IF(H106=0,0,AC107/H106)</f>
        <v/>
      </c>
      <c r="AS107" s="76">
        <f>AR107-AQ107</f>
        <v/>
      </c>
      <c r="AT107" s="75">
        <f>SUMIFS([1]инфо!$I$15:$I$28,[1]инфо!$A$15:$A$28,F107)</f>
        <v/>
      </c>
      <c r="AU107" s="62">
        <f>IF(H107=0,0,AD107/H107)</f>
        <v/>
      </c>
      <c r="AV107" s="76">
        <f>AU107-AT107</f>
        <v/>
      </c>
      <c r="AX107" s="70">
        <f>SUMIFS([1]инфо!$C$15:$C$28,[1]инфо!$A$15:$A$28,F107)*H106</f>
        <v/>
      </c>
    </row>
    <row r="108">
      <c r="A108" s="71">
        <f>A106+1</f>
        <v/>
      </c>
      <c r="B108" s="65" t="inlineStr">
        <is>
          <t>0079</t>
        </is>
      </c>
      <c r="C108" s="52" t="inlineStr">
        <is>
          <t>линия 2</t>
        </is>
      </c>
      <c r="D108" s="53" t="inlineStr">
        <is>
          <t>день</t>
        </is>
      </c>
      <c r="E108" s="66" t="inlineStr">
        <is>
          <t>Бекбосынов</t>
        </is>
      </c>
      <c r="F108" s="67" t="inlineStr">
        <is>
          <t>8 волн гладкий</t>
        </is>
      </c>
      <c r="G108" s="68" t="n">
        <v>47</v>
      </c>
      <c r="H108" s="68" t="n">
        <v>2160</v>
      </c>
      <c r="I108" s="57">
        <f>IFERROR(H108*VLOOKUP(F108,[1]инфо!$A$15:$C$28,3,FALSE)/1000,0)</f>
        <v/>
      </c>
      <c r="J108" s="68" t="n">
        <v>2250</v>
      </c>
      <c r="K108" s="68" t="n">
        <v>13</v>
      </c>
      <c r="L108" s="68" t="n">
        <v>3</v>
      </c>
      <c r="M108" s="55" t="n">
        <v>92</v>
      </c>
      <c r="N108" s="55" t="n">
        <v>4671</v>
      </c>
      <c r="O108" s="58" t="n"/>
      <c r="P108" s="58" t="n"/>
      <c r="Q108" s="58" t="n">
        <v>15349</v>
      </c>
      <c r="R108" s="58" t="n">
        <v>14718</v>
      </c>
      <c r="S108" s="59">
        <f>SUM(O108:R108)</f>
        <v/>
      </c>
      <c r="T108" s="52" t="n"/>
      <c r="U108" s="53" t="n"/>
      <c r="V108" s="58" t="n"/>
      <c r="W108" s="58" t="n"/>
      <c r="X108" s="58" t="n"/>
      <c r="Y108" s="52" t="n">
        <v>470</v>
      </c>
      <c r="Z108" s="58" t="n"/>
      <c r="AA108" s="58" t="n">
        <v>94</v>
      </c>
      <c r="AB108" s="58" t="n"/>
      <c r="AC108" s="69" t="n">
        <v>470</v>
      </c>
      <c r="AD108" s="53" t="n">
        <v>235</v>
      </c>
      <c r="AE108" s="61">
        <f>SUMIFS([1]инфо!$D$15:$D$28,[1]инфо!$A$15:$A$28,F108)</f>
        <v/>
      </c>
      <c r="AF108" s="62">
        <f>IF(H108=0,0,N108/H108)</f>
        <v/>
      </c>
      <c r="AG108" s="63">
        <f>AF108-AE108</f>
        <v/>
      </c>
      <c r="AH108" s="61">
        <f>SUMIFS([1]инфо!$E$15:$E$28,[1]инфо!$A$15:$A$28,F108)</f>
        <v/>
      </c>
      <c r="AI108" s="64">
        <f>IF(H108=0,0,S108/H108)</f>
        <v/>
      </c>
      <c r="AJ108" s="63">
        <f>AI108-AH108</f>
        <v/>
      </c>
      <c r="AK108" s="61">
        <f>SUMIFS([1]инфо!$F$15:$F$28,[1]инфо!$A$15:$A$28,F108)</f>
        <v/>
      </c>
      <c r="AL108" s="64">
        <f>IF(H108=0,0,Y108/H108)</f>
        <v/>
      </c>
      <c r="AM108" s="63">
        <f>AL108-AK108</f>
        <v/>
      </c>
      <c r="AN108" s="61">
        <f>SUMIFS([1]инфо!$G$15:$G$28,[1]инфо!$A$15:$A$28,F108)</f>
        <v/>
      </c>
      <c r="AO108" s="64">
        <f>IF(H108=0,0,AA108/H108)</f>
        <v/>
      </c>
      <c r="AP108" s="63">
        <f>AO108-AN108</f>
        <v/>
      </c>
      <c r="AQ108" s="61">
        <f>SUMIFS([1]инфо!$H$15:$H$28,[1]инфо!$A$15:$A$28,F108)</f>
        <v/>
      </c>
      <c r="AR108" s="62">
        <f>IF(H107=0,0,AC108/H107)</f>
        <v/>
      </c>
      <c r="AS108" s="63">
        <f>AR108-AQ108</f>
        <v/>
      </c>
      <c r="AT108" s="61">
        <f>SUMIFS([1]инфо!$I$15:$I$28,[1]инфо!$A$15:$A$28,F108)</f>
        <v/>
      </c>
      <c r="AU108" s="62">
        <f>IF(H108=0,0,AD108/H108)</f>
        <v/>
      </c>
      <c r="AV108" s="63">
        <f>AU108-AT108</f>
        <v/>
      </c>
      <c r="AX108" s="59">
        <f>SUMIFS([1]инфо!$C$15:$C$28,[1]инфо!$A$15:$A$28,F108)*H107</f>
        <v/>
      </c>
    </row>
    <row r="109">
      <c r="A109" s="71">
        <f>A107+1</f>
        <v/>
      </c>
      <c r="B109" s="65" t="inlineStr">
        <is>
          <t>0080</t>
        </is>
      </c>
      <c r="C109" s="52" t="inlineStr">
        <is>
          <t>линия 2</t>
        </is>
      </c>
      <c r="D109" s="53" t="inlineStr">
        <is>
          <t>ночь</t>
        </is>
      </c>
      <c r="E109" s="66" t="inlineStr">
        <is>
          <t>Монаев</t>
        </is>
      </c>
      <c r="F109" s="67" t="inlineStr">
        <is>
          <t>8 волн гладкий</t>
        </is>
      </c>
      <c r="G109" s="68" t="n">
        <v>56</v>
      </c>
      <c r="H109" s="68" t="n">
        <v>2960</v>
      </c>
      <c r="I109" s="57">
        <f>IFERROR(H109*VLOOKUP(F109,[1]инфо!$A$15:$C$28,3,FALSE)/1000,0)</f>
        <v/>
      </c>
      <c r="J109" s="68" t="n">
        <v>2750</v>
      </c>
      <c r="K109" s="68" t="n">
        <v>83</v>
      </c>
      <c r="L109" s="68" t="n">
        <v>1</v>
      </c>
      <c r="M109" s="55" t="n">
        <v>192</v>
      </c>
      <c r="N109" s="55" t="n">
        <v>5628</v>
      </c>
      <c r="O109" s="58" t="n"/>
      <c r="P109" s="58" t="n"/>
      <c r="Q109" s="58" t="n">
        <v>17915</v>
      </c>
      <c r="R109" s="58" t="n">
        <v>17907</v>
      </c>
      <c r="S109" s="59">
        <f>SUM(O109:R109)</f>
        <v/>
      </c>
      <c r="T109" s="52" t="n"/>
      <c r="U109" s="53" t="n"/>
      <c r="V109" s="58" t="n"/>
      <c r="W109" s="58" t="n"/>
      <c r="X109" s="58" t="n"/>
      <c r="Y109" s="52" t="n">
        <v>560</v>
      </c>
      <c r="Z109" s="58" t="n"/>
      <c r="AA109" s="58" t="n">
        <v>112</v>
      </c>
      <c r="AB109" s="58" t="n"/>
      <c r="AC109" s="69" t="n">
        <v>560</v>
      </c>
      <c r="AD109" s="53" t="n">
        <v>280</v>
      </c>
      <c r="AE109" s="61">
        <f>SUMIFS([1]инфо!$D$15:$D$28,[1]инфо!$A$15:$A$28,F109)</f>
        <v/>
      </c>
      <c r="AF109" s="62">
        <f>IF(H109=0,0,N109/H109)</f>
        <v/>
      </c>
      <c r="AG109" s="63">
        <f>AF109-AE109</f>
        <v/>
      </c>
      <c r="AH109" s="61">
        <f>SUMIFS([1]инфо!$E$15:$E$28,[1]инфо!$A$15:$A$28,F109)</f>
        <v/>
      </c>
      <c r="AI109" s="64">
        <f>IF(H109=0,0,S109/H109)</f>
        <v/>
      </c>
      <c r="AJ109" s="63">
        <f>AI109-AH109</f>
        <v/>
      </c>
      <c r="AK109" s="61">
        <f>SUMIFS([1]инфо!$F$15:$F$28,[1]инфо!$A$15:$A$28,F109)</f>
        <v/>
      </c>
      <c r="AL109" s="64">
        <f>IF(H109=0,0,Y109/H109)</f>
        <v/>
      </c>
      <c r="AM109" s="63">
        <f>AL109-AK109</f>
        <v/>
      </c>
      <c r="AN109" s="61">
        <f>SUMIFS([1]инфо!$G$15:$G$28,[1]инфо!$A$15:$A$28,F109)</f>
        <v/>
      </c>
      <c r="AO109" s="64">
        <f>IF(H109=0,0,AA109/H109)</f>
        <v/>
      </c>
      <c r="AP109" s="63">
        <f>AO109-AN109</f>
        <v/>
      </c>
      <c r="AQ109" s="61">
        <f>SUMIFS([1]инфо!$H$15:$H$28,[1]инфо!$A$15:$A$28,F109)</f>
        <v/>
      </c>
      <c r="AR109" s="62">
        <f>IF(H108=0,0,AC109/H108)</f>
        <v/>
      </c>
      <c r="AS109" s="63">
        <f>AR109-AQ109</f>
        <v/>
      </c>
      <c r="AT109" s="61">
        <f>SUMIFS([1]инфо!$I$15:$I$28,[1]инфо!$A$15:$A$28,F109)</f>
        <v/>
      </c>
      <c r="AU109" s="62">
        <f>IF(H109=0,0,AD109/H109)</f>
        <v/>
      </c>
      <c r="AV109" s="63">
        <f>AU109-AT109</f>
        <v/>
      </c>
      <c r="AX109" s="59">
        <f>SUMIFS([1]инфо!$C$15:$C$28,[1]инфо!$A$15:$A$28,F109)*H108</f>
        <v/>
      </c>
    </row>
    <row r="110">
      <c r="A110" s="71">
        <f>A108+1</f>
        <v/>
      </c>
      <c r="B110" s="65" t="inlineStr">
        <is>
          <t>0081</t>
        </is>
      </c>
      <c r="C110" s="77" t="inlineStr">
        <is>
          <t>линия 2</t>
        </is>
      </c>
      <c r="D110" s="78" t="inlineStr">
        <is>
          <t>день</t>
        </is>
      </c>
      <c r="E110" s="66" t="inlineStr">
        <is>
          <t>Султанулы</t>
        </is>
      </c>
      <c r="F110" s="67" t="inlineStr">
        <is>
          <t>8 волн гладкий</t>
        </is>
      </c>
      <c r="G110" s="68" t="n">
        <v>5</v>
      </c>
      <c r="H110" s="68" t="n">
        <v>260</v>
      </c>
      <c r="I110" s="57">
        <f>IFERROR(H110*VLOOKUP(F110,[1]инфо!$A$15:$C$28,3,FALSE)/1000,0)</f>
        <v/>
      </c>
      <c r="J110" s="68" t="n">
        <v>250</v>
      </c>
      <c r="K110" s="68" t="n">
        <v>1</v>
      </c>
      <c r="L110" s="68" t="n">
        <v>3</v>
      </c>
      <c r="M110" s="55" t="n">
        <v>20</v>
      </c>
      <c r="N110" s="56" t="n">
        <v>486</v>
      </c>
      <c r="O110" s="79" t="n"/>
      <c r="P110" s="79" t="n"/>
      <c r="Q110" s="79" t="n">
        <v>1920</v>
      </c>
      <c r="R110" s="79" t="n">
        <v>1240</v>
      </c>
      <c r="S110" s="80">
        <f>SUM(O110:R110)</f>
        <v/>
      </c>
      <c r="T110" s="77" t="n"/>
      <c r="U110" s="78" t="n"/>
      <c r="V110" s="79" t="n"/>
      <c r="W110" s="79" t="n"/>
      <c r="X110" s="79" t="n"/>
      <c r="Y110" s="77" t="n">
        <v>50</v>
      </c>
      <c r="Z110" s="79" t="n"/>
      <c r="AA110" s="79" t="n">
        <v>10</v>
      </c>
      <c r="AB110" s="79" t="n"/>
      <c r="AC110" s="69" t="n">
        <v>50</v>
      </c>
      <c r="AD110" s="78" t="n">
        <v>25</v>
      </c>
      <c r="AE110" s="81">
        <f>SUMIFS([1]инфо!$D$15:$D$28,[1]инфо!$A$15:$A$28,F110)</f>
        <v/>
      </c>
      <c r="AF110" s="62">
        <f>IF(H110=0,0,N110/H110)</f>
        <v/>
      </c>
      <c r="AG110" s="82">
        <f>AF110-AE110</f>
        <v/>
      </c>
      <c r="AH110" s="81">
        <f>SUMIFS([1]инфо!$E$15:$E$28,[1]инфо!$A$15:$A$28,F110)</f>
        <v/>
      </c>
      <c r="AI110" s="64">
        <f>IF(H110=0,0,S110/H110)</f>
        <v/>
      </c>
      <c r="AJ110" s="82">
        <f>AI110-AH110</f>
        <v/>
      </c>
      <c r="AK110" s="81">
        <f>SUMIFS([1]инфо!$F$15:$F$28,[1]инфо!$A$15:$A$28,F110)</f>
        <v/>
      </c>
      <c r="AL110" s="64">
        <f>IF(H110=0,0,Y110/H110)</f>
        <v/>
      </c>
      <c r="AM110" s="82">
        <f>AL110-AK110</f>
        <v/>
      </c>
      <c r="AN110" s="81">
        <f>SUMIFS([1]инфо!$G$15:$G$28,[1]инфо!$A$15:$A$28,F110)</f>
        <v/>
      </c>
      <c r="AO110" s="64">
        <f>IF(H110=0,0,AA110/H110)</f>
        <v/>
      </c>
      <c r="AP110" s="82">
        <f>AO110-AN110</f>
        <v/>
      </c>
      <c r="AQ110" s="81">
        <f>SUMIFS([1]инфо!$H$15:$H$28,[1]инфо!$A$15:$A$28,F110)</f>
        <v/>
      </c>
      <c r="AR110" s="85">
        <f>IF(H109=0,0,AC110/H109)</f>
        <v/>
      </c>
      <c r="AS110" s="82">
        <f>AR110-AQ110</f>
        <v/>
      </c>
      <c r="AT110" s="81">
        <f>SUMIFS([1]инфо!$I$15:$I$28,[1]инфо!$A$15:$A$28,F110)</f>
        <v/>
      </c>
      <c r="AU110" s="62">
        <f>IF(H110=0,0,AD110/H110)</f>
        <v/>
      </c>
      <c r="AV110" s="82">
        <f>AU110-AT110</f>
        <v/>
      </c>
      <c r="AX110" s="80">
        <f>SUMIFS([1]инфо!$C$15:$C$28,[1]инфо!$A$15:$A$28,F110)*H109</f>
        <v/>
      </c>
    </row>
    <row r="111">
      <c r="A111" s="71">
        <f>A109+1</f>
        <v/>
      </c>
      <c r="B111" s="65" t="n"/>
      <c r="C111" s="72" t="inlineStr">
        <is>
          <t>линия 2</t>
        </is>
      </c>
      <c r="D111" s="73" t="inlineStr">
        <is>
          <t>ночь</t>
        </is>
      </c>
      <c r="E111" s="66" t="inlineStr">
        <is>
          <t>Султанулы</t>
        </is>
      </c>
      <c r="F111" s="67" t="inlineStr">
        <is>
          <t>8 волн гладкий</t>
        </is>
      </c>
      <c r="G111" s="68" t="n"/>
      <c r="H111" s="68" t="n"/>
      <c r="I111" s="57">
        <f>IFERROR(H111*VLOOKUP(F111,[1]инфо!$A$15:$C$28,3,FALSE)/1000,0)</f>
        <v/>
      </c>
      <c r="J111" s="68" t="n"/>
      <c r="K111" s="68" t="n"/>
      <c r="L111" s="68" t="n"/>
      <c r="M111" s="55" t="n"/>
      <c r="N111" s="67" t="n"/>
      <c r="O111" s="74" t="n"/>
      <c r="P111" s="74" t="n"/>
      <c r="Q111" s="74" t="n"/>
      <c r="R111" s="74" t="n"/>
      <c r="S111" s="70">
        <f>SUM(O111:R111)</f>
        <v/>
      </c>
      <c r="T111" s="72" t="n"/>
      <c r="U111" s="73" t="n"/>
      <c r="V111" s="74" t="n"/>
      <c r="W111" s="74" t="n"/>
      <c r="X111" s="74" t="n"/>
      <c r="Y111" s="72" t="n"/>
      <c r="Z111" s="74" t="n"/>
      <c r="AA111" s="74" t="n"/>
      <c r="AB111" s="74" t="n"/>
      <c r="AC111" s="69" t="n"/>
      <c r="AD111" s="73" t="n"/>
      <c r="AE111" s="75">
        <f>SUMIFS([1]инфо!$D$15:$D$28,[1]инфо!$A$15:$A$28,F111)</f>
        <v/>
      </c>
      <c r="AF111" s="62">
        <f>IF(H111=0,0,N111/H111)</f>
        <v/>
      </c>
      <c r="AG111" s="76">
        <f>AF111-AE111</f>
        <v/>
      </c>
      <c r="AH111" s="75">
        <f>SUMIFS([1]инфо!$E$15:$E$28,[1]инфо!$A$15:$A$28,F111)</f>
        <v/>
      </c>
      <c r="AI111" s="64">
        <f>IF(H111=0,0,S111/H111)</f>
        <v/>
      </c>
      <c r="AJ111" s="76">
        <f>AI111-AH111</f>
        <v/>
      </c>
      <c r="AK111" s="75">
        <f>SUMIFS([1]инфо!$F$15:$F$28,[1]инфо!$A$15:$A$28,F111)</f>
        <v/>
      </c>
      <c r="AL111" s="64">
        <f>IF(H111=0,0,Y111/H111)</f>
        <v/>
      </c>
      <c r="AM111" s="76">
        <f>AL111-AK111</f>
        <v/>
      </c>
      <c r="AN111" s="75">
        <f>SUMIFS([1]инфо!$G$15:$G$28,[1]инфо!$A$15:$A$28,F111)</f>
        <v/>
      </c>
      <c r="AO111" s="64">
        <f>IF(H111=0,0,AA111/H111)</f>
        <v/>
      </c>
      <c r="AP111" s="76">
        <f>AO111-AN111</f>
        <v/>
      </c>
      <c r="AQ111" s="75">
        <f>SUMIFS([1]инфо!$H$15:$H$28,[1]инфо!$A$15:$A$28,F111)</f>
        <v/>
      </c>
      <c r="AR111" s="64">
        <f>IF(H110=0,0,AC111/H110)</f>
        <v/>
      </c>
      <c r="AS111" s="76">
        <f>AR111-AQ111</f>
        <v/>
      </c>
      <c r="AT111" s="75">
        <f>SUMIFS([1]инфо!$I$15:$I$28,[1]инфо!$A$15:$A$28,F111)</f>
        <v/>
      </c>
      <c r="AU111" s="62">
        <f>IF(H111=0,0,AD111/H111)</f>
        <v/>
      </c>
      <c r="AV111" s="76">
        <f>AU111-AT111</f>
        <v/>
      </c>
      <c r="AX111" s="70">
        <f>SUMIFS([1]инфо!$C$15:$C$28,[1]инфо!$A$15:$A$28,F111)*H110</f>
        <v/>
      </c>
    </row>
    <row r="112">
      <c r="A112" s="71">
        <f>A110+1</f>
        <v/>
      </c>
      <c r="B112" s="65" t="n"/>
      <c r="C112" s="52" t="n"/>
      <c r="D112" s="53" t="n"/>
      <c r="E112" s="66" t="n"/>
      <c r="F112" s="67" t="n"/>
      <c r="G112" s="68" t="n"/>
      <c r="H112" s="68" t="n"/>
      <c r="I112" s="57">
        <f>IFERROR(H112*VLOOKUP(F112,[1]инфо!$A$15:$C$28,3,FALSE)/1000,0)</f>
        <v/>
      </c>
      <c r="J112" s="68" t="n"/>
      <c r="K112" s="68" t="n"/>
      <c r="L112" s="68" t="n"/>
      <c r="M112" s="55" t="n"/>
      <c r="N112" s="55" t="n"/>
      <c r="O112" s="58" t="n"/>
      <c r="P112" s="58" t="n"/>
      <c r="Q112" s="58" t="n"/>
      <c r="R112" s="58" t="n"/>
      <c r="S112" s="59">
        <f>SUM(O112:R112)</f>
        <v/>
      </c>
      <c r="T112" s="52" t="n"/>
      <c r="U112" s="53" t="n"/>
      <c r="V112" s="58" t="n"/>
      <c r="W112" s="58" t="n"/>
      <c r="X112" s="58" t="n">
        <v>2310</v>
      </c>
      <c r="Y112" s="52" t="n"/>
      <c r="Z112" s="58" t="n"/>
      <c r="AA112" s="58" t="n"/>
      <c r="AB112" s="58" t="n"/>
      <c r="AC112" s="69" t="n"/>
      <c r="AD112" s="53" t="n"/>
      <c r="AE112" s="61">
        <f>SUMIFS([1]инфо!$D$15:$D$28,[1]инфо!$A$15:$A$28,F112)</f>
        <v/>
      </c>
      <c r="AF112" s="62">
        <f>IF(H112=0,0,N112/H112)</f>
        <v/>
      </c>
      <c r="AG112" s="63">
        <f>AF112-AE112</f>
        <v/>
      </c>
      <c r="AH112" s="61">
        <f>SUMIFS([1]инфо!$E$15:$E$28,[1]инфо!$A$15:$A$28,F112)</f>
        <v/>
      </c>
      <c r="AI112" s="64">
        <f>IF(H112=0,0,S112/H112)</f>
        <v/>
      </c>
      <c r="AJ112" s="63">
        <f>AI112-AH112</f>
        <v/>
      </c>
      <c r="AK112" s="61">
        <f>SUMIFS([1]инфо!$F$15:$F$28,[1]инфо!$A$15:$A$28,F112)</f>
        <v/>
      </c>
      <c r="AL112" s="64">
        <f>IF(H112=0,0,Y112/H112)</f>
        <v/>
      </c>
      <c r="AM112" s="63">
        <f>AL112-AK112</f>
        <v/>
      </c>
      <c r="AN112" s="61">
        <f>SUMIFS([1]инфо!$G$15:$G$28,[1]инфо!$A$15:$A$28,F112)</f>
        <v/>
      </c>
      <c r="AO112" s="64">
        <f>IF(H112=0,0,AA112/H112)</f>
        <v/>
      </c>
      <c r="AP112" s="63">
        <f>AO112-AN112</f>
        <v/>
      </c>
      <c r="AQ112" s="61">
        <f>SUMIFS([1]инфо!$H$15:$H$28,[1]инфо!$A$15:$A$28,F112)</f>
        <v/>
      </c>
      <c r="AR112" s="62">
        <f>IF(H111=0,0,AC112/H111)</f>
        <v/>
      </c>
      <c r="AS112" s="63">
        <f>AR112-AQ112</f>
        <v/>
      </c>
      <c r="AT112" s="61">
        <f>SUMIFS([1]инфо!$I$15:$I$28,[1]инфо!$A$15:$A$28,F112)</f>
        <v/>
      </c>
      <c r="AU112" s="62">
        <f>IF(H112=0,0,AD112/H112)</f>
        <v/>
      </c>
      <c r="AV112" s="63">
        <f>AU112-AT112</f>
        <v/>
      </c>
      <c r="AX112" s="59">
        <f>SUMIFS([1]инфо!$C$15:$C$28,[1]инфо!$A$15:$A$28,F112)*H111</f>
        <v/>
      </c>
    </row>
    <row r="113">
      <c r="A113" s="71">
        <f>A111+1</f>
        <v/>
      </c>
      <c r="B113" s="65" t="inlineStr">
        <is>
          <t>0081</t>
        </is>
      </c>
      <c r="C113" s="52" t="inlineStr">
        <is>
          <t>линия 2</t>
        </is>
      </c>
      <c r="D113" s="53" t="inlineStr">
        <is>
          <t>ночь</t>
        </is>
      </c>
      <c r="E113" s="66" t="inlineStr">
        <is>
          <t>Султанулы</t>
        </is>
      </c>
      <c r="F113" s="67" t="inlineStr">
        <is>
          <t>8 волн гладкий</t>
        </is>
      </c>
      <c r="G113" s="68" t="n"/>
      <c r="H113" s="68" t="n"/>
      <c r="I113" s="57">
        <f>IFERROR(H113*VLOOKUP(F113,[1]инфо!$A$15:$C$28,3,FALSE)/1000,0)</f>
        <v/>
      </c>
      <c r="J113" s="68" t="n">
        <v>500</v>
      </c>
      <c r="K113" s="68" t="n">
        <v>2</v>
      </c>
      <c r="L113" s="68" t="n">
        <v>1</v>
      </c>
      <c r="M113" s="55" t="n"/>
      <c r="N113" s="55" t="n"/>
      <c r="O113" s="58" t="n"/>
      <c r="P113" s="58" t="n"/>
      <c r="Q113" s="58" t="n"/>
      <c r="R113" s="58" t="n"/>
      <c r="S113" s="59">
        <f>SUM(O113:R113)</f>
        <v/>
      </c>
      <c r="T113" s="52" t="n"/>
      <c r="U113" s="53" t="n"/>
      <c r="V113" s="58" t="n"/>
      <c r="W113" s="58" t="n"/>
      <c r="X113" s="58" t="n"/>
      <c r="Y113" s="52" t="n"/>
      <c r="Z113" s="58" t="n"/>
      <c r="AA113" s="58" t="n"/>
      <c r="AB113" s="58" t="n"/>
      <c r="AC113" s="69" t="n"/>
      <c r="AD113" s="53" t="n"/>
      <c r="AE113" s="61">
        <f>SUMIFS([1]инфо!$D$15:$D$28,[1]инфо!$A$15:$A$28,F113)</f>
        <v/>
      </c>
      <c r="AF113" s="62">
        <f>IF(H113=0,0,N113/H113)</f>
        <v/>
      </c>
      <c r="AG113" s="63">
        <f>AF113-AE113</f>
        <v/>
      </c>
      <c r="AH113" s="61">
        <f>SUMIFS([1]инфо!$E$15:$E$28,[1]инфо!$A$15:$A$28,F113)</f>
        <v/>
      </c>
      <c r="AI113" s="64">
        <f>IF(H113=0,0,S113/H113)</f>
        <v/>
      </c>
      <c r="AJ113" s="63">
        <f>AI113-AH113</f>
        <v/>
      </c>
      <c r="AK113" s="61">
        <f>SUMIFS([1]инфо!$F$15:$F$28,[1]инфо!$A$15:$A$28,F113)</f>
        <v/>
      </c>
      <c r="AL113" s="64">
        <f>IF(H113=0,0,Y113/H113)</f>
        <v/>
      </c>
      <c r="AM113" s="63">
        <f>AL113-AK113</f>
        <v/>
      </c>
      <c r="AN113" s="61">
        <f>SUMIFS([1]инфо!$G$15:$G$28,[1]инфо!$A$15:$A$28,F113)</f>
        <v/>
      </c>
      <c r="AO113" s="64">
        <f>IF(H113=0,0,AA113/H113)</f>
        <v/>
      </c>
      <c r="AP113" s="63">
        <f>AO113-AN113</f>
        <v/>
      </c>
      <c r="AQ113" s="61">
        <f>SUMIFS([1]инфо!$H$15:$H$28,[1]инфо!$A$15:$A$28,F113)</f>
        <v/>
      </c>
      <c r="AR113" s="62">
        <f>IF(H112=0,0,AC113/H112)</f>
        <v/>
      </c>
      <c r="AS113" s="63">
        <f>AR113-AQ113</f>
        <v/>
      </c>
      <c r="AT113" s="61">
        <f>SUMIFS([1]инфо!$I$15:$I$28,[1]инфо!$A$15:$A$28,F113)</f>
        <v/>
      </c>
      <c r="AU113" s="62">
        <f>IF(H113=0,0,AD113/H113)</f>
        <v/>
      </c>
      <c r="AV113" s="63">
        <f>AU113-AT113</f>
        <v/>
      </c>
      <c r="AX113" s="59">
        <f>SUMIFS([1]инфо!$C$15:$C$28,[1]инфо!$A$15:$A$28,F113)*H112</f>
        <v/>
      </c>
    </row>
    <row r="114">
      <c r="A114" s="71">
        <f>A112+1</f>
        <v/>
      </c>
      <c r="B114" s="65" t="inlineStr">
        <is>
          <t>0082</t>
        </is>
      </c>
      <c r="C114" s="77" t="inlineStr">
        <is>
          <t>линия 2</t>
        </is>
      </c>
      <c r="D114" s="78" t="inlineStr">
        <is>
          <t>день</t>
        </is>
      </c>
      <c r="E114" s="66" t="inlineStr">
        <is>
          <t>Монаев</t>
        </is>
      </c>
      <c r="F114" s="67" t="inlineStr">
        <is>
          <t>8 волн гладкий</t>
        </is>
      </c>
      <c r="G114" s="68" t="n">
        <v>29</v>
      </c>
      <c r="H114" s="68" t="n">
        <v>1140</v>
      </c>
      <c r="I114" s="57">
        <f>IFERROR(H114*VLOOKUP(F114,[1]инфо!$A$15:$C$28,3,FALSE)/1000,0)</f>
        <v/>
      </c>
      <c r="J114" s="68" t="n">
        <v>250</v>
      </c>
      <c r="K114" s="68" t="n">
        <v>20</v>
      </c>
      <c r="L114" s="68" t="n">
        <v>1</v>
      </c>
      <c r="M114" s="55" t="n"/>
      <c r="N114" s="56" t="n">
        <v>2902</v>
      </c>
      <c r="O114" s="79" t="n"/>
      <c r="P114" s="79" t="n"/>
      <c r="Q114" s="79" t="n">
        <v>9582</v>
      </c>
      <c r="R114" s="79" t="n">
        <v>8954</v>
      </c>
      <c r="S114" s="80">
        <f>SUM(O114:R114)</f>
        <v/>
      </c>
      <c r="T114" s="77" t="n"/>
      <c r="U114" s="78" t="n"/>
      <c r="V114" s="79" t="n"/>
      <c r="W114" s="79" t="n"/>
      <c r="X114" s="79" t="n"/>
      <c r="Y114" s="77" t="n">
        <v>290</v>
      </c>
      <c r="Z114" s="79" t="n"/>
      <c r="AA114" s="79" t="n">
        <v>58</v>
      </c>
      <c r="AB114" s="79" t="n"/>
      <c r="AC114" s="69" t="n">
        <v>290</v>
      </c>
      <c r="AD114" s="78" t="n">
        <v>145</v>
      </c>
      <c r="AE114" s="81">
        <f>SUMIFS([1]инфо!$D$15:$D$28,[1]инфо!$A$15:$A$28,F114)</f>
        <v/>
      </c>
      <c r="AF114" s="62">
        <f>IF(H114=0,0,N114/H114)</f>
        <v/>
      </c>
      <c r="AG114" s="82">
        <f>AF114-AE114</f>
        <v/>
      </c>
      <c r="AH114" s="81">
        <f>SUMIFS([1]инфо!$E$15:$E$28,[1]инфо!$A$15:$A$28,F114)</f>
        <v/>
      </c>
      <c r="AI114" s="64">
        <f>IF(H114=0,0,S114/H114)</f>
        <v/>
      </c>
      <c r="AJ114" s="82">
        <f>AI114-AH114</f>
        <v/>
      </c>
      <c r="AK114" s="81">
        <f>SUMIFS([1]инфо!$F$15:$F$28,[1]инфо!$A$15:$A$28,F114)</f>
        <v/>
      </c>
      <c r="AL114" s="64">
        <f>IF(H114=0,0,Y114/H114)</f>
        <v/>
      </c>
      <c r="AM114" s="82">
        <f>AL114-AK114</f>
        <v/>
      </c>
      <c r="AN114" s="81">
        <f>SUMIFS([1]инфо!$G$15:$G$28,[1]инфо!$A$15:$A$28,F114)</f>
        <v/>
      </c>
      <c r="AO114" s="64">
        <f>IF(H114=0,0,AA114/H114)</f>
        <v/>
      </c>
      <c r="AP114" s="82">
        <f>AO114-AN114</f>
        <v/>
      </c>
      <c r="AQ114" s="81">
        <f>SUMIFS([1]инфо!$H$15:$H$28,[1]инфо!$A$15:$A$28,F114)</f>
        <v/>
      </c>
      <c r="AR114" s="85">
        <f>IF(H113=0,0,AC114/H113)</f>
        <v/>
      </c>
      <c r="AS114" s="82">
        <f>AR114-AQ114</f>
        <v/>
      </c>
      <c r="AT114" s="81">
        <f>SUMIFS([1]инфо!$I$15:$I$28,[1]инфо!$A$15:$A$28,F114)</f>
        <v/>
      </c>
      <c r="AU114" s="62">
        <f>IF(H114=0,0,AD114/H114)</f>
        <v/>
      </c>
      <c r="AV114" s="82">
        <f>AU114-AT114</f>
        <v/>
      </c>
      <c r="AX114" s="80">
        <f>SUMIFS([1]инфо!$C$15:$C$28,[1]инфо!$A$15:$A$28,F114)*H113</f>
        <v/>
      </c>
    </row>
    <row r="115">
      <c r="A115" s="71">
        <f>A113+1</f>
        <v/>
      </c>
      <c r="B115" s="65" t="inlineStr">
        <is>
          <t>0083</t>
        </is>
      </c>
      <c r="C115" s="72" t="inlineStr">
        <is>
          <t>линия 2</t>
        </is>
      </c>
      <c r="D115" s="73" t="inlineStr">
        <is>
          <t>ночь</t>
        </is>
      </c>
      <c r="E115" s="66" t="inlineStr">
        <is>
          <t>Дауылбай</t>
        </is>
      </c>
      <c r="F115" s="67" t="inlineStr">
        <is>
          <t>8 волн гладкий</t>
        </is>
      </c>
      <c r="G115" s="68" t="n">
        <v>46</v>
      </c>
      <c r="H115" s="68" t="n">
        <v>2160</v>
      </c>
      <c r="I115" s="57">
        <f>IFERROR(H115*VLOOKUP(F115,[1]инфо!$A$15:$C$28,3,FALSE)/1000,0)</f>
        <v/>
      </c>
      <c r="J115" s="68" t="n">
        <v>2000</v>
      </c>
      <c r="K115" s="68" t="n">
        <v>58</v>
      </c>
      <c r="L115" s="68" t="n">
        <v>15</v>
      </c>
      <c r="M115" s="55" t="n">
        <v>158</v>
      </c>
      <c r="N115" s="67" t="n">
        <v>4631</v>
      </c>
      <c r="O115" s="74" t="n"/>
      <c r="P115" s="74" t="n"/>
      <c r="Q115" s="74" t="n">
        <v>15332</v>
      </c>
      <c r="R115" s="74" t="n">
        <v>14061</v>
      </c>
      <c r="S115" s="70">
        <f>SUM(O115:R115)</f>
        <v/>
      </c>
      <c r="T115" s="72" t="n"/>
      <c r="U115" s="73" t="n"/>
      <c r="V115" s="74" t="n"/>
      <c r="W115" s="74" t="n"/>
      <c r="X115" s="74" t="n"/>
      <c r="Y115" s="72" t="n">
        <v>460</v>
      </c>
      <c r="Z115" s="74" t="n"/>
      <c r="AA115" s="74" t="n">
        <v>92</v>
      </c>
      <c r="AB115" s="74" t="n"/>
      <c r="AC115" s="69" t="n">
        <v>460</v>
      </c>
      <c r="AD115" s="73" t="n">
        <v>230</v>
      </c>
      <c r="AE115" s="75">
        <f>SUMIFS([1]инфо!$D$15:$D$28,[1]инфо!$A$15:$A$28,F115)</f>
        <v/>
      </c>
      <c r="AF115" s="62">
        <f>IF(H115=0,0,N115/H115)</f>
        <v/>
      </c>
      <c r="AG115" s="76">
        <f>AF115-AE115</f>
        <v/>
      </c>
      <c r="AH115" s="75">
        <f>SUMIFS([1]инфо!$E$15:$E$28,[1]инфо!$A$15:$A$28,F115)</f>
        <v/>
      </c>
      <c r="AI115" s="64">
        <f>IF(H115=0,0,S115/H115)</f>
        <v/>
      </c>
      <c r="AJ115" s="76">
        <f>AI115-AH115</f>
        <v/>
      </c>
      <c r="AK115" s="75">
        <f>SUMIFS([1]инфо!$F$15:$F$28,[1]инфо!$A$15:$A$28,F115)</f>
        <v/>
      </c>
      <c r="AL115" s="64">
        <f>IF(H115=0,0,Y115/H115)</f>
        <v/>
      </c>
      <c r="AM115" s="76">
        <f>AL115-AK115</f>
        <v/>
      </c>
      <c r="AN115" s="75">
        <f>SUMIFS([1]инфо!$G$15:$G$28,[1]инфо!$A$15:$A$28,F115)</f>
        <v/>
      </c>
      <c r="AO115" s="64">
        <f>IF(H115=0,0,AA115/H115)</f>
        <v/>
      </c>
      <c r="AP115" s="76">
        <f>AO115-AN115</f>
        <v/>
      </c>
      <c r="AQ115" s="75">
        <f>SUMIFS([1]инфо!$H$15:$H$28,[1]инфо!$A$15:$A$28,F115)</f>
        <v/>
      </c>
      <c r="AR115" s="64">
        <f>IF(H114=0,0,AC115/H114)</f>
        <v/>
      </c>
      <c r="AS115" s="76">
        <f>AR115-AQ115</f>
        <v/>
      </c>
      <c r="AT115" s="75">
        <f>SUMIFS([1]инфо!$I$15:$I$28,[1]инфо!$A$15:$A$28,F115)</f>
        <v/>
      </c>
      <c r="AU115" s="62">
        <f>IF(H115=0,0,AD115/H115)</f>
        <v/>
      </c>
      <c r="AV115" s="76">
        <f>AU115-AT115</f>
        <v/>
      </c>
      <c r="AX115" s="70">
        <f>SUMIFS([1]инфо!$C$15:$C$28,[1]инфо!$A$15:$A$28,F115)*H114</f>
        <v/>
      </c>
    </row>
    <row r="116">
      <c r="A116" s="71">
        <f>A114+1</f>
        <v/>
      </c>
      <c r="B116" s="65" t="inlineStr">
        <is>
          <t>0084</t>
        </is>
      </c>
      <c r="C116" s="52" t="inlineStr">
        <is>
          <t>линия 2</t>
        </is>
      </c>
      <c r="D116" s="53" t="inlineStr">
        <is>
          <t>день</t>
        </is>
      </c>
      <c r="E116" s="66" t="inlineStr">
        <is>
          <t>Бекбосынов</t>
        </is>
      </c>
      <c r="F116" s="67" t="inlineStr">
        <is>
          <t>8 волн гладкий</t>
        </is>
      </c>
      <c r="G116" s="68" t="n">
        <v>56</v>
      </c>
      <c r="H116" s="68" t="n">
        <v>2300</v>
      </c>
      <c r="I116" s="57">
        <f>IFERROR(H116*VLOOKUP(F116,[1]инфо!$A$15:$C$28,3,FALSE)/1000,0)</f>
        <v/>
      </c>
      <c r="J116" s="68" t="n">
        <v>2250</v>
      </c>
      <c r="K116" s="68" t="n">
        <v>29</v>
      </c>
      <c r="L116" s="68" t="n">
        <v>15</v>
      </c>
      <c r="M116" s="55" t="n">
        <v>103</v>
      </c>
      <c r="N116" s="55" t="n">
        <v>5620</v>
      </c>
      <c r="O116" s="58" t="n"/>
      <c r="P116" s="58" t="n"/>
      <c r="Q116" s="58" t="n">
        <v>17908</v>
      </c>
      <c r="R116" s="58" t="n">
        <v>17887</v>
      </c>
      <c r="S116" s="59">
        <f>SUM(O116:R116)</f>
        <v/>
      </c>
      <c r="T116" s="52" t="n"/>
      <c r="U116" s="53" t="n"/>
      <c r="V116" s="58" t="n"/>
      <c r="W116" s="58" t="n"/>
      <c r="X116" s="58" t="n"/>
      <c r="Y116" s="52" t="n">
        <v>560</v>
      </c>
      <c r="Z116" s="58" t="n"/>
      <c r="AA116" s="58" t="n">
        <v>112</v>
      </c>
      <c r="AB116" s="58" t="n"/>
      <c r="AC116" s="69" t="n">
        <v>560</v>
      </c>
      <c r="AD116" s="53" t="n">
        <v>280</v>
      </c>
      <c r="AE116" s="61">
        <f>SUMIFS([1]инфо!$D$15:$D$28,[1]инфо!$A$15:$A$28,F116)</f>
        <v/>
      </c>
      <c r="AF116" s="62">
        <f>IF(H116=0,0,N116/H116)</f>
        <v/>
      </c>
      <c r="AG116" s="63">
        <f>AF116-AE116</f>
        <v/>
      </c>
      <c r="AH116" s="61">
        <f>SUMIFS([1]инфо!$E$15:$E$28,[1]инфо!$A$15:$A$28,F116)</f>
        <v/>
      </c>
      <c r="AI116" s="64">
        <f>IF(H116=0,0,S116/H116)</f>
        <v/>
      </c>
      <c r="AJ116" s="63">
        <f>AI116-AH116</f>
        <v/>
      </c>
      <c r="AK116" s="61">
        <f>SUMIFS([1]инфо!$F$15:$F$28,[1]инфо!$A$15:$A$28,F116)</f>
        <v/>
      </c>
      <c r="AL116" s="64">
        <f>IF(H116=0,0,Y116/H116)</f>
        <v/>
      </c>
      <c r="AM116" s="63">
        <f>AL116-AK116</f>
        <v/>
      </c>
      <c r="AN116" s="61">
        <f>SUMIFS([1]инфо!$G$15:$G$28,[1]инфо!$A$15:$A$28,F116)</f>
        <v/>
      </c>
      <c r="AO116" s="64">
        <f>IF(H116=0,0,AA116/H116)</f>
        <v/>
      </c>
      <c r="AP116" s="63">
        <f>AO116-AN116</f>
        <v/>
      </c>
      <c r="AQ116" s="61">
        <f>SUMIFS([1]инфо!$H$15:$H$28,[1]инфо!$A$15:$A$28,F116)</f>
        <v/>
      </c>
      <c r="AR116" s="62">
        <f>IF(H115=0,0,AC116/H115)</f>
        <v/>
      </c>
      <c r="AS116" s="63">
        <f>AR116-AQ116</f>
        <v/>
      </c>
      <c r="AT116" s="61">
        <f>SUMIFS([1]инфо!$I$15:$I$28,[1]инфо!$A$15:$A$28,F116)</f>
        <v/>
      </c>
      <c r="AU116" s="62">
        <f>IF(H116=0,0,AD116/H116)</f>
        <v/>
      </c>
      <c r="AV116" s="63">
        <f>AU116-AT116</f>
        <v/>
      </c>
      <c r="AX116" s="59">
        <f>SUMIFS([1]инфо!$C$15:$C$28,[1]инфо!$A$15:$A$28,F116)*H115</f>
        <v/>
      </c>
    </row>
    <row r="117">
      <c r="A117" s="71">
        <f>A115+1</f>
        <v/>
      </c>
      <c r="B117" s="65" t="inlineStr">
        <is>
          <t>0085</t>
        </is>
      </c>
      <c r="C117" s="52" t="inlineStr">
        <is>
          <t>линия 2</t>
        </is>
      </c>
      <c r="D117" s="53" t="inlineStr">
        <is>
          <t>ночь</t>
        </is>
      </c>
      <c r="E117" s="66" t="inlineStr">
        <is>
          <t>Монаев</t>
        </is>
      </c>
      <c r="F117" s="67" t="inlineStr">
        <is>
          <t>8 волн гладкий</t>
        </is>
      </c>
      <c r="G117" s="68" t="n">
        <v>63</v>
      </c>
      <c r="H117" s="68" t="n">
        <v>2680</v>
      </c>
      <c r="I117" s="57">
        <f>IFERROR(H117*VLOOKUP(F117,[1]инфо!$A$15:$C$28,3,FALSE)/1000,0)</f>
        <v/>
      </c>
      <c r="J117" s="68" t="n">
        <v>2750</v>
      </c>
      <c r="K117" s="68" t="n">
        <v>59</v>
      </c>
      <c r="L117" s="68" t="n">
        <v>16</v>
      </c>
      <c r="M117" s="55" t="n">
        <v>180</v>
      </c>
      <c r="N117" s="55" t="n">
        <v>6376</v>
      </c>
      <c r="O117" s="58" t="n"/>
      <c r="P117" s="58" t="n"/>
      <c r="Q117" s="58" t="n">
        <v>19805</v>
      </c>
      <c r="R117" s="58" t="n">
        <v>20464</v>
      </c>
      <c r="S117" s="59">
        <f>SUM(O117:R117)</f>
        <v/>
      </c>
      <c r="T117" s="52" t="n"/>
      <c r="U117" s="53" t="n"/>
      <c r="V117" s="58" t="n"/>
      <c r="W117" s="58" t="n"/>
      <c r="X117" s="58" t="n"/>
      <c r="Y117" s="52" t="n">
        <v>630</v>
      </c>
      <c r="Z117" s="58" t="n"/>
      <c r="AA117" s="58" t="n">
        <v>126</v>
      </c>
      <c r="AB117" s="58" t="n"/>
      <c r="AC117" s="69" t="n">
        <v>630</v>
      </c>
      <c r="AD117" s="53" t="n">
        <v>315</v>
      </c>
      <c r="AE117" s="61">
        <f>SUMIFS([1]инфо!$D$15:$D$28,[1]инфо!$A$15:$A$28,F117)</f>
        <v/>
      </c>
      <c r="AF117" s="62">
        <f>IF(H117=0,0,N117/H117)</f>
        <v/>
      </c>
      <c r="AG117" s="63">
        <f>AF117-AE117</f>
        <v/>
      </c>
      <c r="AH117" s="61">
        <f>SUMIFS([1]инфо!$E$15:$E$28,[1]инфо!$A$15:$A$28,F117)</f>
        <v/>
      </c>
      <c r="AI117" s="64">
        <f>IF(H117=0,0,S117/H117)</f>
        <v/>
      </c>
      <c r="AJ117" s="63">
        <f>AI117-AH117</f>
        <v/>
      </c>
      <c r="AK117" s="61">
        <f>SUMIFS([1]инфо!$F$15:$F$28,[1]инфо!$A$15:$A$28,F117)</f>
        <v/>
      </c>
      <c r="AL117" s="64">
        <f>IF(H117=0,0,Y117/H117)</f>
        <v/>
      </c>
      <c r="AM117" s="63">
        <f>AL117-AK117</f>
        <v/>
      </c>
      <c r="AN117" s="61">
        <f>SUMIFS([1]инфо!$G$15:$G$28,[1]инфо!$A$15:$A$28,F117)</f>
        <v/>
      </c>
      <c r="AO117" s="64">
        <f>IF(H117=0,0,AA117/H117)</f>
        <v/>
      </c>
      <c r="AP117" s="63">
        <f>AO117-AN117</f>
        <v/>
      </c>
      <c r="AQ117" s="61">
        <f>SUMIFS([1]инфо!$H$15:$H$28,[1]инфо!$A$15:$A$28,F117)</f>
        <v/>
      </c>
      <c r="AR117" s="62">
        <f>IF(H116=0,0,AC117/H116)</f>
        <v/>
      </c>
      <c r="AS117" s="63">
        <f>AR117-AQ117</f>
        <v/>
      </c>
      <c r="AT117" s="61">
        <f>SUMIFS([1]инфо!$I$15:$I$28,[1]инфо!$A$15:$A$28,F117)</f>
        <v/>
      </c>
      <c r="AU117" s="62">
        <f>IF(H117=0,0,AD117/H117)</f>
        <v/>
      </c>
      <c r="AV117" s="63">
        <f>AU117-AT117</f>
        <v/>
      </c>
      <c r="AX117" s="59">
        <f>SUMIFS([1]инфо!$C$15:$C$28,[1]инфо!$A$15:$A$28,F117)*H116</f>
        <v/>
      </c>
    </row>
    <row r="118">
      <c r="A118" s="71">
        <f>A116+1</f>
        <v/>
      </c>
      <c r="B118" s="65" t="inlineStr">
        <is>
          <t>0086</t>
        </is>
      </c>
      <c r="C118" s="77" t="inlineStr">
        <is>
          <t>линия 2</t>
        </is>
      </c>
      <c r="D118" s="78" t="inlineStr">
        <is>
          <t>день</t>
        </is>
      </c>
      <c r="E118" s="66" t="inlineStr">
        <is>
          <t>Султанулы</t>
        </is>
      </c>
      <c r="F118" s="67" t="inlineStr">
        <is>
          <t>8 волн гладкий</t>
        </is>
      </c>
      <c r="G118" s="68" t="n">
        <v>47</v>
      </c>
      <c r="H118" s="68" t="n">
        <v>2060</v>
      </c>
      <c r="I118" s="57">
        <f>IFERROR(H118*VLOOKUP(F118,[1]инфо!$A$15:$C$28,3,FALSE)/1000,0)</f>
        <v/>
      </c>
      <c r="J118" s="68" t="n">
        <v>2000</v>
      </c>
      <c r="K118" s="68" t="n">
        <v>17</v>
      </c>
      <c r="L118" s="68" t="n">
        <v>16</v>
      </c>
      <c r="M118" s="55" t="n">
        <v>92</v>
      </c>
      <c r="N118" s="56" t="n">
        <v>4743</v>
      </c>
      <c r="O118" s="79" t="n"/>
      <c r="P118" s="79" t="n"/>
      <c r="Q118" s="79" t="n">
        <v>15337</v>
      </c>
      <c r="R118" s="79" t="n">
        <v>14706</v>
      </c>
      <c r="S118" s="80">
        <f>SUM(O118:R118)</f>
        <v/>
      </c>
      <c r="T118" s="77" t="n"/>
      <c r="U118" s="78" t="n"/>
      <c r="V118" s="79" t="n"/>
      <c r="W118" s="79" t="n"/>
      <c r="X118" s="79" t="n"/>
      <c r="Y118" s="77" t="n">
        <v>470</v>
      </c>
      <c r="Z118" s="79" t="n"/>
      <c r="AA118" s="79" t="n">
        <v>94</v>
      </c>
      <c r="AB118" s="79" t="n"/>
      <c r="AC118" s="69" t="n">
        <v>470</v>
      </c>
      <c r="AD118" s="78" t="n">
        <v>235</v>
      </c>
      <c r="AE118" s="81">
        <f>SUMIFS([1]инфо!$D$15:$D$28,[1]инфо!$A$15:$A$28,F118)</f>
        <v/>
      </c>
      <c r="AF118" s="62">
        <f>IF(H118=0,0,N118/H118)</f>
        <v/>
      </c>
      <c r="AG118" s="82">
        <f>AF118-AE118</f>
        <v/>
      </c>
      <c r="AH118" s="81">
        <f>SUMIFS([1]инфо!$E$15:$E$28,[1]инфо!$A$15:$A$28,F118)</f>
        <v/>
      </c>
      <c r="AI118" s="64">
        <f>IF(H118=0,0,S118/H118)</f>
        <v/>
      </c>
      <c r="AJ118" s="82">
        <f>AI118-AH118</f>
        <v/>
      </c>
      <c r="AK118" s="81">
        <f>SUMIFS([1]инфо!$F$15:$F$28,[1]инфо!$A$15:$A$28,F118)</f>
        <v/>
      </c>
      <c r="AL118" s="64">
        <f>IF(H118=0,0,Y118/H118)</f>
        <v/>
      </c>
      <c r="AM118" s="82">
        <f>AL118-AK118</f>
        <v/>
      </c>
      <c r="AN118" s="81">
        <f>SUMIFS([1]инфо!$G$15:$G$28,[1]инфо!$A$15:$A$28,F118)</f>
        <v/>
      </c>
      <c r="AO118" s="64">
        <f>IF(H118=0,0,AA118/H118)</f>
        <v/>
      </c>
      <c r="AP118" s="82">
        <f>AO118-AN118</f>
        <v/>
      </c>
      <c r="AQ118" s="81">
        <f>SUMIFS([1]инфо!$H$15:$H$28,[1]инфо!$A$15:$A$28,F118)</f>
        <v/>
      </c>
      <c r="AR118" s="85">
        <f>IF(H117=0,0,AC118/H117)</f>
        <v/>
      </c>
      <c r="AS118" s="82">
        <f>AR118-AQ118</f>
        <v/>
      </c>
      <c r="AT118" s="81">
        <f>SUMIFS([1]инфо!$I$15:$I$28,[1]инфо!$A$15:$A$28,F118)</f>
        <v/>
      </c>
      <c r="AU118" s="62">
        <f>IF(H118=0,0,AD118/H118)</f>
        <v/>
      </c>
      <c r="AV118" s="82">
        <f>AU118-AT118</f>
        <v/>
      </c>
      <c r="AX118" s="80">
        <f>SUMIFS([1]инфо!$C$15:$C$28,[1]инфо!$A$15:$A$28,F118)*H117</f>
        <v/>
      </c>
    </row>
    <row r="119">
      <c r="A119" s="71">
        <f>A117+1</f>
        <v/>
      </c>
      <c r="B119" s="65" t="inlineStr">
        <is>
          <t>0087</t>
        </is>
      </c>
      <c r="C119" s="72" t="inlineStr">
        <is>
          <t>линия 2</t>
        </is>
      </c>
      <c r="D119" s="73" t="inlineStr">
        <is>
          <t>ночь</t>
        </is>
      </c>
      <c r="E119" s="66" t="inlineStr">
        <is>
          <t>Бекбосынов</t>
        </is>
      </c>
      <c r="F119" s="67" t="inlineStr">
        <is>
          <t>8 волн гладкий</t>
        </is>
      </c>
      <c r="G119" s="68" t="n">
        <v>62</v>
      </c>
      <c r="H119" s="68" t="n">
        <v>2750</v>
      </c>
      <c r="I119" s="57">
        <f>IFERROR(H119*VLOOKUP(F119,[1]инфо!$A$15:$C$28,3,FALSE)/1000,0)</f>
        <v/>
      </c>
      <c r="J119" s="68" t="n">
        <v>2500</v>
      </c>
      <c r="K119" s="68" t="n">
        <v>26</v>
      </c>
      <c r="L119" s="68" t="n">
        <v>1</v>
      </c>
      <c r="M119" s="55" t="n">
        <v>123</v>
      </c>
      <c r="N119" s="67" t="n">
        <v>6309</v>
      </c>
      <c r="O119" s="74" t="n"/>
      <c r="P119" s="74" t="n"/>
      <c r="Q119" s="74" t="n">
        <v>19819</v>
      </c>
      <c r="R119" s="74" t="n">
        <v>19831</v>
      </c>
      <c r="S119" s="70">
        <f>SUM(O119:R119)</f>
        <v/>
      </c>
      <c r="T119" s="72" t="n"/>
      <c r="U119" s="73" t="n"/>
      <c r="V119" s="58" t="n"/>
      <c r="W119" s="74" t="n"/>
      <c r="X119" s="74" t="n"/>
      <c r="Y119" s="72" t="n">
        <v>320</v>
      </c>
      <c r="Z119" s="74" t="n"/>
      <c r="AA119" s="74" t="n">
        <v>93</v>
      </c>
      <c r="AB119" s="74" t="n"/>
      <c r="AC119" s="69" t="n">
        <v>620</v>
      </c>
      <c r="AD119" s="73" t="n">
        <v>310</v>
      </c>
      <c r="AE119" s="75">
        <f>SUMIFS([1]инфо!$D$15:$D$28,[1]инфо!$A$15:$A$28,F119)</f>
        <v/>
      </c>
      <c r="AF119" s="62">
        <f>IF(H119=0,0,N119/H119)</f>
        <v/>
      </c>
      <c r="AG119" s="76">
        <f>AF119-AE119</f>
        <v/>
      </c>
      <c r="AH119" s="75">
        <f>SUMIFS([1]инфо!$E$15:$E$28,[1]инфо!$A$15:$A$28,F119)</f>
        <v/>
      </c>
      <c r="AI119" s="64">
        <f>IF(H119=0,0,S119/H119)</f>
        <v/>
      </c>
      <c r="AJ119" s="76">
        <f>AI119-AH119</f>
        <v/>
      </c>
      <c r="AK119" s="75">
        <f>SUMIFS([1]инфо!$F$15:$F$28,[1]инфо!$A$15:$A$28,F119)</f>
        <v/>
      </c>
      <c r="AL119" s="64">
        <f>IF(H119=0,0,Y119/H119)</f>
        <v/>
      </c>
      <c r="AM119" s="76">
        <f>AL119-AK119</f>
        <v/>
      </c>
      <c r="AN119" s="75">
        <f>SUMIFS([1]инфо!$G$15:$G$28,[1]инфо!$A$15:$A$28,F119)</f>
        <v/>
      </c>
      <c r="AO119" s="64">
        <f>IF(H119=0,0,AA119/H119)</f>
        <v/>
      </c>
      <c r="AP119" s="76">
        <f>AO119-AN119</f>
        <v/>
      </c>
      <c r="AQ119" s="75">
        <f>SUMIFS([1]инфо!$H$15:$H$28,[1]инфо!$A$15:$A$28,F119)</f>
        <v/>
      </c>
      <c r="AR119" s="64">
        <f>IF(H118=0,0,AC119/H118)</f>
        <v/>
      </c>
      <c r="AS119" s="76">
        <f>AR119-AQ119</f>
        <v/>
      </c>
      <c r="AT119" s="75">
        <f>SUMIFS([1]инфо!$I$15:$I$28,[1]инфо!$A$15:$A$28,F119)</f>
        <v/>
      </c>
      <c r="AU119" s="62">
        <f>IF(H119=0,0,AD119/H119)</f>
        <v/>
      </c>
      <c r="AV119" s="76">
        <f>AU119-AT119</f>
        <v/>
      </c>
      <c r="AX119" s="70">
        <f>SUMIFS([1]инфо!$C$15:$C$28,[1]инфо!$A$15:$A$28,F119)*H118</f>
        <v/>
      </c>
    </row>
    <row r="120">
      <c r="A120" s="71">
        <f>A118+1</f>
        <v/>
      </c>
      <c r="B120" s="65" t="inlineStr">
        <is>
          <t>0088</t>
        </is>
      </c>
      <c r="C120" s="52" t="inlineStr">
        <is>
          <t>линия 2</t>
        </is>
      </c>
      <c r="D120" s="53" t="inlineStr">
        <is>
          <t>день</t>
        </is>
      </c>
      <c r="E120" s="66" t="inlineStr">
        <is>
          <t>Дауылбай</t>
        </is>
      </c>
      <c r="F120" s="67" t="inlineStr">
        <is>
          <t>8 волн гладкий</t>
        </is>
      </c>
      <c r="G120" s="68" t="n">
        <v>54</v>
      </c>
      <c r="H120" s="68" t="n">
        <v>2500</v>
      </c>
      <c r="I120" s="57">
        <f>IFERROR(H120*VLOOKUP(F120,[1]инфо!$A$15:$C$28,3,FALSE)/1000,0)</f>
        <v/>
      </c>
      <c r="J120" s="68" t="n">
        <v>2750</v>
      </c>
      <c r="K120" s="68" t="n">
        <v>13</v>
      </c>
      <c r="L120" s="68" t="n">
        <v>3</v>
      </c>
      <c r="M120" s="55" t="n">
        <v>85</v>
      </c>
      <c r="N120" s="55" t="n">
        <v>5497</v>
      </c>
      <c r="O120" s="58" t="n"/>
      <c r="P120" s="58" t="n"/>
      <c r="Q120" s="58" t="n">
        <v>17267</v>
      </c>
      <c r="R120" s="58" t="n">
        <v>17267</v>
      </c>
      <c r="S120" s="59">
        <f>SUM(O120:R120)</f>
        <v/>
      </c>
      <c r="T120" s="52" t="n"/>
      <c r="U120" s="53" t="n"/>
      <c r="W120" s="58" t="n"/>
      <c r="X120" s="58" t="n"/>
      <c r="Y120" s="52" t="n">
        <v>540</v>
      </c>
      <c r="Z120" s="58" t="n"/>
      <c r="AA120" s="58" t="n">
        <v>108</v>
      </c>
      <c r="AB120" s="58" t="n"/>
      <c r="AC120" s="69" t="n">
        <v>540</v>
      </c>
      <c r="AD120" s="53" t="n">
        <v>270</v>
      </c>
      <c r="AE120" s="61">
        <f>SUMIFS([1]инфо!$D$15:$D$28,[1]инфо!$A$15:$A$28,F120)</f>
        <v/>
      </c>
      <c r="AF120" s="62">
        <f>IF(H120=0,0,N120/H120)</f>
        <v/>
      </c>
      <c r="AG120" s="63">
        <f>AF120-AE120</f>
        <v/>
      </c>
      <c r="AH120" s="61">
        <f>SUMIFS([1]инфо!$E$15:$E$28,[1]инфо!$A$15:$A$28,F120)</f>
        <v/>
      </c>
      <c r="AI120" s="64">
        <f>IF(H120=0,0,S120/H120)</f>
        <v/>
      </c>
      <c r="AJ120" s="63">
        <f>AI120-AH120</f>
        <v/>
      </c>
      <c r="AK120" s="61">
        <f>SUMIFS([1]инфо!$F$15:$F$28,[1]инфо!$A$15:$A$28,F120)</f>
        <v/>
      </c>
      <c r="AL120" s="64">
        <f>IF(H120=0,0,Y120/H120)</f>
        <v/>
      </c>
      <c r="AM120" s="63">
        <f>AL120-AK120</f>
        <v/>
      </c>
      <c r="AN120" s="61">
        <f>SUMIFS([1]инфо!$G$15:$G$28,[1]инфо!$A$15:$A$28,F120)</f>
        <v/>
      </c>
      <c r="AO120" s="64">
        <f>IF(H120=0,0,AA120/H120)</f>
        <v/>
      </c>
      <c r="AP120" s="63">
        <f>AO120-AN120</f>
        <v/>
      </c>
      <c r="AQ120" s="61">
        <f>SUMIFS([1]инфо!$H$15:$H$28,[1]инфо!$A$15:$A$28,F120)</f>
        <v/>
      </c>
      <c r="AR120" s="62">
        <f>IF(H119=0,0,AC120/H119)</f>
        <v/>
      </c>
      <c r="AS120" s="63">
        <f>AR120-AQ120</f>
        <v/>
      </c>
      <c r="AT120" s="61">
        <f>SUMIFS([1]инфо!$I$15:$I$28,[1]инфо!$A$15:$A$28,F120)</f>
        <v/>
      </c>
      <c r="AU120" s="62">
        <f>IF(H120=0,0,AD120/H120)</f>
        <v/>
      </c>
      <c r="AV120" s="63">
        <f>AU120-AT120</f>
        <v/>
      </c>
      <c r="AX120" s="59">
        <f>SUMIFS([1]инфо!$C$15:$C$28,[1]инфо!$A$15:$A$28,F120)*H119</f>
        <v/>
      </c>
    </row>
    <row r="121">
      <c r="A121" s="71">
        <f>A119+1</f>
        <v/>
      </c>
      <c r="B121" s="65" t="inlineStr">
        <is>
          <t>0089</t>
        </is>
      </c>
      <c r="C121" s="52" t="inlineStr">
        <is>
          <t>линия 2</t>
        </is>
      </c>
      <c r="D121" s="53" t="inlineStr">
        <is>
          <t>ночь</t>
        </is>
      </c>
      <c r="E121" s="66" t="inlineStr">
        <is>
          <t>Султанулы</t>
        </is>
      </c>
      <c r="F121" s="67" t="inlineStr">
        <is>
          <t>8 волн гладкий</t>
        </is>
      </c>
      <c r="G121" s="68" t="n">
        <v>63</v>
      </c>
      <c r="H121" s="68" t="n">
        <v>2900</v>
      </c>
      <c r="I121" s="57">
        <f>IFERROR(H121*VLOOKUP(F121,[1]инфо!$A$15:$C$28,3,FALSE)/1000,0)</f>
        <v/>
      </c>
      <c r="J121" s="68" t="n">
        <v>3000</v>
      </c>
      <c r="K121" s="68" t="n">
        <v>5</v>
      </c>
      <c r="L121" s="68" t="n">
        <v>5</v>
      </c>
      <c r="M121" s="55" t="n">
        <v>125</v>
      </c>
      <c r="N121" s="55" t="n">
        <v>6390</v>
      </c>
      <c r="O121" s="58" t="n"/>
      <c r="P121" s="58" t="n"/>
      <c r="Q121" s="58" t="n">
        <v>19816</v>
      </c>
      <c r="R121" s="58" t="n">
        <v>20457</v>
      </c>
      <c r="S121" s="59">
        <f>SUM(O121:R121)</f>
        <v/>
      </c>
      <c r="T121" s="52" t="n"/>
      <c r="U121" s="53" t="n"/>
      <c r="V121" s="58" t="n"/>
      <c r="W121" s="58" t="n"/>
      <c r="X121" s="58" t="n"/>
      <c r="Y121" s="52" t="n">
        <v>630</v>
      </c>
      <c r="Z121" s="58" t="n"/>
      <c r="AA121" s="58" t="n">
        <v>126</v>
      </c>
      <c r="AB121" s="58" t="n"/>
      <c r="AC121" s="69" t="n">
        <v>630</v>
      </c>
      <c r="AD121" s="53" t="n">
        <v>290</v>
      </c>
      <c r="AE121" s="61">
        <f>SUMIFS([1]инфо!$D$15:$D$28,[1]инфо!$A$15:$A$28,F121)</f>
        <v/>
      </c>
      <c r="AF121" s="62">
        <f>IF(H121=0,0,N121/H121)</f>
        <v/>
      </c>
      <c r="AG121" s="63">
        <f>AF121-AE121</f>
        <v/>
      </c>
      <c r="AH121" s="61">
        <f>SUMIFS([1]инфо!$E$15:$E$28,[1]инфо!$A$15:$A$28,F121)</f>
        <v/>
      </c>
      <c r="AI121" s="64">
        <f>IF(H121=0,0,S121/H121)</f>
        <v/>
      </c>
      <c r="AJ121" s="63">
        <f>AI121-AH121</f>
        <v/>
      </c>
      <c r="AK121" s="61">
        <f>SUMIFS([1]инфо!$F$15:$F$28,[1]инфо!$A$15:$A$28,F121)</f>
        <v/>
      </c>
      <c r="AL121" s="64">
        <f>IF(H121=0,0,Y121/H121)</f>
        <v/>
      </c>
      <c r="AM121" s="63">
        <f>AL121-AK121</f>
        <v/>
      </c>
      <c r="AN121" s="61">
        <f>SUMIFS([1]инфо!$G$15:$G$28,[1]инфо!$A$15:$A$28,F121)</f>
        <v/>
      </c>
      <c r="AO121" s="64">
        <f>IF(H121=0,0,AA121/H121)</f>
        <v/>
      </c>
      <c r="AP121" s="63">
        <f>AO121-AN121</f>
        <v/>
      </c>
      <c r="AQ121" s="61">
        <f>SUMIFS([1]инфо!$H$15:$H$28,[1]инфо!$A$15:$A$28,F121)</f>
        <v/>
      </c>
      <c r="AR121" s="62">
        <f>IF(H120=0,0,AC121/H120)</f>
        <v/>
      </c>
      <c r="AS121" s="63">
        <f>AR121-AQ121</f>
        <v/>
      </c>
      <c r="AT121" s="61">
        <f>SUMIFS([1]инфо!$I$15:$I$28,[1]инфо!$A$15:$A$28,F121)</f>
        <v/>
      </c>
      <c r="AU121" s="62">
        <f>IF(H121=0,0,AD121/H121)</f>
        <v/>
      </c>
      <c r="AV121" s="63">
        <f>AU121-AT121</f>
        <v/>
      </c>
      <c r="AX121" s="59">
        <f>SUMIFS([1]инфо!$C$15:$C$28,[1]инфо!$A$15:$A$28,F121)*H120</f>
        <v/>
      </c>
    </row>
    <row r="122">
      <c r="A122" s="71">
        <f>A120+1</f>
        <v/>
      </c>
      <c r="B122" s="65" t="inlineStr">
        <is>
          <t>0090</t>
        </is>
      </c>
      <c r="C122" s="77" t="inlineStr">
        <is>
          <t>линия 2</t>
        </is>
      </c>
      <c r="D122" s="78" t="inlineStr">
        <is>
          <t>ночь</t>
        </is>
      </c>
      <c r="E122" s="66" t="inlineStr">
        <is>
          <t>Дауылбай</t>
        </is>
      </c>
      <c r="F122" s="67" t="inlineStr">
        <is>
          <t>8 волн гладкий</t>
        </is>
      </c>
      <c r="G122" s="68" t="n">
        <v>64</v>
      </c>
      <c r="H122" s="68" t="n">
        <v>2600</v>
      </c>
      <c r="I122" s="57">
        <f>IFERROR(H122*VLOOKUP(F122,[1]инфо!$A$15:$C$28,3,FALSE)/1000,0)</f>
        <v/>
      </c>
      <c r="J122" s="68" t="n">
        <v>2250</v>
      </c>
      <c r="K122" s="68" t="n">
        <v>23</v>
      </c>
      <c r="L122" s="68" t="n"/>
      <c r="M122" s="55" t="n">
        <v>134</v>
      </c>
      <c r="N122" s="56" t="n">
        <v>6496</v>
      </c>
      <c r="O122" s="79" t="n"/>
      <c r="P122" s="79" t="n"/>
      <c r="Q122" s="79" t="n">
        <v>20533</v>
      </c>
      <c r="R122" s="79" t="n">
        <v>20466</v>
      </c>
      <c r="S122" s="80">
        <f>SUM(O122:R122)</f>
        <v/>
      </c>
      <c r="T122" s="77" t="n"/>
      <c r="U122" s="78" t="n"/>
      <c r="V122" s="79" t="n"/>
      <c r="W122" s="79" t="n"/>
      <c r="X122" s="79" t="n"/>
      <c r="Y122" s="77" t="n">
        <v>640</v>
      </c>
      <c r="Z122" s="79" t="n"/>
      <c r="AA122" s="79" t="n">
        <v>128</v>
      </c>
      <c r="AB122" s="79" t="n"/>
      <c r="AC122" s="69" t="n">
        <v>640</v>
      </c>
      <c r="AD122" s="78" t="n">
        <v>320</v>
      </c>
      <c r="AE122" s="81">
        <f>SUMIFS([1]инфо!$D$15:$D$28,[1]инфо!$A$15:$A$28,F122)</f>
        <v/>
      </c>
      <c r="AF122" s="62">
        <f>IF(H122=0,0,N122/H122)</f>
        <v/>
      </c>
      <c r="AG122" s="82">
        <f>AF122-AE122</f>
        <v/>
      </c>
      <c r="AH122" s="81">
        <f>SUMIFS([1]инфо!$E$15:$E$28,[1]инфо!$A$15:$A$28,F122)</f>
        <v/>
      </c>
      <c r="AI122" s="64">
        <f>IF(H122=0,0,S122/H122)</f>
        <v/>
      </c>
      <c r="AJ122" s="82">
        <f>AI122-AH122</f>
        <v/>
      </c>
      <c r="AK122" s="81">
        <f>SUMIFS([1]инфо!$F$15:$F$28,[1]инфо!$A$15:$A$28,F122)</f>
        <v/>
      </c>
      <c r="AL122" s="64">
        <f>IF(H122=0,0,Y122/H122)</f>
        <v/>
      </c>
      <c r="AM122" s="82">
        <f>AL122-AK122</f>
        <v/>
      </c>
      <c r="AN122" s="81">
        <f>SUMIFS([1]инфо!$G$15:$G$28,[1]инфо!$A$15:$A$28,F122)</f>
        <v/>
      </c>
      <c r="AO122" s="64">
        <f>IF(H122=0,0,AA122/H122)</f>
        <v/>
      </c>
      <c r="AP122" s="82">
        <f>AO122-AN122</f>
        <v/>
      </c>
      <c r="AQ122" s="81">
        <f>SUMIFS([1]инфо!$H$15:$H$28,[1]инфо!$A$15:$A$28,F122)</f>
        <v/>
      </c>
      <c r="AR122" s="85">
        <f>IF(H121=0,0,AC122/H121)</f>
        <v/>
      </c>
      <c r="AS122" s="82">
        <f>AR122-AQ122</f>
        <v/>
      </c>
      <c r="AT122" s="81">
        <f>SUMIFS([1]инфо!$I$15:$I$28,[1]инфо!$A$15:$A$28,F122)</f>
        <v/>
      </c>
      <c r="AU122" s="62">
        <f>IF(H122=0,0,AD122/H122)</f>
        <v/>
      </c>
      <c r="AV122" s="82">
        <f>AU122-AT122</f>
        <v/>
      </c>
      <c r="AX122" s="80">
        <f>SUMIFS([1]инфо!$C$15:$C$28,[1]инфо!$A$15:$A$28,F122)*H121</f>
        <v/>
      </c>
    </row>
    <row r="123">
      <c r="A123" s="71">
        <f>A121+1</f>
        <v/>
      </c>
      <c r="B123" s="65" t="inlineStr">
        <is>
          <t>0091</t>
        </is>
      </c>
      <c r="C123" s="72" t="inlineStr">
        <is>
          <t>линия 2</t>
        </is>
      </c>
      <c r="D123" s="73" t="inlineStr">
        <is>
          <t>день</t>
        </is>
      </c>
      <c r="E123" s="66" t="inlineStr">
        <is>
          <t>Бекбосынов</t>
        </is>
      </c>
      <c r="F123" s="67" t="inlineStr">
        <is>
          <t>8 волн гладкий</t>
        </is>
      </c>
      <c r="G123" s="68" t="n">
        <v>58</v>
      </c>
      <c r="H123" s="68" t="n">
        <v>2400</v>
      </c>
      <c r="I123" s="57">
        <f>IFERROR(H123*VLOOKUP(F123,[1]инфо!$A$15:$C$28,3,FALSE)/1000,0)</f>
        <v/>
      </c>
      <c r="J123" s="68" t="n">
        <v>2500</v>
      </c>
      <c r="K123" s="68" t="n">
        <v>10</v>
      </c>
      <c r="L123" s="68" t="n">
        <v>1</v>
      </c>
      <c r="M123" s="55" t="n">
        <v>130</v>
      </c>
      <c r="N123" s="67" t="n">
        <v>5879</v>
      </c>
      <c r="O123" s="74" t="n"/>
      <c r="P123" s="74" t="n"/>
      <c r="Q123" s="74" t="n">
        <v>18559</v>
      </c>
      <c r="R123" s="74" t="n">
        <v>18602</v>
      </c>
      <c r="S123" s="70">
        <f>SUM(O123:R123)</f>
        <v/>
      </c>
      <c r="T123" s="72" t="n"/>
      <c r="U123" s="73" t="n"/>
      <c r="V123" s="74" t="n"/>
      <c r="W123" s="74" t="n"/>
      <c r="X123" s="74" t="n"/>
      <c r="Y123" s="72" t="n">
        <v>500</v>
      </c>
      <c r="Z123" s="74" t="n"/>
      <c r="AA123" s="74" t="n">
        <v>116</v>
      </c>
      <c r="AB123" s="74" t="n"/>
      <c r="AC123" s="69" t="n">
        <v>580</v>
      </c>
      <c r="AD123" s="73" t="n">
        <v>40</v>
      </c>
      <c r="AE123" s="75">
        <f>SUMIFS([1]инфо!$D$15:$D$28,[1]инфо!$A$15:$A$28,F123)</f>
        <v/>
      </c>
      <c r="AF123" s="62">
        <f>IF(H123=0,0,N123/H123)</f>
        <v/>
      </c>
      <c r="AG123" s="76">
        <f>AF123-AE123</f>
        <v/>
      </c>
      <c r="AH123" s="75">
        <f>SUMIFS([1]инфо!$E$15:$E$28,[1]инфо!$A$15:$A$28,F123)</f>
        <v/>
      </c>
      <c r="AI123" s="64">
        <f>IF(H123=0,0,S123/H123)</f>
        <v/>
      </c>
      <c r="AJ123" s="76">
        <f>AI123-AH123</f>
        <v/>
      </c>
      <c r="AK123" s="75">
        <f>SUMIFS([1]инфо!$F$15:$F$28,[1]инфо!$A$15:$A$28,F123)</f>
        <v/>
      </c>
      <c r="AL123" s="64">
        <f>IF(H123=0,0,Y123/H123)</f>
        <v/>
      </c>
      <c r="AM123" s="76">
        <f>AL123-AK123</f>
        <v/>
      </c>
      <c r="AN123" s="75">
        <f>SUMIFS([1]инфо!$G$15:$G$28,[1]инфо!$A$15:$A$28,F123)</f>
        <v/>
      </c>
      <c r="AO123" s="64">
        <f>IF(H123=0,0,AA123/H123)</f>
        <v/>
      </c>
      <c r="AP123" s="76">
        <f>AO123-AN123</f>
        <v/>
      </c>
      <c r="AQ123" s="75">
        <f>SUMIFS([1]инфо!$H$15:$H$28,[1]инфо!$A$15:$A$28,F123)</f>
        <v/>
      </c>
      <c r="AR123" s="64">
        <f>IF(H122=0,0,AC123/H122)</f>
        <v/>
      </c>
      <c r="AS123" s="76">
        <f>AR123-AQ123</f>
        <v/>
      </c>
      <c r="AT123" s="75">
        <f>SUMIFS([1]инфо!$I$15:$I$28,[1]инфо!$A$15:$A$28,F123)</f>
        <v/>
      </c>
      <c r="AU123" s="62">
        <f>IF(H123=0,0,AD123/H123)</f>
        <v/>
      </c>
      <c r="AV123" s="76">
        <f>AU123-AT123</f>
        <v/>
      </c>
      <c r="AX123" s="70">
        <f>SUMIFS([1]инфо!$C$15:$C$28,[1]инфо!$A$15:$A$28,F123)*H122</f>
        <v/>
      </c>
    </row>
    <row r="124">
      <c r="A124" s="71">
        <f>A122+1</f>
        <v/>
      </c>
      <c r="B124" s="65" t="inlineStr">
        <is>
          <t>0092</t>
        </is>
      </c>
      <c r="C124" s="52" t="inlineStr">
        <is>
          <t>линия 2</t>
        </is>
      </c>
      <c r="D124" s="53" t="inlineStr">
        <is>
          <t>ночь</t>
        </is>
      </c>
      <c r="E124" s="66" t="inlineStr">
        <is>
          <t>Монаев</t>
        </is>
      </c>
      <c r="F124" s="67" t="inlineStr">
        <is>
          <t>8 волн гладкий</t>
        </is>
      </c>
      <c r="G124" s="68" t="n">
        <v>65</v>
      </c>
      <c r="H124" s="68" t="n">
        <v>2600</v>
      </c>
      <c r="I124" s="57">
        <f>IFERROR(H124*VLOOKUP(F124,[1]инфо!$A$15:$C$28,3,FALSE)/1000,0)</f>
        <v/>
      </c>
      <c r="J124" s="68" t="n">
        <v>2750</v>
      </c>
      <c r="K124" s="68" t="n">
        <v>4</v>
      </c>
      <c r="L124" s="68" t="n">
        <v>4</v>
      </c>
      <c r="M124" s="55" t="n">
        <v>140</v>
      </c>
      <c r="N124" s="55" t="n">
        <v>6556</v>
      </c>
      <c r="O124" s="58" t="n"/>
      <c r="P124" s="58" t="n"/>
      <c r="Q124" s="58" t="n">
        <v>21151</v>
      </c>
      <c r="R124" s="58" t="n">
        <v>20469</v>
      </c>
      <c r="S124" s="59">
        <f>SUM(O124:R124)</f>
        <v/>
      </c>
      <c r="T124" s="52" t="n"/>
      <c r="U124" s="53" t="n"/>
      <c r="V124" s="58" t="n"/>
      <c r="W124" s="58" t="n"/>
      <c r="X124" s="58" t="n"/>
      <c r="Y124" s="52" t="n">
        <v>650</v>
      </c>
      <c r="Z124" s="58" t="n"/>
      <c r="AA124" s="58" t="n">
        <v>130</v>
      </c>
      <c r="AB124" s="58" t="n"/>
      <c r="AC124" s="69" t="n">
        <v>650</v>
      </c>
      <c r="AD124" s="53" t="n">
        <v>225</v>
      </c>
      <c r="AE124" s="61">
        <f>SUMIFS([1]инфо!$D$15:$D$28,[1]инфо!$A$15:$A$28,F124)</f>
        <v/>
      </c>
      <c r="AF124" s="62">
        <f>IF(H124=0,0,N124/H124)</f>
        <v/>
      </c>
      <c r="AG124" s="63">
        <f>AF124-AE124</f>
        <v/>
      </c>
      <c r="AH124" s="61">
        <f>SUMIFS([1]инфо!$E$15:$E$28,[1]инфо!$A$15:$A$28,F124)</f>
        <v/>
      </c>
      <c r="AI124" s="64">
        <f>IF(H124=0,0,S124/H124)</f>
        <v/>
      </c>
      <c r="AJ124" s="63">
        <f>AI124-AH124</f>
        <v/>
      </c>
      <c r="AK124" s="61">
        <f>SUMIFS([1]инфо!$F$15:$F$28,[1]инфо!$A$15:$A$28,F124)</f>
        <v/>
      </c>
      <c r="AL124" s="64">
        <f>IF(H124=0,0,Y124/H124)</f>
        <v/>
      </c>
      <c r="AM124" s="63">
        <f>AL124-AK124</f>
        <v/>
      </c>
      <c r="AN124" s="61">
        <f>SUMIFS([1]инфо!$G$15:$G$28,[1]инфо!$A$15:$A$28,F124)</f>
        <v/>
      </c>
      <c r="AO124" s="64">
        <f>IF(H124=0,0,AA124/H124)</f>
        <v/>
      </c>
      <c r="AP124" s="63">
        <f>AO124-AN124</f>
        <v/>
      </c>
      <c r="AQ124" s="61">
        <f>SUMIFS([1]инфо!$H$15:$H$28,[1]инфо!$A$15:$A$28,F124)</f>
        <v/>
      </c>
      <c r="AR124" s="62">
        <f>IF(H123=0,0,AC124/H123)</f>
        <v/>
      </c>
      <c r="AS124" s="63">
        <f>AR124-AQ124</f>
        <v/>
      </c>
      <c r="AT124" s="61">
        <f>SUMIFS([1]инфо!$I$15:$I$28,[1]инфо!$A$15:$A$28,F124)</f>
        <v/>
      </c>
      <c r="AU124" s="62">
        <f>IF(H124=0,0,AD124/H124)</f>
        <v/>
      </c>
      <c r="AV124" s="63">
        <f>AU124-AT124</f>
        <v/>
      </c>
      <c r="AX124" s="59">
        <f>SUMIFS([1]инфо!$C$15:$C$28,[1]инфо!$A$15:$A$28,F124)*H123</f>
        <v/>
      </c>
    </row>
    <row r="125">
      <c r="A125" s="71">
        <f>A123+1</f>
        <v/>
      </c>
      <c r="B125" s="65" t="inlineStr">
        <is>
          <t>0093</t>
        </is>
      </c>
      <c r="C125" s="52" t="inlineStr">
        <is>
          <t>линия 2</t>
        </is>
      </c>
      <c r="D125" s="53" t="inlineStr">
        <is>
          <t>день</t>
        </is>
      </c>
      <c r="E125" s="66" t="inlineStr">
        <is>
          <t>Султанулы</t>
        </is>
      </c>
      <c r="F125" s="67" t="inlineStr">
        <is>
          <t>8 волн гладкий</t>
        </is>
      </c>
      <c r="G125" s="68" t="n">
        <v>52</v>
      </c>
      <c r="H125" s="68" t="n">
        <v>2100</v>
      </c>
      <c r="I125" s="57">
        <f>IFERROR(H125*VLOOKUP(F125,[1]инфо!$A$15:$C$28,3,FALSE)/1000,0)</f>
        <v/>
      </c>
      <c r="J125" s="68" t="n">
        <v>1750</v>
      </c>
      <c r="K125" s="68" t="n">
        <v>8</v>
      </c>
      <c r="L125" s="68" t="n">
        <v>7</v>
      </c>
      <c r="M125" s="55" t="n">
        <v>80</v>
      </c>
      <c r="N125" s="55" t="n">
        <v>5294</v>
      </c>
      <c r="O125" s="58" t="n"/>
      <c r="P125" s="58" t="n"/>
      <c r="Q125" s="58" t="n">
        <v>17282</v>
      </c>
      <c r="R125" s="58" t="n">
        <v>15991</v>
      </c>
      <c r="S125" s="59">
        <f>SUM(O125:R125)</f>
        <v/>
      </c>
      <c r="T125" s="52" t="n"/>
      <c r="U125" s="53" t="n"/>
      <c r="V125" s="58" t="n"/>
      <c r="W125" s="58" t="n"/>
      <c r="X125" s="58" t="n"/>
      <c r="Y125" s="52" t="n">
        <v>520</v>
      </c>
      <c r="Z125" s="58" t="n"/>
      <c r="AA125" s="58" t="n">
        <v>104</v>
      </c>
      <c r="AB125" s="58" t="n"/>
      <c r="AC125" s="69" t="n">
        <v>520</v>
      </c>
      <c r="AD125" s="53" t="n">
        <v>260</v>
      </c>
      <c r="AE125" s="61">
        <f>SUMIFS([1]инфо!$D$15:$D$28,[1]инфо!$A$15:$A$28,F125)</f>
        <v/>
      </c>
      <c r="AF125" s="62">
        <f>IF(H125=0,0,N125/H125)</f>
        <v/>
      </c>
      <c r="AG125" s="63">
        <f>AF125-AE125</f>
        <v/>
      </c>
      <c r="AH125" s="61">
        <f>SUMIFS([1]инфо!$E$15:$E$28,[1]инфо!$A$15:$A$28,F125)</f>
        <v/>
      </c>
      <c r="AI125" s="64">
        <f>IF(H125=0,0,S125/H125)</f>
        <v/>
      </c>
      <c r="AJ125" s="63">
        <f>AI125-AH125</f>
        <v/>
      </c>
      <c r="AK125" s="61">
        <f>SUMIFS([1]инфо!$F$15:$F$28,[1]инфо!$A$15:$A$28,F125)</f>
        <v/>
      </c>
      <c r="AL125" s="64">
        <f>IF(H125=0,0,Y125/H125)</f>
        <v/>
      </c>
      <c r="AM125" s="63">
        <f>AL125-AK125</f>
        <v/>
      </c>
      <c r="AN125" s="61">
        <f>SUMIFS([1]инфо!$G$15:$G$28,[1]инфо!$A$15:$A$28,F125)</f>
        <v/>
      </c>
      <c r="AO125" s="64">
        <f>IF(H125=0,0,AA125/H125)</f>
        <v/>
      </c>
      <c r="AP125" s="63">
        <f>AO125-AN125</f>
        <v/>
      </c>
      <c r="AQ125" s="61">
        <f>SUMIFS([1]инфо!$H$15:$H$28,[1]инфо!$A$15:$A$28,F125)</f>
        <v/>
      </c>
      <c r="AR125" s="62">
        <f>IF(H124=0,0,AC125/H124)</f>
        <v/>
      </c>
      <c r="AS125" s="63">
        <f>AR125-AQ125</f>
        <v/>
      </c>
      <c r="AT125" s="61">
        <f>SUMIFS([1]инфо!$I$15:$I$28,[1]инфо!$A$15:$A$28,F125)</f>
        <v/>
      </c>
      <c r="AU125" s="62">
        <f>IF(H125=0,0,AD125/H125)</f>
        <v/>
      </c>
      <c r="AV125" s="63">
        <f>AU125-AT125</f>
        <v/>
      </c>
      <c r="AX125" s="59">
        <f>SUMIFS([1]инфо!$C$15:$C$28,[1]инфо!$A$15:$A$28,F125)*H124</f>
        <v/>
      </c>
    </row>
    <row r="126">
      <c r="A126" s="71">
        <f>A124+1</f>
        <v/>
      </c>
      <c r="B126" s="65" t="inlineStr">
        <is>
          <t>0094</t>
        </is>
      </c>
      <c r="C126" s="77" t="inlineStr">
        <is>
          <t>линия 2</t>
        </is>
      </c>
      <c r="D126" s="78" t="inlineStr">
        <is>
          <t>ночь</t>
        </is>
      </c>
      <c r="E126" s="66" t="inlineStr">
        <is>
          <t>Бекбосынов</t>
        </is>
      </c>
      <c r="F126" s="67" t="inlineStr">
        <is>
          <t>8 волн гладкий</t>
        </is>
      </c>
      <c r="G126" s="68" t="n">
        <v>55</v>
      </c>
      <c r="H126" s="68" t="n">
        <v>2300</v>
      </c>
      <c r="I126" s="57">
        <f>IFERROR(H126*VLOOKUP(F126,[1]инфо!$A$15:$C$28,3,FALSE)/1000,0)</f>
        <v/>
      </c>
      <c r="J126" s="68" t="n">
        <v>2500</v>
      </c>
      <c r="K126" s="68" t="n">
        <v>4</v>
      </c>
      <c r="L126" s="68" t="n">
        <v>1</v>
      </c>
      <c r="M126" s="55" t="n">
        <v>97</v>
      </c>
      <c r="N126" s="56" t="n">
        <v>5691</v>
      </c>
      <c r="O126" s="79" t="n"/>
      <c r="P126" s="79" t="n"/>
      <c r="Q126" s="79" t="n">
        <v>17271</v>
      </c>
      <c r="R126" s="79" t="n">
        <v>18573</v>
      </c>
      <c r="S126" s="80">
        <f>SUM(O126:R126)</f>
        <v/>
      </c>
      <c r="T126" s="77" t="n"/>
      <c r="U126" s="78" t="n"/>
      <c r="V126" s="79" t="n"/>
      <c r="W126" s="79" t="n"/>
      <c r="X126" s="79" t="n"/>
      <c r="Y126" s="77" t="n">
        <v>550</v>
      </c>
      <c r="Z126" s="79" t="n"/>
      <c r="AA126" s="79" t="n">
        <v>110</v>
      </c>
      <c r="AB126" s="79" t="n"/>
      <c r="AC126" s="69" t="n">
        <v>550</v>
      </c>
      <c r="AD126" s="78" t="n">
        <v>275</v>
      </c>
      <c r="AE126" s="81">
        <f>SUMIFS([1]инфо!$D$15:$D$28,[1]инфо!$A$15:$A$28,F126)</f>
        <v/>
      </c>
      <c r="AF126" s="62">
        <f>IF(H126=0,0,N126/H126)</f>
        <v/>
      </c>
      <c r="AG126" s="82">
        <f>AF126-AE126</f>
        <v/>
      </c>
      <c r="AH126" s="81">
        <f>SUMIFS([1]инфо!$E$15:$E$28,[1]инфо!$A$15:$A$28,F126)</f>
        <v/>
      </c>
      <c r="AI126" s="64">
        <f>IF(H126=0,0,S126/H126)</f>
        <v/>
      </c>
      <c r="AJ126" s="82">
        <f>AI126-AH126</f>
        <v/>
      </c>
      <c r="AK126" s="81">
        <f>SUMIFS([1]инфо!$F$15:$F$28,[1]инфо!$A$15:$A$28,F126)</f>
        <v/>
      </c>
      <c r="AL126" s="64">
        <f>IF(H126=0,0,Y126/H126)</f>
        <v/>
      </c>
      <c r="AM126" s="82">
        <f>AL126-AK126</f>
        <v/>
      </c>
      <c r="AN126" s="81">
        <f>SUMIFS([1]инфо!$G$15:$G$28,[1]инфо!$A$15:$A$28,F126)</f>
        <v/>
      </c>
      <c r="AO126" s="64">
        <f>IF(H126=0,0,AA126/H126)</f>
        <v/>
      </c>
      <c r="AP126" s="82">
        <f>AO126-AN126</f>
        <v/>
      </c>
      <c r="AQ126" s="81">
        <f>SUMIFS([1]инфо!$H$15:$H$28,[1]инфо!$A$15:$A$28,F126)</f>
        <v/>
      </c>
      <c r="AR126" s="85">
        <f>IF(H125=0,0,AC126/H125)</f>
        <v/>
      </c>
      <c r="AS126" s="82">
        <f>AR126-AQ126</f>
        <v/>
      </c>
      <c r="AT126" s="81">
        <f>SUMIFS([1]инфо!$I$15:$I$28,[1]инфо!$A$15:$A$28,F126)</f>
        <v/>
      </c>
      <c r="AU126" s="62">
        <f>IF(H126=0,0,AD126/H126)</f>
        <v/>
      </c>
      <c r="AV126" s="82">
        <f>AU126-AT126</f>
        <v/>
      </c>
      <c r="AX126" s="80">
        <f>SUMIFS([1]инфо!$C$15:$C$28,[1]инфо!$A$15:$A$28,F126)*H125</f>
        <v/>
      </c>
    </row>
    <row r="127">
      <c r="A127" s="71">
        <f>A125+1</f>
        <v/>
      </c>
      <c r="B127" s="65" t="inlineStr">
        <is>
          <t>0095</t>
        </is>
      </c>
      <c r="C127" s="72" t="inlineStr">
        <is>
          <t>линия 2</t>
        </is>
      </c>
      <c r="D127" s="73" t="inlineStr">
        <is>
          <t>день</t>
        </is>
      </c>
      <c r="E127" s="66" t="inlineStr">
        <is>
          <t>Дауылбай</t>
        </is>
      </c>
      <c r="F127" s="67" t="inlineStr">
        <is>
          <t>8 волн гладкий</t>
        </is>
      </c>
      <c r="G127" s="68" t="n">
        <v>58</v>
      </c>
      <c r="H127" s="68" t="n">
        <v>2450</v>
      </c>
      <c r="I127" s="57">
        <f>IFERROR(H127*VLOOKUP(F127,[1]инфо!$A$15:$C$28,3,FALSE)/1000,0)</f>
        <v/>
      </c>
      <c r="J127" s="68" t="n">
        <v>2250</v>
      </c>
      <c r="K127" s="68" t="n">
        <v>8</v>
      </c>
      <c r="L127" s="68" t="n">
        <v>3</v>
      </c>
      <c r="M127" s="55" t="n">
        <v>75</v>
      </c>
      <c r="N127" s="67" t="n">
        <v>5904</v>
      </c>
      <c r="O127" s="74" t="n"/>
      <c r="P127" s="74" t="n"/>
      <c r="Q127" s="74" t="n">
        <v>20517</v>
      </c>
      <c r="R127" s="74" t="n">
        <v>16848</v>
      </c>
      <c r="S127" s="70">
        <f>SUM(O127:R127)</f>
        <v/>
      </c>
      <c r="T127" s="72" t="n"/>
      <c r="U127" s="73" t="n"/>
      <c r="V127" s="74" t="n"/>
      <c r="W127" s="74" t="n"/>
      <c r="X127" s="74" t="n"/>
      <c r="Y127" s="72" t="n">
        <v>580</v>
      </c>
      <c r="Z127" s="74" t="n"/>
      <c r="AA127" s="74" t="n">
        <v>116</v>
      </c>
      <c r="AB127" s="74" t="n"/>
      <c r="AC127" s="69" t="n">
        <v>580</v>
      </c>
      <c r="AD127" s="73" t="n">
        <v>290</v>
      </c>
      <c r="AE127" s="75">
        <f>SUMIFS([1]инфо!$D$15:$D$28,[1]инфо!$A$15:$A$28,F127)</f>
        <v/>
      </c>
      <c r="AF127" s="62">
        <f>IF(H127=0,0,N127/H127)</f>
        <v/>
      </c>
      <c r="AG127" s="76">
        <f>AF127-AE127</f>
        <v/>
      </c>
      <c r="AH127" s="75">
        <f>SUMIFS([1]инфо!$E$15:$E$28,[1]инфо!$A$15:$A$28,F127)</f>
        <v/>
      </c>
      <c r="AI127" s="64">
        <f>IF(H127=0,0,S127/H127)</f>
        <v/>
      </c>
      <c r="AJ127" s="76">
        <f>AI127-AH127</f>
        <v/>
      </c>
      <c r="AK127" s="75">
        <f>SUMIFS([1]инфо!$F$15:$F$28,[1]инфо!$A$15:$A$28,F127)</f>
        <v/>
      </c>
      <c r="AL127" s="64">
        <f>IF(H127=0,0,Y127/H127)</f>
        <v/>
      </c>
      <c r="AM127" s="76">
        <f>AL127-AK127</f>
        <v/>
      </c>
      <c r="AN127" s="75">
        <f>SUMIFS([1]инфо!$G$15:$G$28,[1]инфо!$A$15:$A$28,F127)</f>
        <v/>
      </c>
      <c r="AO127" s="64">
        <f>IF(H127=0,0,AA127/H127)</f>
        <v/>
      </c>
      <c r="AP127" s="76">
        <f>AO127-AN127</f>
        <v/>
      </c>
      <c r="AQ127" s="75">
        <f>SUMIFS([1]инфо!$H$15:$H$28,[1]инфо!$A$15:$A$28,F127)</f>
        <v/>
      </c>
      <c r="AR127" s="64">
        <f>IF(H126=0,0,AC127/H126)</f>
        <v/>
      </c>
      <c r="AS127" s="76">
        <f>AR127-AQ127</f>
        <v/>
      </c>
      <c r="AT127" s="75">
        <f>SUMIFS([1]инфо!$I$15:$I$28,[1]инфо!$A$15:$A$28,F127)</f>
        <v/>
      </c>
      <c r="AU127" s="62">
        <f>IF(H127=0,0,AD127/H127)</f>
        <v/>
      </c>
      <c r="AV127" s="76">
        <f>AU127-AT127</f>
        <v/>
      </c>
      <c r="AX127" s="70">
        <f>SUMIFS([1]инфо!$C$15:$C$28,[1]инфо!$A$15:$A$28,F127)*H126</f>
        <v/>
      </c>
    </row>
    <row r="128">
      <c r="A128" s="71">
        <f>A126+1</f>
        <v/>
      </c>
      <c r="B128" s="65" t="inlineStr">
        <is>
          <t>0096</t>
        </is>
      </c>
      <c r="C128" s="52" t="inlineStr">
        <is>
          <t>линия 2</t>
        </is>
      </c>
      <c r="D128" s="53" t="inlineStr">
        <is>
          <t>ночь</t>
        </is>
      </c>
      <c r="E128" s="66" t="inlineStr">
        <is>
          <t>Султанулы</t>
        </is>
      </c>
      <c r="F128" s="67" t="inlineStr">
        <is>
          <t>8 волн гладкий</t>
        </is>
      </c>
      <c r="G128" s="68" t="n">
        <v>42</v>
      </c>
      <c r="H128" s="68" t="n">
        <v>1600</v>
      </c>
      <c r="I128" s="57">
        <f>IFERROR(H128*VLOOKUP(F128,[1]инфо!$A$15:$C$28,3,FALSE)/1000,0)</f>
        <v/>
      </c>
      <c r="J128" s="68" t="n">
        <v>2250</v>
      </c>
      <c r="K128" s="68" t="n">
        <v>12</v>
      </c>
      <c r="L128" s="68" t="n">
        <v>3</v>
      </c>
      <c r="M128" s="55" t="n">
        <v>64</v>
      </c>
      <c r="N128" s="55" t="n">
        <v>4248</v>
      </c>
      <c r="O128" s="58" t="n"/>
      <c r="P128" s="58" t="n"/>
      <c r="Q128" s="58" t="n">
        <v>8324</v>
      </c>
      <c r="R128" s="58" t="n">
        <v>18572</v>
      </c>
      <c r="S128" s="59">
        <f>SUM(O128:R128)</f>
        <v/>
      </c>
      <c r="T128" s="52" t="n"/>
      <c r="U128" s="53" t="n"/>
      <c r="V128" s="58" t="n"/>
      <c r="W128" s="58" t="n"/>
      <c r="X128" s="58" t="n"/>
      <c r="Y128" s="52" t="n">
        <v>420</v>
      </c>
      <c r="Z128" s="58" t="n"/>
      <c r="AA128" s="58" t="n">
        <v>80</v>
      </c>
      <c r="AB128" s="58" t="n"/>
      <c r="AC128" s="69" t="n">
        <v>420</v>
      </c>
      <c r="AD128" s="53" t="n">
        <v>200</v>
      </c>
      <c r="AE128" s="61">
        <f>SUMIFS([1]инфо!$D$15:$D$28,[1]инфо!$A$15:$A$28,F128)</f>
        <v/>
      </c>
      <c r="AF128" s="62">
        <f>IF(H128=0,0,N128/H128)</f>
        <v/>
      </c>
      <c r="AG128" s="63">
        <f>AF128-AE128</f>
        <v/>
      </c>
      <c r="AH128" s="61">
        <f>SUMIFS([1]инфо!$E$15:$E$28,[1]инфо!$A$15:$A$28,F128)</f>
        <v/>
      </c>
      <c r="AI128" s="64">
        <f>IF(H128=0,0,S128/H128)</f>
        <v/>
      </c>
      <c r="AJ128" s="63">
        <f>AI128-AH128</f>
        <v/>
      </c>
      <c r="AK128" s="61">
        <f>SUMIFS([1]инфо!$F$15:$F$28,[1]инфо!$A$15:$A$28,F128)</f>
        <v/>
      </c>
      <c r="AL128" s="64">
        <f>IF(H128=0,0,Y128/H128)</f>
        <v/>
      </c>
      <c r="AM128" s="63">
        <f>AL128-AK128</f>
        <v/>
      </c>
      <c r="AN128" s="61">
        <f>SUMIFS([1]инфо!$G$15:$G$28,[1]инфо!$A$15:$A$28,F128)</f>
        <v/>
      </c>
      <c r="AO128" s="64">
        <f>IF(H128=0,0,AA128/H128)</f>
        <v/>
      </c>
      <c r="AP128" s="63">
        <f>AO128-AN128</f>
        <v/>
      </c>
      <c r="AQ128" s="61">
        <f>SUMIFS([1]инфо!$H$15:$H$28,[1]инфо!$A$15:$A$28,F128)</f>
        <v/>
      </c>
      <c r="AR128" s="62">
        <f>IF(H127=0,0,AC128/H127)</f>
        <v/>
      </c>
      <c r="AS128" s="63">
        <f>AR128-AQ128</f>
        <v/>
      </c>
      <c r="AT128" s="61">
        <f>SUMIFS([1]инфо!$I$15:$I$28,[1]инфо!$A$15:$A$28,F128)</f>
        <v/>
      </c>
      <c r="AU128" s="62">
        <f>IF(H128=0,0,AD128/H128)</f>
        <v/>
      </c>
      <c r="AV128" s="63">
        <f>AU128-AT128</f>
        <v/>
      </c>
      <c r="AX128" s="59">
        <f>SUMIFS([1]инфо!$C$15:$C$28,[1]инфо!$A$15:$A$28,F128)*H127</f>
        <v/>
      </c>
    </row>
    <row r="129">
      <c r="A129" s="71">
        <f>A127+1</f>
        <v/>
      </c>
      <c r="B129" s="65" t="n"/>
      <c r="C129" s="52" t="n"/>
      <c r="D129" s="53" t="n"/>
      <c r="E129" s="66" t="n"/>
      <c r="F129" s="67" t="n"/>
      <c r="G129" s="68" t="n"/>
      <c r="H129" s="68" t="n"/>
      <c r="I129" s="57">
        <f>IFERROR(H129*VLOOKUP(F129,[1]инфо!$A$15:$C$28,3,FALSE)/1000,0)</f>
        <v/>
      </c>
      <c r="M129" s="55" t="n"/>
      <c r="N129" s="55" t="n"/>
      <c r="O129" s="58" t="n"/>
      <c r="P129" s="58" t="n"/>
      <c r="Q129" s="58" t="n"/>
      <c r="R129" s="58" t="n"/>
      <c r="S129" s="59">
        <f>SUM(O129:R129)</f>
        <v/>
      </c>
      <c r="T129" s="52" t="n"/>
      <c r="U129" s="53" t="n"/>
      <c r="V129" s="58" t="n"/>
      <c r="W129" s="58" t="n"/>
      <c r="X129" s="58" t="n"/>
      <c r="Y129" s="52" t="n"/>
      <c r="Z129" s="58" t="n"/>
      <c r="AA129" s="58" t="n"/>
      <c r="AB129" s="58" t="n"/>
      <c r="AC129" s="69" t="n"/>
      <c r="AD129" s="53" t="n"/>
      <c r="AE129" s="61">
        <f>SUMIFS([1]инфо!$D$15:$D$28,[1]инфо!$A$15:$A$28,F129)</f>
        <v/>
      </c>
      <c r="AF129" s="62">
        <f>IF(H129=0,0,N129/H129)</f>
        <v/>
      </c>
      <c r="AG129" s="63">
        <f>AF129-AE129</f>
        <v/>
      </c>
      <c r="AH129" s="61">
        <f>SUMIFS([1]инфо!$E$15:$E$28,[1]инфо!$A$15:$A$28,F129)</f>
        <v/>
      </c>
      <c r="AI129" s="64">
        <f>IF(H129=0,0,S129/H129)</f>
        <v/>
      </c>
      <c r="AJ129" s="63">
        <f>AI129-AH129</f>
        <v/>
      </c>
      <c r="AK129" s="61">
        <f>SUMIFS([1]инфо!$F$15:$F$28,[1]инфо!$A$15:$A$28,F129)</f>
        <v/>
      </c>
      <c r="AL129" s="64">
        <f>IF(H129=0,0,Y129/H129)</f>
        <v/>
      </c>
      <c r="AM129" s="63">
        <f>AL129-AK129</f>
        <v/>
      </c>
      <c r="AN129" s="61">
        <f>SUMIFS([1]инфо!$G$15:$G$28,[1]инфо!$A$15:$A$28,F129)</f>
        <v/>
      </c>
      <c r="AO129" s="64">
        <f>IF(H129=0,0,AA129/H129)</f>
        <v/>
      </c>
      <c r="AP129" s="63">
        <f>AO129-AN129</f>
        <v/>
      </c>
      <c r="AQ129" s="61">
        <f>SUMIFS([1]инфо!$H$15:$H$28,[1]инфо!$A$15:$A$28,F129)</f>
        <v/>
      </c>
      <c r="AR129" s="62">
        <f>IF(H128=0,0,AC129/H128)</f>
        <v/>
      </c>
      <c r="AS129" s="63">
        <f>AR129-AQ129</f>
        <v/>
      </c>
      <c r="AT129" s="61">
        <f>SUMIFS([1]инфо!$I$15:$I$28,[1]инфо!$A$15:$A$28,F129)</f>
        <v/>
      </c>
      <c r="AU129" s="62">
        <f>IF(H129=0,0,AD129/H129)</f>
        <v/>
      </c>
      <c r="AV129" s="63">
        <f>AU129-AT129</f>
        <v/>
      </c>
      <c r="AX129" s="59">
        <f>SUMIFS([1]инфо!$C$15:$C$28,[1]инфо!$A$15:$A$28,F129)*H128</f>
        <v/>
      </c>
    </row>
    <row r="130">
      <c r="A130" s="71">
        <f>A128+1</f>
        <v/>
      </c>
      <c r="B130" s="65" t="n"/>
      <c r="C130" s="77" t="n"/>
      <c r="D130" s="78" t="n"/>
      <c r="E130" s="66" t="n"/>
      <c r="F130" s="67" t="n"/>
      <c r="G130" s="68" t="n"/>
      <c r="H130" s="68" t="n"/>
      <c r="I130" s="57">
        <f>IFERROR(H130*VLOOKUP(F130,[1]инфо!$A$15:$C$28,3,FALSE)/1000,0)</f>
        <v/>
      </c>
      <c r="J130" s="55" t="n"/>
      <c r="K130" s="68" t="n"/>
      <c r="L130" s="68" t="n"/>
      <c r="M130" s="55" t="n"/>
      <c r="N130" s="56" t="n"/>
      <c r="O130" s="79" t="n"/>
      <c r="P130" s="79" t="n"/>
      <c r="Q130" s="79" t="n"/>
      <c r="R130" s="79" t="n"/>
      <c r="S130" s="80">
        <f>SUM(O130:R130)</f>
        <v/>
      </c>
      <c r="T130" s="77" t="n"/>
      <c r="U130" s="78" t="n"/>
      <c r="V130" s="79" t="n">
        <v>1000</v>
      </c>
      <c r="W130" s="79" t="n"/>
      <c r="X130" s="79" t="n"/>
      <c r="Y130" s="77" t="n"/>
      <c r="Z130" s="79" t="n"/>
      <c r="AA130" s="79" t="n"/>
      <c r="AB130" s="79" t="n"/>
      <c r="AC130" s="79" t="n"/>
      <c r="AD130" s="78" t="n"/>
      <c r="AE130" s="81">
        <f>SUMIFS([1]инфо!$D$15:$D$28,[1]инфо!$A$15:$A$28,F130)</f>
        <v/>
      </c>
      <c r="AF130" s="62">
        <f>IF(H130=0,0,N130/H130)</f>
        <v/>
      </c>
      <c r="AG130" s="82">
        <f>AF130-AE130</f>
        <v/>
      </c>
      <c r="AH130" s="81">
        <f>SUMIFS([1]инфо!$E$15:$E$28,[1]инфо!$A$15:$A$28,F130)</f>
        <v/>
      </c>
      <c r="AI130" s="64">
        <f>IF(H130=0,0,S130/H130)</f>
        <v/>
      </c>
      <c r="AJ130" s="82">
        <f>AI130-AH130</f>
        <v/>
      </c>
      <c r="AK130" s="81">
        <f>SUMIFS([1]инфо!$F$15:$F$28,[1]инфо!$A$15:$A$28,F130)</f>
        <v/>
      </c>
      <c r="AL130" s="64">
        <f>IF(H130=0,0,Y130/H130)</f>
        <v/>
      </c>
      <c r="AM130" s="82">
        <f>AL130-AK130</f>
        <v/>
      </c>
      <c r="AN130" s="81">
        <f>SUMIFS([1]инфо!$G$15:$G$28,[1]инфо!$A$15:$A$28,F130)</f>
        <v/>
      </c>
      <c r="AO130" s="64">
        <f>IF(H130=0,0,AA130/H130)</f>
        <v/>
      </c>
      <c r="AP130" s="82">
        <f>AO130-AN130</f>
        <v/>
      </c>
      <c r="AQ130" s="81">
        <f>SUMIFS([1]инфо!$H$15:$H$28,[1]инфо!$A$15:$A$28,F130)</f>
        <v/>
      </c>
      <c r="AR130" s="85">
        <f>IF(H129=0,0,AC130/H129)</f>
        <v/>
      </c>
      <c r="AS130" s="82">
        <f>AR130-AQ130</f>
        <v/>
      </c>
      <c r="AT130" s="81">
        <f>SUMIFS([1]инфо!$I$15:$I$28,[1]инфо!$A$15:$A$28,F130)</f>
        <v/>
      </c>
      <c r="AU130" s="62">
        <f>IF(H130=0,0,AD130/H130)</f>
        <v/>
      </c>
      <c r="AV130" s="82">
        <f>AU130-AT130</f>
        <v/>
      </c>
      <c r="AX130" s="80">
        <f>SUMIFS([1]инфо!$C$15:$C$28,[1]инфо!$A$15:$A$28,F130)*H129</f>
        <v/>
      </c>
    </row>
    <row r="131">
      <c r="A131" s="71">
        <f>A129+1</f>
        <v/>
      </c>
      <c r="B131" s="65" t="n"/>
      <c r="C131" s="72" t="n"/>
      <c r="D131" s="73" t="n"/>
      <c r="E131" s="66" t="n"/>
      <c r="F131" s="67" t="n"/>
      <c r="G131" s="68" t="n"/>
      <c r="H131" s="68" t="n"/>
      <c r="I131" s="57">
        <f>IFERROR(H131*VLOOKUP(F131,[1]инфо!$A$15:$C$28,3,FALSE)/1000,0)</f>
        <v/>
      </c>
      <c r="J131" s="55" t="n"/>
      <c r="K131" s="68" t="n"/>
      <c r="L131" s="68" t="n"/>
      <c r="M131" s="55" t="n"/>
      <c r="N131" s="67" t="n"/>
      <c r="O131" s="74" t="n"/>
      <c r="P131" s="74" t="n"/>
      <c r="Q131" s="74" t="n"/>
      <c r="R131" s="74" t="n"/>
      <c r="S131" s="70">
        <f>SUM(O131:R131)</f>
        <v/>
      </c>
      <c r="T131" s="72" t="n"/>
      <c r="U131" s="73" t="n"/>
      <c r="V131" s="74" t="n"/>
      <c r="W131" s="74" t="n"/>
      <c r="X131" s="74" t="n"/>
      <c r="Y131" s="72" t="n"/>
      <c r="Z131" s="74" t="n"/>
      <c r="AA131" s="74" t="n"/>
      <c r="AB131" s="74" t="n"/>
      <c r="AC131" s="74" t="n"/>
      <c r="AD131" s="73" t="n"/>
      <c r="AE131" s="75">
        <f>SUMIFS([1]инфо!$D$15:$D$28,[1]инфо!$A$15:$A$28,F131)</f>
        <v/>
      </c>
      <c r="AF131" s="62">
        <f>IF(H131=0,0,N131/H131)</f>
        <v/>
      </c>
      <c r="AG131" s="76">
        <f>AF131-AE131</f>
        <v/>
      </c>
      <c r="AH131" s="75">
        <f>SUMIFS([1]инфо!$E$15:$E$28,[1]инфо!$A$15:$A$28,F131)</f>
        <v/>
      </c>
      <c r="AI131" s="64">
        <f>IF(H131=0,0,S131/H131)</f>
        <v/>
      </c>
      <c r="AJ131" s="76">
        <f>AI131-AH131</f>
        <v/>
      </c>
      <c r="AK131" s="75">
        <f>SUMIFS([1]инфо!$F$15:$F$28,[1]инфо!$A$15:$A$28,F131)</f>
        <v/>
      </c>
      <c r="AL131" s="64">
        <f>IF(H131=0,0,Y131/H131)</f>
        <v/>
      </c>
      <c r="AM131" s="76">
        <f>AL131-AK131</f>
        <v/>
      </c>
      <c r="AN131" s="75">
        <f>SUMIFS([1]инфо!$G$15:$G$28,[1]инфо!$A$15:$A$28,F131)</f>
        <v/>
      </c>
      <c r="AO131" s="64">
        <f>IF(H131=0,0,AA131/H131)</f>
        <v/>
      </c>
      <c r="AP131" s="76">
        <f>AO131-AN131</f>
        <v/>
      </c>
      <c r="AQ131" s="75">
        <f>SUMIFS([1]инфо!$H$15:$H$28,[1]инфо!$A$15:$A$28,F131)</f>
        <v/>
      </c>
      <c r="AR131" s="64">
        <f>IF(H130=0,0,AC131/H130)</f>
        <v/>
      </c>
      <c r="AS131" s="76">
        <f>AR131-AQ131</f>
        <v/>
      </c>
      <c r="AT131" s="75">
        <f>SUMIFS([1]инфо!$I$15:$I$28,[1]инфо!$A$15:$A$28,F131)</f>
        <v/>
      </c>
      <c r="AU131" s="62">
        <f>IF(H131=0,0,AD131/H131)</f>
        <v/>
      </c>
      <c r="AV131" s="76">
        <f>AU131-AT131</f>
        <v/>
      </c>
      <c r="AX131" s="70">
        <f>SUMIFS([1]инфо!$C$15:$C$28,[1]инфо!$A$15:$A$28,F131)*H130</f>
        <v/>
      </c>
    </row>
    <row r="132">
      <c r="A132" s="71">
        <f>A130+1</f>
        <v/>
      </c>
      <c r="B132" s="65" t="n"/>
      <c r="C132" s="52" t="n"/>
      <c r="D132" s="53" t="n"/>
      <c r="E132" s="66" t="n"/>
      <c r="F132" s="67" t="n"/>
      <c r="G132" s="68" t="n"/>
      <c r="H132" s="68" t="n"/>
      <c r="I132" s="57">
        <f>IFERROR(H132*VLOOKUP(F132,[1]инфо!$A$15:$C$28,3,FALSE)/1000,0)</f>
        <v/>
      </c>
      <c r="J132" s="55" t="n"/>
      <c r="K132" s="68" t="n"/>
      <c r="L132" s="68" t="n"/>
      <c r="M132" s="55" t="n"/>
      <c r="N132" s="55" t="n"/>
      <c r="O132" s="58" t="n"/>
      <c r="P132" s="58" t="n"/>
      <c r="Q132" s="58" t="n"/>
      <c r="R132" s="58" t="n"/>
      <c r="S132" s="59">
        <f>SUM(O132:R132)</f>
        <v/>
      </c>
      <c r="T132" s="52" t="n"/>
      <c r="U132" s="53" t="n"/>
      <c r="V132" s="58" t="n"/>
      <c r="W132" s="58" t="n"/>
      <c r="X132" s="58" t="n"/>
      <c r="Y132" s="52" t="n"/>
      <c r="Z132" s="58" t="n"/>
      <c r="AA132" s="58" t="n"/>
      <c r="AB132" s="58" t="n"/>
      <c r="AC132" s="58" t="n"/>
      <c r="AD132" s="53" t="n"/>
      <c r="AE132" s="61">
        <f>SUMIFS([1]инфо!$D$15:$D$28,[1]инфо!$A$15:$A$28,F132)</f>
        <v/>
      </c>
      <c r="AF132" s="62">
        <f>IF(H132=0,0,N132/H132)</f>
        <v/>
      </c>
      <c r="AG132" s="63">
        <f>AF132-AE132</f>
        <v/>
      </c>
      <c r="AH132" s="61">
        <f>SUMIFS([1]инфо!$E$15:$E$28,[1]инфо!$A$15:$A$28,F132)</f>
        <v/>
      </c>
      <c r="AI132" s="64">
        <f>IF(H132=0,0,S132/H132)</f>
        <v/>
      </c>
      <c r="AJ132" s="63">
        <f>AI132-AH132</f>
        <v/>
      </c>
      <c r="AK132" s="61">
        <f>SUMIFS([1]инфо!$F$15:$F$28,[1]инфо!$A$15:$A$28,F132)</f>
        <v/>
      </c>
      <c r="AL132" s="64">
        <f>IF(H132=0,0,Y132/H132)</f>
        <v/>
      </c>
      <c r="AM132" s="63">
        <f>AL132-AK132</f>
        <v/>
      </c>
      <c r="AN132" s="61">
        <f>SUMIFS([1]инфо!$G$15:$G$28,[1]инфо!$A$15:$A$28,F132)</f>
        <v/>
      </c>
      <c r="AO132" s="64">
        <f>IF(H132=0,0,AA132/H132)</f>
        <v/>
      </c>
      <c r="AP132" s="63">
        <f>AO132-AN132</f>
        <v/>
      </c>
      <c r="AQ132" s="61">
        <f>SUMIFS([1]инфо!$H$15:$H$28,[1]инфо!$A$15:$A$28,F132)</f>
        <v/>
      </c>
      <c r="AR132" s="62">
        <f>IF(H131=0,0,AC132/H131)</f>
        <v/>
      </c>
      <c r="AS132" s="63">
        <f>AR132-AQ132</f>
        <v/>
      </c>
      <c r="AT132" s="61">
        <f>SUMIFS([1]инфо!$I$15:$I$28,[1]инфо!$A$15:$A$28,F132)</f>
        <v/>
      </c>
      <c r="AU132" s="62">
        <f>IF(H132=0,0,AD132/H132)</f>
        <v/>
      </c>
      <c r="AV132" s="63">
        <f>AU132-AT132</f>
        <v/>
      </c>
      <c r="AX132" s="59">
        <f>SUMIFS([1]инфо!$C$15:$C$28,[1]инфо!$A$15:$A$28,F132)*H131</f>
        <v/>
      </c>
    </row>
    <row r="133">
      <c r="A133" s="71">
        <f>A131+1</f>
        <v/>
      </c>
      <c r="B133" s="65" t="n"/>
      <c r="C133" s="52" t="n"/>
      <c r="D133" s="53" t="n"/>
      <c r="E133" s="66" t="n"/>
      <c r="F133" s="67" t="n"/>
      <c r="G133" s="68" t="n"/>
      <c r="H133" s="68" t="n"/>
      <c r="I133" s="57">
        <f>IFERROR(H133*VLOOKUP(F133,[1]инфо!$A$15:$C$28,3,FALSE)/1000,0)</f>
        <v/>
      </c>
      <c r="J133" s="55" t="n"/>
      <c r="K133" s="68" t="n"/>
      <c r="L133" s="68" t="n"/>
      <c r="M133" s="55" t="n"/>
      <c r="N133" s="55" t="n"/>
      <c r="O133" s="58" t="n"/>
      <c r="P133" s="58" t="n"/>
      <c r="Q133" s="58" t="n"/>
      <c r="R133" s="58" t="n"/>
      <c r="S133" s="59">
        <f>SUM(O133:R133)</f>
        <v/>
      </c>
      <c r="T133" s="52" t="n"/>
      <c r="U133" s="53" t="n"/>
      <c r="V133" s="58" t="n"/>
      <c r="W133" s="58" t="n"/>
      <c r="X133" s="58" t="n"/>
      <c r="Y133" s="52" t="n"/>
      <c r="Z133" s="58" t="n"/>
      <c r="AA133" s="58" t="n"/>
      <c r="AB133" s="58" t="n"/>
      <c r="AC133" s="58" t="n"/>
      <c r="AD133" s="53" t="n"/>
      <c r="AE133" s="61">
        <f>SUMIFS([1]инфо!$D$15:$D$28,[1]инфо!$A$15:$A$28,F133)</f>
        <v/>
      </c>
      <c r="AF133" s="62">
        <f>IF(H133=0,0,N133/H133)</f>
        <v/>
      </c>
      <c r="AG133" s="63">
        <f>AF133-AE133</f>
        <v/>
      </c>
      <c r="AH133" s="61">
        <f>SUMIFS([1]инфо!$E$15:$E$28,[1]инфо!$A$15:$A$28,F133)</f>
        <v/>
      </c>
      <c r="AI133" s="64">
        <f>IF(H133=0,0,S133/H133)</f>
        <v/>
      </c>
      <c r="AJ133" s="63">
        <f>AI133-AH133</f>
        <v/>
      </c>
      <c r="AK133" s="61">
        <f>SUMIFS([1]инфо!$F$15:$F$28,[1]инфо!$A$15:$A$28,F133)</f>
        <v/>
      </c>
      <c r="AL133" s="64">
        <f>IF(H133=0,0,Y133/H133)</f>
        <v/>
      </c>
      <c r="AM133" s="63">
        <f>AL133-AK133</f>
        <v/>
      </c>
      <c r="AN133" s="61">
        <f>SUMIFS([1]инфо!$G$15:$G$28,[1]инфо!$A$15:$A$28,F133)</f>
        <v/>
      </c>
      <c r="AO133" s="64">
        <f>IF(H133=0,0,AA133/H133)</f>
        <v/>
      </c>
      <c r="AP133" s="63">
        <f>AO133-AN133</f>
        <v/>
      </c>
      <c r="AQ133" s="61">
        <f>SUMIFS([1]инфо!$H$15:$H$28,[1]инфо!$A$15:$A$28,F133)</f>
        <v/>
      </c>
      <c r="AR133" s="62">
        <f>IF(H132=0,0,AC133/H132)</f>
        <v/>
      </c>
      <c r="AS133" s="63">
        <f>AR133-AQ133</f>
        <v/>
      </c>
      <c r="AT133" s="61">
        <f>SUMIFS([1]инфо!$I$15:$I$28,[1]инфо!$A$15:$A$28,F133)</f>
        <v/>
      </c>
      <c r="AU133" s="62">
        <f>IF(H133=0,0,AD133/H133)</f>
        <v/>
      </c>
      <c r="AV133" s="63">
        <f>AU133-AT133</f>
        <v/>
      </c>
      <c r="AX133" s="59">
        <f>SUMIFS([1]инфо!$C$15:$C$28,[1]инфо!$A$15:$A$28,F133)*H132</f>
        <v/>
      </c>
    </row>
    <row r="134">
      <c r="A134" s="71">
        <f>A132+1</f>
        <v/>
      </c>
      <c r="B134" s="65" t="n"/>
      <c r="C134" s="77" t="n"/>
      <c r="D134" s="78" t="n"/>
      <c r="E134" s="66" t="n"/>
      <c r="F134" s="67" t="n"/>
      <c r="G134" s="68" t="n"/>
      <c r="H134" s="68" t="n"/>
      <c r="I134" s="57">
        <f>IFERROR(H134*VLOOKUP(F134,[1]инфо!$A$15:$C$28,3,FALSE)/1000,0)</f>
        <v/>
      </c>
      <c r="J134" s="55" t="n"/>
      <c r="K134" s="68" t="n"/>
      <c r="L134" s="68" t="n"/>
      <c r="M134" s="55" t="n"/>
      <c r="N134" s="56" t="n"/>
      <c r="O134" s="79" t="n"/>
      <c r="P134" s="79" t="n"/>
      <c r="Q134" s="79" t="n"/>
      <c r="R134" s="79" t="n"/>
      <c r="S134" s="80">
        <f>SUM(O134:R134)</f>
        <v/>
      </c>
      <c r="T134" s="77" t="n"/>
      <c r="U134" s="78" t="n"/>
      <c r="V134" s="79" t="n"/>
      <c r="W134" s="79" t="n"/>
      <c r="X134" s="79" t="n"/>
      <c r="Y134" s="77" t="n"/>
      <c r="Z134" s="79" t="n"/>
      <c r="AA134" s="79" t="n"/>
      <c r="AB134" s="79" t="n"/>
      <c r="AC134" s="79" t="n"/>
      <c r="AD134" s="78" t="n"/>
      <c r="AE134" s="81">
        <f>SUMIFS([1]инфо!$D$15:$D$28,[1]инфо!$A$15:$A$28,F134)</f>
        <v/>
      </c>
      <c r="AF134" s="62">
        <f>IF(H134=0,0,N134/H134)</f>
        <v/>
      </c>
      <c r="AG134" s="82">
        <f>AF134-AE134</f>
        <v/>
      </c>
      <c r="AH134" s="81">
        <f>SUMIFS([1]инфо!$E$15:$E$28,[1]инфо!$A$15:$A$28,F134)</f>
        <v/>
      </c>
      <c r="AI134" s="64">
        <f>IF(H134=0,0,S134/H134)</f>
        <v/>
      </c>
      <c r="AJ134" s="82">
        <f>AI134-AH134</f>
        <v/>
      </c>
      <c r="AK134" s="81">
        <f>SUMIFS([1]инфо!$F$15:$F$28,[1]инфо!$A$15:$A$28,F134)</f>
        <v/>
      </c>
      <c r="AL134" s="64">
        <f>IF(H134=0,0,Y134/H134)</f>
        <v/>
      </c>
      <c r="AM134" s="82">
        <f>AL134-AK134</f>
        <v/>
      </c>
      <c r="AN134" s="81">
        <f>SUMIFS([1]инфо!$G$15:$G$28,[1]инфо!$A$15:$A$28,F134)</f>
        <v/>
      </c>
      <c r="AO134" s="64">
        <f>IF(H134=0,0,AA134/H134)</f>
        <v/>
      </c>
      <c r="AP134" s="82">
        <f>AO134-AN134</f>
        <v/>
      </c>
      <c r="AQ134" s="81">
        <f>SUMIFS([1]инфо!$H$15:$H$28,[1]инфо!$A$15:$A$28,F134)</f>
        <v/>
      </c>
      <c r="AR134" s="85">
        <f>IF(H133=0,0,AC134/H133)</f>
        <v/>
      </c>
      <c r="AS134" s="82">
        <f>AR134-AQ134</f>
        <v/>
      </c>
      <c r="AT134" s="81">
        <f>SUMIFS([1]инфо!$I$15:$I$28,[1]инфо!$A$15:$A$28,F134)</f>
        <v/>
      </c>
      <c r="AU134" s="62">
        <f>IF(H134=0,0,AD134/H134)</f>
        <v/>
      </c>
      <c r="AV134" s="82">
        <f>AU134-AT134</f>
        <v/>
      </c>
      <c r="AX134" s="80">
        <f>SUMIFS([1]инфо!$C$15:$C$28,[1]инфо!$A$15:$A$28,F134)*H133</f>
        <v/>
      </c>
    </row>
    <row r="135">
      <c r="A135" s="71">
        <f>A133+1</f>
        <v/>
      </c>
      <c r="B135" s="65" t="n"/>
      <c r="C135" s="72" t="n"/>
      <c r="D135" s="73" t="n"/>
      <c r="E135" s="66" t="n"/>
      <c r="F135" s="67" t="n"/>
      <c r="G135" s="68" t="n"/>
      <c r="H135" s="68" t="n"/>
      <c r="I135" s="57">
        <f>IFERROR(H135*VLOOKUP(F135,[1]инфо!$A$15:$C$28,3,FALSE)/1000,0)</f>
        <v/>
      </c>
      <c r="J135" s="55" t="n"/>
      <c r="K135" s="68" t="n"/>
      <c r="L135" s="68" t="n"/>
      <c r="M135" s="55" t="n"/>
      <c r="N135" s="67" t="n"/>
      <c r="O135" s="74" t="n"/>
      <c r="P135" s="74" t="n"/>
      <c r="Q135" s="74" t="n"/>
      <c r="R135" s="74" t="n"/>
      <c r="S135" s="70">
        <f>SUM(O135:R135)</f>
        <v/>
      </c>
      <c r="T135" s="72" t="n"/>
      <c r="U135" s="73" t="n"/>
      <c r="V135" s="74" t="n"/>
      <c r="W135" s="74" t="n"/>
      <c r="X135" s="74" t="n"/>
      <c r="Y135" s="72" t="n"/>
      <c r="Z135" s="74" t="n"/>
      <c r="AA135" s="74" t="n"/>
      <c r="AB135" s="74" t="n"/>
      <c r="AC135" s="74" t="n"/>
      <c r="AD135" s="73" t="n"/>
      <c r="AE135" s="75">
        <f>SUMIFS([1]инфо!$D$15:$D$28,[1]инфо!$A$15:$A$28,F135)</f>
        <v/>
      </c>
      <c r="AF135" s="62">
        <f>IF(H135=0,0,N135/H135)</f>
        <v/>
      </c>
      <c r="AG135" s="76">
        <f>AF135-AE135</f>
        <v/>
      </c>
      <c r="AH135" s="75">
        <f>SUMIFS([1]инфо!$E$15:$E$28,[1]инфо!$A$15:$A$28,F135)</f>
        <v/>
      </c>
      <c r="AI135" s="64">
        <f>IF(H135=0,0,S135/H135)</f>
        <v/>
      </c>
      <c r="AJ135" s="76">
        <f>AI135-AH135</f>
        <v/>
      </c>
      <c r="AK135" s="75">
        <f>SUMIFS([1]инфо!$F$15:$F$28,[1]инфо!$A$15:$A$28,F135)</f>
        <v/>
      </c>
      <c r="AL135" s="64">
        <f>IF(H135=0,0,Y135/H135)</f>
        <v/>
      </c>
      <c r="AM135" s="76">
        <f>AL135-AK135</f>
        <v/>
      </c>
      <c r="AN135" s="75">
        <f>SUMIFS([1]инфо!$G$15:$G$28,[1]инфо!$A$15:$A$28,F135)</f>
        <v/>
      </c>
      <c r="AO135" s="64">
        <f>IF(H135=0,0,AA135/H135)</f>
        <v/>
      </c>
      <c r="AP135" s="76">
        <f>AO135-AN135</f>
        <v/>
      </c>
      <c r="AQ135" s="75">
        <f>SUMIFS([1]инфо!$H$15:$H$28,[1]инфо!$A$15:$A$28,F135)</f>
        <v/>
      </c>
      <c r="AR135" s="64">
        <f>IF(H134=0,0,AC135/H134)</f>
        <v/>
      </c>
      <c r="AS135" s="76">
        <f>AR135-AQ135</f>
        <v/>
      </c>
      <c r="AT135" s="75">
        <f>SUMIFS([1]инфо!$I$15:$I$28,[1]инфо!$A$15:$A$28,F135)</f>
        <v/>
      </c>
      <c r="AU135" s="62">
        <f>IF(H135=0,0,AD135/H135)</f>
        <v/>
      </c>
      <c r="AV135" s="76">
        <f>AU135-AT135</f>
        <v/>
      </c>
      <c r="AX135" s="70">
        <f>SUMIFS([1]инфо!$C$15:$C$28,[1]инфо!$A$15:$A$28,F135)*H134</f>
        <v/>
      </c>
    </row>
    <row r="136">
      <c r="A136" s="71">
        <f>A134+1</f>
        <v/>
      </c>
      <c r="B136" s="65" t="n"/>
      <c r="C136" s="52" t="n"/>
      <c r="D136" s="53" t="n"/>
      <c r="E136" s="66" t="n"/>
      <c r="F136" s="67" t="n"/>
      <c r="G136" s="68" t="n"/>
      <c r="H136" s="68" t="n"/>
      <c r="I136" s="57">
        <f>IFERROR(H136*VLOOKUP(F136,[1]инфо!$A$15:$C$28,3,FALSE)/1000,0)</f>
        <v/>
      </c>
      <c r="J136" s="55" t="n"/>
      <c r="K136" s="68" t="n"/>
      <c r="L136" s="68" t="n"/>
      <c r="M136" s="55" t="n"/>
      <c r="N136" s="55" t="n"/>
      <c r="O136" s="58" t="n"/>
      <c r="P136" s="58" t="n"/>
      <c r="Q136" s="58" t="n"/>
      <c r="R136" s="58" t="n"/>
      <c r="S136" s="59">
        <f>SUM(O136:R136)</f>
        <v/>
      </c>
      <c r="T136" s="52" t="n"/>
      <c r="U136" s="53" t="n"/>
      <c r="V136" s="58" t="n"/>
      <c r="W136" s="58" t="n"/>
      <c r="X136" s="58" t="n"/>
      <c r="Y136" s="52" t="n"/>
      <c r="Z136" s="58" t="n"/>
      <c r="AA136" s="58" t="n"/>
      <c r="AB136" s="58" t="n"/>
      <c r="AC136" s="58" t="n"/>
      <c r="AD136" s="53" t="n"/>
      <c r="AE136" s="61">
        <f>SUMIFS([1]инфо!$D$15:$D$28,[1]инфо!$A$15:$A$28,F136)</f>
        <v/>
      </c>
      <c r="AF136" s="62">
        <f>IF(H136=0,0,N136/H136)</f>
        <v/>
      </c>
      <c r="AG136" s="63">
        <f>AF136-AE136</f>
        <v/>
      </c>
      <c r="AH136" s="61">
        <f>SUMIFS([1]инфо!$E$15:$E$28,[1]инфо!$A$15:$A$28,F136)</f>
        <v/>
      </c>
      <c r="AI136" s="64">
        <f>IF(H136=0,0,S136/H136)</f>
        <v/>
      </c>
      <c r="AJ136" s="63">
        <f>AI136-AH136</f>
        <v/>
      </c>
      <c r="AK136" s="61">
        <f>SUMIFS([1]инфо!$F$15:$F$28,[1]инфо!$A$15:$A$28,F136)</f>
        <v/>
      </c>
      <c r="AL136" s="64">
        <f>IF(H136=0,0,Y136/H136)</f>
        <v/>
      </c>
      <c r="AM136" s="63">
        <f>AL136-AK136</f>
        <v/>
      </c>
      <c r="AN136" s="61">
        <f>SUMIFS([1]инфо!$G$15:$G$28,[1]инфо!$A$15:$A$28,F136)</f>
        <v/>
      </c>
      <c r="AO136" s="64">
        <f>IF(H136=0,0,AA136/H136)</f>
        <v/>
      </c>
      <c r="AP136" s="63">
        <f>AO136-AN136</f>
        <v/>
      </c>
      <c r="AQ136" s="61">
        <f>SUMIFS([1]инфо!$H$15:$H$28,[1]инфо!$A$15:$A$28,F136)</f>
        <v/>
      </c>
      <c r="AR136" s="62">
        <f>IF(H135=0,0,AC136/H135)</f>
        <v/>
      </c>
      <c r="AS136" s="63">
        <f>AR136-AQ136</f>
        <v/>
      </c>
      <c r="AT136" s="61">
        <f>SUMIFS([1]инфо!$I$15:$I$28,[1]инфо!$A$15:$A$28,F136)</f>
        <v/>
      </c>
      <c r="AU136" s="62">
        <f>IF(H136=0,0,AD136/H136)</f>
        <v/>
      </c>
      <c r="AV136" s="63">
        <f>AU136-AT136</f>
        <v/>
      </c>
      <c r="AX136" s="59">
        <f>SUMIFS([1]инфо!$C$15:$C$28,[1]инфо!$A$15:$A$28,F136)*H135</f>
        <v/>
      </c>
    </row>
    <row r="137">
      <c r="A137" s="71">
        <f>A135+1</f>
        <v/>
      </c>
      <c r="B137" s="65" t="n"/>
      <c r="C137" s="52" t="n"/>
      <c r="D137" s="53" t="n"/>
      <c r="E137" s="66" t="n"/>
      <c r="F137" s="67" t="n"/>
      <c r="G137" s="68" t="n"/>
      <c r="H137" s="68" t="n"/>
      <c r="I137" s="57">
        <f>IFERROR(H137*VLOOKUP(F137,[1]инфо!$A$15:$C$28,3,FALSE)/1000,0)</f>
        <v/>
      </c>
      <c r="J137" s="55" t="n"/>
      <c r="K137" s="68" t="n"/>
      <c r="L137" s="68" t="n"/>
      <c r="M137" s="55" t="n"/>
      <c r="N137" s="55" t="n"/>
      <c r="O137" s="58" t="n"/>
      <c r="P137" s="58" t="n"/>
      <c r="Q137" s="58" t="n"/>
      <c r="R137" s="58" t="n"/>
      <c r="S137" s="59">
        <f>SUM(O137:R137)</f>
        <v/>
      </c>
      <c r="T137" s="52" t="n"/>
      <c r="U137" s="53" t="n"/>
      <c r="V137" s="58" t="n"/>
      <c r="W137" s="58" t="n"/>
      <c r="X137" s="58" t="n"/>
      <c r="Y137" s="52" t="n"/>
      <c r="Z137" s="58" t="n"/>
      <c r="AA137" s="58" t="n"/>
      <c r="AB137" s="58" t="n"/>
      <c r="AC137" s="58" t="n"/>
      <c r="AD137" s="53" t="n"/>
      <c r="AE137" s="61">
        <f>SUMIFS([1]инфо!$D$15:$D$28,[1]инфо!$A$15:$A$28,F137)</f>
        <v/>
      </c>
      <c r="AF137" s="62">
        <f>IF(H137=0,0,N137/H137)</f>
        <v/>
      </c>
      <c r="AG137" s="63">
        <f>AF137-AE137</f>
        <v/>
      </c>
      <c r="AH137" s="61">
        <f>SUMIFS([1]инфо!$E$15:$E$28,[1]инфо!$A$15:$A$28,F137)</f>
        <v/>
      </c>
      <c r="AI137" s="64">
        <f>IF(H137=0,0,S137/H137)</f>
        <v/>
      </c>
      <c r="AJ137" s="63">
        <f>AI137-AH137</f>
        <v/>
      </c>
      <c r="AK137" s="61">
        <f>SUMIFS([1]инфо!$F$15:$F$28,[1]инфо!$A$15:$A$28,F137)</f>
        <v/>
      </c>
      <c r="AL137" s="64">
        <f>IF(H137=0,0,Y137/H137)</f>
        <v/>
      </c>
      <c r="AM137" s="63">
        <f>AL137-AK137</f>
        <v/>
      </c>
      <c r="AN137" s="61">
        <f>SUMIFS([1]инфо!$G$15:$G$28,[1]инфо!$A$15:$A$28,F137)</f>
        <v/>
      </c>
      <c r="AO137" s="64">
        <f>IF(H137=0,0,AA137/H137)</f>
        <v/>
      </c>
      <c r="AP137" s="63">
        <f>AO137-AN137</f>
        <v/>
      </c>
      <c r="AQ137" s="61">
        <f>SUMIFS([1]инфо!$H$15:$H$28,[1]инфо!$A$15:$A$28,F137)</f>
        <v/>
      </c>
      <c r="AR137" s="62">
        <f>IF(H136=0,0,AC137/H136)</f>
        <v/>
      </c>
      <c r="AS137" s="63">
        <f>AR137-AQ137</f>
        <v/>
      </c>
      <c r="AT137" s="61">
        <f>SUMIFS([1]инфо!$I$15:$I$28,[1]инфо!$A$15:$A$28,F137)</f>
        <v/>
      </c>
      <c r="AU137" s="62">
        <f>IF(H137=0,0,AD137/H137)</f>
        <v/>
      </c>
      <c r="AV137" s="63">
        <f>AU137-AT137</f>
        <v/>
      </c>
      <c r="AX137" s="59">
        <f>SUMIFS([1]инфо!$C$15:$C$28,[1]инфо!$A$15:$A$28,F137)*H136</f>
        <v/>
      </c>
    </row>
    <row r="138">
      <c r="A138" s="71">
        <f>A136+1</f>
        <v/>
      </c>
      <c r="B138" s="65" t="n"/>
      <c r="C138" s="77" t="n"/>
      <c r="D138" s="78" t="n"/>
      <c r="E138" s="66" t="n"/>
      <c r="F138" s="67" t="n"/>
      <c r="G138" s="68" t="n"/>
      <c r="H138" s="68" t="n"/>
      <c r="I138" s="57">
        <f>IFERROR(H138*VLOOKUP(F138,[1]инфо!$A$15:$C$28,3,FALSE)/1000,0)</f>
        <v/>
      </c>
      <c r="J138" s="55" t="n"/>
      <c r="K138" s="68" t="n"/>
      <c r="L138" s="68" t="n"/>
      <c r="M138" s="55" t="n"/>
      <c r="N138" s="56" t="n"/>
      <c r="O138" s="79" t="n"/>
      <c r="P138" s="79" t="n"/>
      <c r="Q138" s="79" t="n"/>
      <c r="R138" s="79" t="n"/>
      <c r="S138" s="80">
        <f>SUM(O138:R138)</f>
        <v/>
      </c>
      <c r="T138" s="77" t="n"/>
      <c r="U138" s="78" t="n"/>
      <c r="V138" s="79" t="n"/>
      <c r="W138" s="79" t="n"/>
      <c r="X138" s="79" t="n"/>
      <c r="Y138" s="77" t="n"/>
      <c r="Z138" s="79" t="n"/>
      <c r="AA138" s="79" t="n"/>
      <c r="AB138" s="79" t="n"/>
      <c r="AC138" s="79" t="n"/>
      <c r="AD138" s="78" t="n"/>
      <c r="AE138" s="81">
        <f>SUMIFS([1]инфо!$D$15:$D$28,[1]инфо!$A$15:$A$28,F138)</f>
        <v/>
      </c>
      <c r="AF138" s="62">
        <f>IF(H138=0,0,N138/H138)</f>
        <v/>
      </c>
      <c r="AG138" s="82">
        <f>AF138-AE138</f>
        <v/>
      </c>
      <c r="AH138" s="81">
        <f>SUMIFS([1]инфо!$E$15:$E$28,[1]инфо!$A$15:$A$28,F138)</f>
        <v/>
      </c>
      <c r="AI138" s="64">
        <f>IF(H138=0,0,S138/H138)</f>
        <v/>
      </c>
      <c r="AJ138" s="82">
        <f>AI138-AH138</f>
        <v/>
      </c>
      <c r="AK138" s="81">
        <f>SUMIFS([1]инфо!$F$15:$F$28,[1]инфо!$A$15:$A$28,F138)</f>
        <v/>
      </c>
      <c r="AL138" s="64">
        <f>IF(H138=0,0,Y138/H138)</f>
        <v/>
      </c>
      <c r="AM138" s="82">
        <f>AL138-AK138</f>
        <v/>
      </c>
      <c r="AN138" s="81">
        <f>SUMIFS([1]инфо!$G$15:$G$28,[1]инфо!$A$15:$A$28,F138)</f>
        <v/>
      </c>
      <c r="AO138" s="64">
        <f>IF(H138=0,0,AA138/H138)</f>
        <v/>
      </c>
      <c r="AP138" s="82">
        <f>AO138-AN138</f>
        <v/>
      </c>
      <c r="AQ138" s="81">
        <f>SUMIFS([1]инфо!$H$15:$H$28,[1]инфо!$A$15:$A$28,F138)</f>
        <v/>
      </c>
      <c r="AR138" s="85">
        <f>IF(H137=0,0,AC138/H137)</f>
        <v/>
      </c>
      <c r="AS138" s="82">
        <f>AR138-AQ138</f>
        <v/>
      </c>
      <c r="AT138" s="81">
        <f>SUMIFS([1]инфо!$I$15:$I$28,[1]инфо!$A$15:$A$28,F138)</f>
        <v/>
      </c>
      <c r="AU138" s="62">
        <f>IF(H138=0,0,AD138/H138)</f>
        <v/>
      </c>
      <c r="AV138" s="82">
        <f>AU138-AT138</f>
        <v/>
      </c>
      <c r="AX138" s="80">
        <f>SUMIFS([1]инфо!$C$15:$C$28,[1]инфо!$A$15:$A$28,F138)*H137</f>
        <v/>
      </c>
    </row>
    <row r="139">
      <c r="A139" s="71">
        <f>A137+1</f>
        <v/>
      </c>
      <c r="B139" s="65" t="n"/>
      <c r="C139" s="72" t="n"/>
      <c r="D139" s="73" t="n"/>
      <c r="E139" s="66" t="n"/>
      <c r="F139" s="67" t="n"/>
      <c r="G139" s="68" t="n"/>
      <c r="H139" s="68" t="n"/>
      <c r="I139" s="57">
        <f>IFERROR(H139*VLOOKUP(F139,[1]инфо!$A$15:$C$28,3,FALSE)/1000,0)</f>
        <v/>
      </c>
      <c r="J139" s="55" t="n"/>
      <c r="K139" s="68" t="n"/>
      <c r="L139" s="68" t="n"/>
      <c r="M139" s="55" t="n"/>
      <c r="N139" s="67" t="n"/>
      <c r="O139" s="74" t="n"/>
      <c r="P139" s="74" t="n"/>
      <c r="Q139" s="74" t="n"/>
      <c r="R139" s="74" t="n"/>
      <c r="S139" s="70">
        <f>SUM(O139:R139)</f>
        <v/>
      </c>
      <c r="T139" s="72" t="n"/>
      <c r="U139" s="73" t="n"/>
      <c r="V139" s="74" t="n"/>
      <c r="W139" s="74" t="n"/>
      <c r="X139" s="74" t="n"/>
      <c r="Y139" s="72" t="n"/>
      <c r="Z139" s="74" t="n"/>
      <c r="AA139" s="74" t="n"/>
      <c r="AB139" s="74" t="n"/>
      <c r="AC139" s="74" t="n"/>
      <c r="AD139" s="73" t="n"/>
      <c r="AE139" s="75">
        <f>SUMIFS([1]инфо!$D$15:$D$28,[1]инфо!$A$15:$A$28,F139)</f>
        <v/>
      </c>
      <c r="AF139" s="62">
        <f>IF(H139=0,0,N139/H139)</f>
        <v/>
      </c>
      <c r="AG139" s="76">
        <f>AF139-AE139</f>
        <v/>
      </c>
      <c r="AH139" s="75">
        <f>SUMIFS([1]инфо!$E$15:$E$28,[1]инфо!$A$15:$A$28,F139)</f>
        <v/>
      </c>
      <c r="AI139" s="64">
        <f>IF(H139=0,0,S139/H139)</f>
        <v/>
      </c>
      <c r="AJ139" s="76">
        <f>AI139-AH139</f>
        <v/>
      </c>
      <c r="AK139" s="75">
        <f>SUMIFS([1]инфо!$F$15:$F$28,[1]инфо!$A$15:$A$28,F139)</f>
        <v/>
      </c>
      <c r="AL139" s="64">
        <f>IF(H139=0,0,Y139/H139)</f>
        <v/>
      </c>
      <c r="AM139" s="76">
        <f>AL139-AK139</f>
        <v/>
      </c>
      <c r="AN139" s="75">
        <f>SUMIFS([1]инфо!$G$15:$G$28,[1]инфо!$A$15:$A$28,F139)</f>
        <v/>
      </c>
      <c r="AO139" s="64">
        <f>IF(H139=0,0,AA139/H139)</f>
        <v/>
      </c>
      <c r="AP139" s="76">
        <f>AO139-AN139</f>
        <v/>
      </c>
      <c r="AQ139" s="75">
        <f>SUMIFS([1]инфо!$H$15:$H$28,[1]инфо!$A$15:$A$28,F139)</f>
        <v/>
      </c>
      <c r="AR139" s="64">
        <f>IF(H138=0,0,AC139/H138)</f>
        <v/>
      </c>
      <c r="AS139" s="76">
        <f>AR139-AQ139</f>
        <v/>
      </c>
      <c r="AT139" s="75">
        <f>SUMIFS([1]инфо!$I$15:$I$28,[1]инфо!$A$15:$A$28,F139)</f>
        <v/>
      </c>
      <c r="AU139" s="62">
        <f>IF(H139=0,0,AD139/H139)</f>
        <v/>
      </c>
      <c r="AV139" s="76">
        <f>AU139-AT139</f>
        <v/>
      </c>
      <c r="AX139" s="70">
        <f>SUMIFS([1]инфо!$C$15:$C$28,[1]инфо!$A$15:$A$28,F139)*H138</f>
        <v/>
      </c>
    </row>
    <row r="140">
      <c r="A140" s="71">
        <f>A138+1</f>
        <v/>
      </c>
      <c r="B140" s="65" t="n"/>
      <c r="C140" s="52" t="n"/>
      <c r="D140" s="53" t="n"/>
      <c r="E140" s="66" t="n"/>
      <c r="F140" s="67" t="n"/>
      <c r="G140" s="68" t="n"/>
      <c r="H140" s="68" t="n"/>
      <c r="I140" s="57">
        <f>IFERROR(H140*VLOOKUP(F140,[1]инфо!$A$15:$C$28,3,FALSE)/1000,0)</f>
        <v/>
      </c>
      <c r="J140" s="55" t="n"/>
      <c r="K140" s="68" t="n"/>
      <c r="L140" s="68" t="n"/>
      <c r="M140" s="55" t="n"/>
      <c r="N140" s="55" t="n"/>
      <c r="O140" s="58" t="n"/>
      <c r="P140" s="58" t="n"/>
      <c r="Q140" s="58" t="n"/>
      <c r="R140" s="58" t="n"/>
      <c r="S140" s="59">
        <f>SUM(O140:R140)</f>
        <v/>
      </c>
      <c r="T140" s="52" t="n"/>
      <c r="U140" s="53" t="n"/>
      <c r="V140" s="58" t="n"/>
      <c r="W140" s="58" t="n"/>
      <c r="X140" s="58" t="n"/>
      <c r="Y140" s="52" t="n"/>
      <c r="Z140" s="58" t="n"/>
      <c r="AA140" s="58" t="n"/>
      <c r="AB140" s="58" t="n"/>
      <c r="AC140" s="58" t="n"/>
      <c r="AD140" s="53" t="n"/>
      <c r="AE140" s="61">
        <f>SUMIFS([1]инфо!$D$15:$D$28,[1]инфо!$A$15:$A$28,F140)</f>
        <v/>
      </c>
      <c r="AF140" s="62">
        <f>IF(H140=0,0,N140/H140)</f>
        <v/>
      </c>
      <c r="AG140" s="63">
        <f>AF140-AE140</f>
        <v/>
      </c>
      <c r="AH140" s="61">
        <f>SUMIFS([1]инфо!$E$15:$E$28,[1]инфо!$A$15:$A$28,F140)</f>
        <v/>
      </c>
      <c r="AI140" s="64">
        <f>IF(H140=0,0,S140/H140)</f>
        <v/>
      </c>
      <c r="AJ140" s="63">
        <f>AI140-AH140</f>
        <v/>
      </c>
      <c r="AK140" s="61">
        <f>SUMIFS([1]инфо!$F$15:$F$28,[1]инфо!$A$15:$A$28,F140)</f>
        <v/>
      </c>
      <c r="AL140" s="64">
        <f>IF(H140=0,0,Y140/H140)</f>
        <v/>
      </c>
      <c r="AM140" s="63">
        <f>AL140-AK140</f>
        <v/>
      </c>
      <c r="AN140" s="61">
        <f>SUMIFS([1]инфо!$G$15:$G$28,[1]инфо!$A$15:$A$28,F140)</f>
        <v/>
      </c>
      <c r="AO140" s="64">
        <f>IF(H140=0,0,AA140/H140)</f>
        <v/>
      </c>
      <c r="AP140" s="63">
        <f>AO140-AN140</f>
        <v/>
      </c>
      <c r="AQ140" s="61">
        <f>SUMIFS([1]инфо!$H$15:$H$28,[1]инфо!$A$15:$A$28,F140)</f>
        <v/>
      </c>
      <c r="AR140" s="62">
        <f>IF(H139=0,0,AC140/H139)</f>
        <v/>
      </c>
      <c r="AS140" s="63">
        <f>AR140-AQ140</f>
        <v/>
      </c>
      <c r="AT140" s="61">
        <f>SUMIFS([1]инфо!$I$15:$I$28,[1]инфо!$A$15:$A$28,F140)</f>
        <v/>
      </c>
      <c r="AU140" s="62">
        <f>IF(H140=0,0,AD140/H140)</f>
        <v/>
      </c>
      <c r="AV140" s="63">
        <f>AU140-AT140</f>
        <v/>
      </c>
      <c r="AX140" s="59">
        <f>SUMIFS([1]инфо!$C$15:$C$28,[1]инфо!$A$15:$A$28,F140)*H139</f>
        <v/>
      </c>
    </row>
    <row r="141">
      <c r="A141" s="71">
        <f>A139+1</f>
        <v/>
      </c>
      <c r="B141" s="65" t="n"/>
      <c r="C141" s="52" t="n"/>
      <c r="D141" s="53" t="n"/>
      <c r="E141" s="66" t="n"/>
      <c r="F141" s="67" t="n"/>
      <c r="G141" s="68" t="n"/>
      <c r="H141" s="68" t="n"/>
      <c r="I141" s="57">
        <f>IFERROR(H141*VLOOKUP(F141,[1]инфо!$A$15:$C$28,3,FALSE)/1000,0)</f>
        <v/>
      </c>
      <c r="J141" s="55" t="n"/>
      <c r="K141" s="68" t="n"/>
      <c r="L141" s="68" t="n"/>
      <c r="M141" s="55" t="n"/>
      <c r="N141" s="55" t="n"/>
      <c r="O141" s="58" t="n"/>
      <c r="P141" s="58" t="n"/>
      <c r="Q141" s="58" t="n"/>
      <c r="R141" s="58" t="n"/>
      <c r="S141" s="59">
        <f>SUM(O141:R141)</f>
        <v/>
      </c>
      <c r="T141" s="52" t="n"/>
      <c r="U141" s="53" t="n"/>
      <c r="V141" s="58" t="n"/>
      <c r="W141" s="58" t="n"/>
      <c r="X141" s="58" t="n"/>
      <c r="Y141" s="52" t="n"/>
      <c r="Z141" s="58" t="n"/>
      <c r="AA141" s="58" t="n"/>
      <c r="AB141" s="58" t="n"/>
      <c r="AC141" s="58" t="n"/>
      <c r="AD141" s="53" t="n"/>
      <c r="AE141" s="61">
        <f>SUMIFS([1]инфо!$D$15:$D$28,[1]инфо!$A$15:$A$28,F141)</f>
        <v/>
      </c>
      <c r="AF141" s="62">
        <f>IF(H141=0,0,N141/H141)</f>
        <v/>
      </c>
      <c r="AG141" s="63">
        <f>AF141-AE141</f>
        <v/>
      </c>
      <c r="AH141" s="61">
        <f>SUMIFS([1]инфо!$E$15:$E$28,[1]инфо!$A$15:$A$28,F141)</f>
        <v/>
      </c>
      <c r="AI141" s="64">
        <f>IF(H141=0,0,S141/H141)</f>
        <v/>
      </c>
      <c r="AJ141" s="63">
        <f>AI141-AH141</f>
        <v/>
      </c>
      <c r="AK141" s="61">
        <f>SUMIFS([1]инфо!$F$15:$F$28,[1]инфо!$A$15:$A$28,F141)</f>
        <v/>
      </c>
      <c r="AL141" s="64">
        <f>IF(H141=0,0,Y141/H141)</f>
        <v/>
      </c>
      <c r="AM141" s="63">
        <f>AL141-AK141</f>
        <v/>
      </c>
      <c r="AN141" s="61">
        <f>SUMIFS([1]инфо!$G$15:$G$28,[1]инфо!$A$15:$A$28,F141)</f>
        <v/>
      </c>
      <c r="AO141" s="64">
        <f>IF(H141=0,0,AA141/H141)</f>
        <v/>
      </c>
      <c r="AP141" s="63">
        <f>AO141-AN141</f>
        <v/>
      </c>
      <c r="AQ141" s="61">
        <f>SUMIFS([1]инфо!$H$15:$H$28,[1]инфо!$A$15:$A$28,F141)</f>
        <v/>
      </c>
      <c r="AR141" s="62">
        <f>IF(H140=0,0,AC141/H140)</f>
        <v/>
      </c>
      <c r="AS141" s="63">
        <f>AR141-AQ141</f>
        <v/>
      </c>
      <c r="AT141" s="61">
        <f>SUMIFS([1]инфо!$I$15:$I$28,[1]инфо!$A$15:$A$28,F141)</f>
        <v/>
      </c>
      <c r="AU141" s="62">
        <f>IF(H141=0,0,AD141/H141)</f>
        <v/>
      </c>
      <c r="AV141" s="63">
        <f>AU141-AT141</f>
        <v/>
      </c>
      <c r="AX141" s="59">
        <f>SUMIFS([1]инфо!$C$15:$C$28,[1]инфо!$A$15:$A$28,F141)*H140</f>
        <v/>
      </c>
    </row>
    <row r="142">
      <c r="A142" s="71">
        <f>A140+1</f>
        <v/>
      </c>
      <c r="B142" s="65" t="n"/>
      <c r="C142" s="77" t="n"/>
      <c r="D142" s="78" t="n"/>
      <c r="E142" s="66" t="n"/>
      <c r="F142" s="67" t="n"/>
      <c r="G142" s="68" t="n"/>
      <c r="H142" s="68" t="n"/>
      <c r="I142" s="57">
        <f>IFERROR(H142*VLOOKUP(F142,[1]инфо!$A$15:$C$28,3,FALSE)/1000,0)</f>
        <v/>
      </c>
      <c r="J142" s="55" t="n"/>
      <c r="K142" s="68" t="n"/>
      <c r="L142" s="68" t="n"/>
      <c r="M142" s="55" t="n"/>
      <c r="N142" s="56" t="n"/>
      <c r="O142" s="79" t="n"/>
      <c r="P142" s="79" t="n"/>
      <c r="Q142" s="79" t="n"/>
      <c r="R142" s="79" t="n"/>
      <c r="S142" s="80">
        <f>SUM(O142:R142)</f>
        <v/>
      </c>
      <c r="T142" s="77" t="n"/>
      <c r="U142" s="78" t="n"/>
      <c r="V142" s="79" t="n"/>
      <c r="W142" s="79" t="n"/>
      <c r="X142" s="79" t="n"/>
      <c r="Y142" s="77" t="n"/>
      <c r="Z142" s="79" t="n"/>
      <c r="AA142" s="79" t="n"/>
      <c r="AB142" s="79" t="n"/>
      <c r="AC142" s="79" t="n"/>
      <c r="AD142" s="78" t="n"/>
      <c r="AE142" s="81">
        <f>SUMIFS([1]инфо!$D$15:$D$28,[1]инфо!$A$15:$A$28,F142)</f>
        <v/>
      </c>
      <c r="AF142" s="62">
        <f>IF(H142=0,0,N142/H142)</f>
        <v/>
      </c>
      <c r="AG142" s="82">
        <f>AF142-AE142</f>
        <v/>
      </c>
      <c r="AH142" s="81">
        <f>SUMIFS([1]инфо!$E$15:$E$28,[1]инфо!$A$15:$A$28,F142)</f>
        <v/>
      </c>
      <c r="AI142" s="64">
        <f>IF(H142=0,0,S142/H142)</f>
        <v/>
      </c>
      <c r="AJ142" s="82">
        <f>AI142-AH142</f>
        <v/>
      </c>
      <c r="AK142" s="81">
        <f>SUMIFS([1]инфо!$F$15:$F$28,[1]инфо!$A$15:$A$28,F142)</f>
        <v/>
      </c>
      <c r="AL142" s="64">
        <f>IF(H142=0,0,Y142/H142)</f>
        <v/>
      </c>
      <c r="AM142" s="82">
        <f>AL142-AK142</f>
        <v/>
      </c>
      <c r="AN142" s="81">
        <f>SUMIFS([1]инфо!$G$15:$G$28,[1]инфо!$A$15:$A$28,F142)</f>
        <v/>
      </c>
      <c r="AO142" s="64">
        <f>IF(H142=0,0,AA142/H142)</f>
        <v/>
      </c>
      <c r="AP142" s="82">
        <f>AO142-AN142</f>
        <v/>
      </c>
      <c r="AQ142" s="81">
        <f>SUMIFS([1]инфо!$H$15:$H$28,[1]инфо!$A$15:$A$28,F142)</f>
        <v/>
      </c>
      <c r="AR142" s="85">
        <f>IF(H141=0,0,AC142/H141)</f>
        <v/>
      </c>
      <c r="AS142" s="82">
        <f>AR142-AQ142</f>
        <v/>
      </c>
      <c r="AT142" s="81">
        <f>SUMIFS([1]инфо!$I$15:$I$28,[1]инфо!$A$15:$A$28,F142)</f>
        <v/>
      </c>
      <c r="AU142" s="62">
        <f>IF(H142=0,0,AD142/H142)</f>
        <v/>
      </c>
      <c r="AV142" s="82">
        <f>AU142-AT142</f>
        <v/>
      </c>
      <c r="AX142" s="80">
        <f>SUMIFS([1]инфо!$C$15:$C$28,[1]инфо!$A$15:$A$28,F142)*H141</f>
        <v/>
      </c>
    </row>
    <row r="143">
      <c r="A143" s="71">
        <f>A141+1</f>
        <v/>
      </c>
      <c r="B143" s="65" t="n"/>
      <c r="C143" s="72" t="n"/>
      <c r="D143" s="73" t="n"/>
      <c r="E143" s="66" t="n"/>
      <c r="F143" s="67" t="n"/>
      <c r="G143" s="68" t="n"/>
      <c r="H143" s="68" t="n"/>
      <c r="I143" s="57">
        <f>IFERROR(H143*VLOOKUP(F143,[1]инфо!$A$15:$C$28,3,FALSE)/1000,0)</f>
        <v/>
      </c>
      <c r="J143" s="55" t="n"/>
      <c r="K143" s="68" t="n"/>
      <c r="L143" s="68" t="n"/>
      <c r="M143" s="55" t="n"/>
      <c r="N143" s="67" t="n"/>
      <c r="O143" s="74" t="n"/>
      <c r="P143" s="74" t="n"/>
      <c r="Q143" s="74" t="n"/>
      <c r="R143" s="74" t="n"/>
      <c r="S143" s="70">
        <f>SUM(O143:R143)</f>
        <v/>
      </c>
      <c r="T143" s="72" t="n"/>
      <c r="U143" s="73" t="n"/>
      <c r="V143" s="74" t="n"/>
      <c r="W143" s="74" t="n"/>
      <c r="X143" s="74" t="n"/>
      <c r="Y143" s="72" t="n"/>
      <c r="Z143" s="74" t="n"/>
      <c r="AA143" s="74" t="n"/>
      <c r="AB143" s="74" t="n"/>
      <c r="AC143" s="74" t="n"/>
      <c r="AD143" s="73" t="n"/>
      <c r="AE143" s="75">
        <f>SUMIFS([1]инфо!$D$15:$D$28,[1]инфо!$A$15:$A$28,F143)</f>
        <v/>
      </c>
      <c r="AF143" s="62">
        <f>IF(H143=0,0,N143/H143)</f>
        <v/>
      </c>
      <c r="AG143" s="76">
        <f>AF143-AE143</f>
        <v/>
      </c>
      <c r="AH143" s="75">
        <f>SUMIFS([1]инфо!$E$15:$E$28,[1]инфо!$A$15:$A$28,F143)</f>
        <v/>
      </c>
      <c r="AI143" s="64">
        <f>IF(H143=0,0,S143/H143)</f>
        <v/>
      </c>
      <c r="AJ143" s="76">
        <f>AI143-AH143</f>
        <v/>
      </c>
      <c r="AK143" s="75">
        <f>SUMIFS([1]инфо!$F$15:$F$28,[1]инфо!$A$15:$A$28,F143)</f>
        <v/>
      </c>
      <c r="AL143" s="64">
        <f>IF(H143=0,0,Y143/H143)</f>
        <v/>
      </c>
      <c r="AM143" s="76">
        <f>AL143-AK143</f>
        <v/>
      </c>
      <c r="AN143" s="75">
        <f>SUMIFS([1]инфо!$G$15:$G$28,[1]инфо!$A$15:$A$28,F143)</f>
        <v/>
      </c>
      <c r="AO143" s="64">
        <f>IF(H143=0,0,AA143/H143)</f>
        <v/>
      </c>
      <c r="AP143" s="76">
        <f>AO143-AN143</f>
        <v/>
      </c>
      <c r="AQ143" s="75">
        <f>SUMIFS([1]инфо!$H$15:$H$28,[1]инфо!$A$15:$A$28,F143)</f>
        <v/>
      </c>
      <c r="AR143" s="64">
        <f>IF(H142=0,0,AC143/H142)</f>
        <v/>
      </c>
      <c r="AS143" s="76">
        <f>AR143-AQ143</f>
        <v/>
      </c>
      <c r="AT143" s="75">
        <f>SUMIFS([1]инфо!$I$15:$I$28,[1]инфо!$A$15:$A$28,F143)</f>
        <v/>
      </c>
      <c r="AU143" s="62">
        <f>IF(H143=0,0,AD143/H143)</f>
        <v/>
      </c>
      <c r="AV143" s="76">
        <f>AU143-AT143</f>
        <v/>
      </c>
      <c r="AX143" s="70">
        <f>SUMIFS([1]инфо!$C$15:$C$28,[1]инфо!$A$15:$A$28,F143)*H142</f>
        <v/>
      </c>
    </row>
    <row r="144">
      <c r="A144" s="71">
        <f>A142+1</f>
        <v/>
      </c>
      <c r="B144" s="65" t="n"/>
      <c r="C144" s="52" t="n"/>
      <c r="D144" s="53" t="n"/>
      <c r="E144" s="66" t="n"/>
      <c r="F144" s="67" t="n"/>
      <c r="G144" s="68" t="n"/>
      <c r="H144" s="68" t="n"/>
      <c r="I144" s="57">
        <f>IFERROR(H144*VLOOKUP(F144,[1]инфо!$A$15:$C$28,3,FALSE)/1000,0)</f>
        <v/>
      </c>
      <c r="J144" s="55" t="n"/>
      <c r="K144" s="68" t="n"/>
      <c r="L144" s="68" t="n"/>
      <c r="M144" s="55" t="n"/>
      <c r="N144" s="55" t="n"/>
      <c r="O144" s="58" t="n"/>
      <c r="P144" s="58" t="n"/>
      <c r="Q144" s="58" t="n"/>
      <c r="R144" s="58" t="n"/>
      <c r="S144" s="59">
        <f>SUM(O144:R144)</f>
        <v/>
      </c>
      <c r="T144" s="52" t="n"/>
      <c r="U144" s="53" t="n"/>
      <c r="V144" s="58" t="n"/>
      <c r="W144" s="58" t="n"/>
      <c r="X144" s="58" t="n"/>
      <c r="Y144" s="52" t="n"/>
      <c r="Z144" s="58" t="n"/>
      <c r="AA144" s="58" t="n"/>
      <c r="AB144" s="58" t="n"/>
      <c r="AC144" s="58" t="n"/>
      <c r="AD144" s="53" t="n"/>
      <c r="AE144" s="61">
        <f>SUMIFS([1]инфо!$D$15:$D$28,[1]инфо!$A$15:$A$28,F144)</f>
        <v/>
      </c>
      <c r="AF144" s="62">
        <f>IF(H144=0,0,N144/H144)</f>
        <v/>
      </c>
      <c r="AG144" s="63">
        <f>AF144-AE144</f>
        <v/>
      </c>
      <c r="AH144" s="61">
        <f>SUMIFS([1]инфо!$E$15:$E$28,[1]инфо!$A$15:$A$28,F144)</f>
        <v/>
      </c>
      <c r="AI144" s="64">
        <f>IF(H144=0,0,S144/H144)</f>
        <v/>
      </c>
      <c r="AJ144" s="63">
        <f>AI144-AH144</f>
        <v/>
      </c>
      <c r="AK144" s="61">
        <f>SUMIFS([1]инфо!$F$15:$F$28,[1]инфо!$A$15:$A$28,F144)</f>
        <v/>
      </c>
      <c r="AL144" s="64">
        <f>IF(H144=0,0,Y144/H144)</f>
        <v/>
      </c>
      <c r="AM144" s="63">
        <f>AL144-AK144</f>
        <v/>
      </c>
      <c r="AN144" s="61">
        <f>SUMIFS([1]инфо!$G$15:$G$28,[1]инфо!$A$15:$A$28,F144)</f>
        <v/>
      </c>
      <c r="AO144" s="64">
        <f>IF(H144=0,0,AA144/H144)</f>
        <v/>
      </c>
      <c r="AP144" s="63">
        <f>AO144-AN144</f>
        <v/>
      </c>
      <c r="AQ144" s="61">
        <f>SUMIFS([1]инфо!$H$15:$H$28,[1]инфо!$A$15:$A$28,F144)</f>
        <v/>
      </c>
      <c r="AR144" s="62">
        <f>IF(H143=0,0,AC144/H143)</f>
        <v/>
      </c>
      <c r="AS144" s="63">
        <f>AR144-AQ144</f>
        <v/>
      </c>
      <c r="AT144" s="61">
        <f>SUMIFS([1]инфо!$I$15:$I$28,[1]инфо!$A$15:$A$28,F144)</f>
        <v/>
      </c>
      <c r="AU144" s="62">
        <f>IF(H144=0,0,AD144/H144)</f>
        <v/>
      </c>
      <c r="AV144" s="63">
        <f>AU144-AT144</f>
        <v/>
      </c>
      <c r="AX144" s="59">
        <f>SUMIFS([1]инфо!$C$15:$C$28,[1]инфо!$A$15:$A$28,F144)*H143</f>
        <v/>
      </c>
    </row>
    <row r="145">
      <c r="A145" s="71">
        <f>A143+1</f>
        <v/>
      </c>
      <c r="B145" s="65" t="n"/>
      <c r="C145" s="52" t="n"/>
      <c r="D145" s="53" t="n"/>
      <c r="E145" s="66" t="n"/>
      <c r="F145" s="67" t="n"/>
      <c r="G145" s="68" t="n"/>
      <c r="H145" s="68" t="n"/>
      <c r="I145" s="57">
        <f>IFERROR(H145*VLOOKUP(F145,[1]инфо!$A$15:$C$28,3,FALSE)/1000,0)</f>
        <v/>
      </c>
      <c r="J145" s="55" t="n"/>
      <c r="K145" s="68" t="n"/>
      <c r="L145" s="68" t="n"/>
      <c r="M145" s="55" t="n"/>
      <c r="N145" s="55" t="n"/>
      <c r="O145" s="58" t="n"/>
      <c r="P145" s="58" t="n"/>
      <c r="Q145" s="58" t="n"/>
      <c r="R145" s="58" t="n"/>
      <c r="S145" s="59">
        <f>SUM(O145:R145)</f>
        <v/>
      </c>
      <c r="T145" s="52" t="n"/>
      <c r="U145" s="53" t="n"/>
      <c r="V145" s="58" t="n"/>
      <c r="W145" s="58" t="n"/>
      <c r="X145" s="58" t="n"/>
      <c r="Y145" s="52" t="n"/>
      <c r="Z145" s="58" t="n"/>
      <c r="AA145" s="58" t="n"/>
      <c r="AB145" s="58" t="n"/>
      <c r="AC145" s="58" t="n"/>
      <c r="AD145" s="53" t="n"/>
      <c r="AE145" s="61">
        <f>SUMIFS([1]инфо!$D$15:$D$28,[1]инфо!$A$15:$A$28,F145)</f>
        <v/>
      </c>
      <c r="AF145" s="62">
        <f>IF(H145=0,0,N145/H145)</f>
        <v/>
      </c>
      <c r="AG145" s="63">
        <f>AF145-AE145</f>
        <v/>
      </c>
      <c r="AH145" s="61">
        <f>SUMIFS([1]инфо!$E$15:$E$28,[1]инфо!$A$15:$A$28,F145)</f>
        <v/>
      </c>
      <c r="AI145" s="64">
        <f>IF(H145=0,0,S145/H145)</f>
        <v/>
      </c>
      <c r="AJ145" s="63">
        <f>AI145-AH145</f>
        <v/>
      </c>
      <c r="AK145" s="61">
        <f>SUMIFS([1]инфо!$F$15:$F$28,[1]инфо!$A$15:$A$28,F145)</f>
        <v/>
      </c>
      <c r="AL145" s="64">
        <f>IF(H145=0,0,Y145/H145)</f>
        <v/>
      </c>
      <c r="AM145" s="63">
        <f>AL145-AK145</f>
        <v/>
      </c>
      <c r="AN145" s="61">
        <f>SUMIFS([1]инфо!$G$15:$G$28,[1]инфо!$A$15:$A$28,F145)</f>
        <v/>
      </c>
      <c r="AO145" s="64">
        <f>IF(H145=0,0,AA145/H145)</f>
        <v/>
      </c>
      <c r="AP145" s="63">
        <f>AO145-AN145</f>
        <v/>
      </c>
      <c r="AQ145" s="61">
        <f>SUMIFS([1]инфо!$H$15:$H$28,[1]инфо!$A$15:$A$28,F145)</f>
        <v/>
      </c>
      <c r="AR145" s="62">
        <f>IF(H144=0,0,AC145/H144)</f>
        <v/>
      </c>
      <c r="AS145" s="63">
        <f>AR145-AQ145</f>
        <v/>
      </c>
      <c r="AT145" s="61">
        <f>SUMIFS([1]инфо!$I$15:$I$28,[1]инфо!$A$15:$A$28,F145)</f>
        <v/>
      </c>
      <c r="AU145" s="62">
        <f>IF(H145=0,0,AD145/H145)</f>
        <v/>
      </c>
      <c r="AV145" s="63">
        <f>AU145-AT145</f>
        <v/>
      </c>
      <c r="AX145" s="59">
        <f>SUMIFS([1]инфо!$C$15:$C$28,[1]инфо!$A$15:$A$28,F145)*H144</f>
        <v/>
      </c>
    </row>
    <row r="146">
      <c r="A146" s="71">
        <f>A144+1</f>
        <v/>
      </c>
      <c r="B146" s="65" t="n"/>
      <c r="C146" s="77" t="n"/>
      <c r="D146" s="78" t="n"/>
      <c r="E146" s="66" t="n"/>
      <c r="F146" s="67" t="n"/>
      <c r="G146" s="68" t="n"/>
      <c r="H146" s="68" t="n"/>
      <c r="I146" s="57">
        <f>IFERROR(H146*VLOOKUP(F146,[1]инфо!$A$15:$C$28,3,FALSE)/1000,0)</f>
        <v/>
      </c>
      <c r="J146" s="55" t="n"/>
      <c r="K146" s="68" t="n"/>
      <c r="L146" s="68" t="n"/>
      <c r="M146" s="55" t="n"/>
      <c r="N146" s="56" t="n"/>
      <c r="O146" s="79" t="n"/>
      <c r="P146" s="79" t="n"/>
      <c r="Q146" s="79" t="n"/>
      <c r="R146" s="79" t="n"/>
      <c r="S146" s="80">
        <f>SUM(O146:R146)</f>
        <v/>
      </c>
      <c r="T146" s="77" t="n"/>
      <c r="U146" s="78" t="n"/>
      <c r="V146" s="79" t="n"/>
      <c r="W146" s="79" t="n"/>
      <c r="X146" s="79" t="n"/>
      <c r="Y146" s="77" t="n"/>
      <c r="Z146" s="79" t="n"/>
      <c r="AA146" s="79" t="n"/>
      <c r="AB146" s="79" t="n"/>
      <c r="AC146" s="79" t="n"/>
      <c r="AD146" s="78" t="n"/>
      <c r="AE146" s="81">
        <f>SUMIFS([1]инфо!$D$15:$D$28,[1]инфо!$A$15:$A$28,F146)</f>
        <v/>
      </c>
      <c r="AF146" s="62">
        <f>IF(H146=0,0,N146/H146)</f>
        <v/>
      </c>
      <c r="AG146" s="82">
        <f>AF146-AE146</f>
        <v/>
      </c>
      <c r="AH146" s="81">
        <f>SUMIFS([1]инфо!$E$15:$E$28,[1]инфо!$A$15:$A$28,F146)</f>
        <v/>
      </c>
      <c r="AI146" s="64">
        <f>IF(H146=0,0,S146/H146)</f>
        <v/>
      </c>
      <c r="AJ146" s="82">
        <f>AI146-AH146</f>
        <v/>
      </c>
      <c r="AK146" s="81">
        <f>SUMIFS([1]инфо!$F$15:$F$28,[1]инфо!$A$15:$A$28,F146)</f>
        <v/>
      </c>
      <c r="AL146" s="64">
        <f>IF(H146=0,0,Y146/H146)</f>
        <v/>
      </c>
      <c r="AM146" s="82">
        <f>AL146-AK146</f>
        <v/>
      </c>
      <c r="AN146" s="81">
        <f>SUMIFS([1]инфо!$G$15:$G$28,[1]инфо!$A$15:$A$28,F146)</f>
        <v/>
      </c>
      <c r="AO146" s="64">
        <f>IF(H146=0,0,AA146/H146)</f>
        <v/>
      </c>
      <c r="AP146" s="82">
        <f>AO146-AN146</f>
        <v/>
      </c>
      <c r="AQ146" s="81">
        <f>SUMIFS([1]инфо!$H$15:$H$28,[1]инфо!$A$15:$A$28,F146)</f>
        <v/>
      </c>
      <c r="AR146" s="85">
        <f>IF(H145=0,0,AC146/H145)</f>
        <v/>
      </c>
      <c r="AS146" s="82">
        <f>AR146-AQ146</f>
        <v/>
      </c>
      <c r="AT146" s="81">
        <f>SUMIFS([1]инфо!$I$15:$I$28,[1]инфо!$A$15:$A$28,F146)</f>
        <v/>
      </c>
      <c r="AU146" s="62">
        <f>IF(H146=0,0,AD146/H146)</f>
        <v/>
      </c>
      <c r="AV146" s="82">
        <f>AU146-AT146</f>
        <v/>
      </c>
      <c r="AX146" s="80">
        <f>SUMIFS([1]инфо!$C$15:$C$28,[1]инфо!$A$15:$A$28,F146)*H145</f>
        <v/>
      </c>
    </row>
    <row r="147">
      <c r="A147" s="71">
        <f>A145+1</f>
        <v/>
      </c>
      <c r="B147" s="65" t="n"/>
      <c r="C147" s="72" t="n"/>
      <c r="D147" s="73" t="n"/>
      <c r="E147" s="66" t="n"/>
      <c r="F147" s="67" t="n"/>
      <c r="G147" s="68" t="n"/>
      <c r="H147" s="68" t="n"/>
      <c r="I147" s="57">
        <f>IFERROR(H147*VLOOKUP(F147,[1]инфо!$A$15:$C$28,3,FALSE)/1000,0)</f>
        <v/>
      </c>
      <c r="J147" s="55" t="n"/>
      <c r="K147" s="68" t="n"/>
      <c r="L147" s="68" t="n"/>
      <c r="M147" s="55" t="n"/>
      <c r="N147" s="67" t="n"/>
      <c r="O147" s="74" t="n"/>
      <c r="P147" s="74" t="n"/>
      <c r="Q147" s="74" t="n"/>
      <c r="R147" s="74" t="n"/>
      <c r="S147" s="70">
        <f>SUM(O147:R147)</f>
        <v/>
      </c>
      <c r="T147" s="72" t="n"/>
      <c r="U147" s="73" t="n"/>
      <c r="V147" s="74" t="n"/>
      <c r="W147" s="74" t="n"/>
      <c r="X147" s="74" t="n"/>
      <c r="Y147" s="72" t="n"/>
      <c r="Z147" s="74" t="n"/>
      <c r="AA147" s="74" t="n"/>
      <c r="AB147" s="74" t="n"/>
      <c r="AC147" s="74" t="n"/>
      <c r="AD147" s="73" t="n"/>
      <c r="AE147" s="75">
        <f>SUMIFS([1]инфо!$D$15:$D$28,[1]инфо!$A$15:$A$28,F147)</f>
        <v/>
      </c>
      <c r="AF147" s="62">
        <f>IF(H147=0,0,N147/H147)</f>
        <v/>
      </c>
      <c r="AG147" s="76">
        <f>AF147-AE147</f>
        <v/>
      </c>
      <c r="AH147" s="75">
        <f>SUMIFS([1]инфо!$E$15:$E$28,[1]инфо!$A$15:$A$28,F147)</f>
        <v/>
      </c>
      <c r="AI147" s="64">
        <f>IF(H147=0,0,S147/H147)</f>
        <v/>
      </c>
      <c r="AJ147" s="76">
        <f>AI147-AH147</f>
        <v/>
      </c>
      <c r="AK147" s="75">
        <f>SUMIFS([1]инфо!$F$15:$F$28,[1]инфо!$A$15:$A$28,F147)</f>
        <v/>
      </c>
      <c r="AL147" s="64">
        <f>IF(H147=0,0,Y147/H147)</f>
        <v/>
      </c>
      <c r="AM147" s="76">
        <f>AL147-AK147</f>
        <v/>
      </c>
      <c r="AN147" s="75">
        <f>SUMIFS([1]инфо!$G$15:$G$28,[1]инфо!$A$15:$A$28,F147)</f>
        <v/>
      </c>
      <c r="AO147" s="64">
        <f>IF(H147=0,0,AA147/H147)</f>
        <v/>
      </c>
      <c r="AP147" s="76">
        <f>AO147-AN147</f>
        <v/>
      </c>
      <c r="AQ147" s="75">
        <f>SUMIFS([1]инфо!$H$15:$H$28,[1]инфо!$A$15:$A$28,F147)</f>
        <v/>
      </c>
      <c r="AR147" s="64">
        <f>IF(H146=0,0,AC147/H146)</f>
        <v/>
      </c>
      <c r="AS147" s="76">
        <f>AR147-AQ147</f>
        <v/>
      </c>
      <c r="AT147" s="75">
        <f>SUMIFS([1]инфо!$I$15:$I$28,[1]инфо!$A$15:$A$28,F147)</f>
        <v/>
      </c>
      <c r="AU147" s="62">
        <f>IF(H147=0,0,AD147/H147)</f>
        <v/>
      </c>
      <c r="AV147" s="76">
        <f>AU147-AT147</f>
        <v/>
      </c>
      <c r="AX147" s="70">
        <f>SUMIFS([1]инфо!$C$15:$C$28,[1]инфо!$A$15:$A$28,F147)*H146</f>
        <v/>
      </c>
    </row>
    <row r="148">
      <c r="A148" s="71">
        <f>A146+1</f>
        <v/>
      </c>
      <c r="B148" s="65" t="n"/>
      <c r="C148" s="52" t="n"/>
      <c r="D148" s="53" t="n"/>
      <c r="E148" s="66" t="n"/>
      <c r="F148" s="67" t="n"/>
      <c r="G148" s="68" t="n"/>
      <c r="H148" s="68" t="n"/>
      <c r="I148" s="57">
        <f>IFERROR(H148*VLOOKUP(F148,[1]инфо!$A$15:$C$28,3,FALSE)/1000,0)</f>
        <v/>
      </c>
      <c r="J148" s="55" t="n"/>
      <c r="K148" s="68" t="n"/>
      <c r="L148" s="68" t="n"/>
      <c r="M148" s="55" t="n"/>
      <c r="N148" s="55" t="n"/>
      <c r="O148" s="58" t="n"/>
      <c r="P148" s="58" t="n"/>
      <c r="Q148" s="58" t="n"/>
      <c r="R148" s="58" t="n"/>
      <c r="S148" s="59">
        <f>SUM(O148:R148)</f>
        <v/>
      </c>
      <c r="T148" s="52" t="n"/>
      <c r="U148" s="53" t="n"/>
      <c r="V148" s="58" t="n"/>
      <c r="W148" s="58" t="n"/>
      <c r="X148" s="58" t="n"/>
      <c r="Y148" s="52" t="n"/>
      <c r="Z148" s="58" t="n"/>
      <c r="AA148" s="58" t="n"/>
      <c r="AB148" s="58" t="n"/>
      <c r="AC148" s="58" t="n"/>
      <c r="AD148" s="53" t="n"/>
      <c r="AE148" s="61">
        <f>SUMIFS([1]инфо!$D$15:$D$28,[1]инфо!$A$15:$A$28,F148)</f>
        <v/>
      </c>
      <c r="AF148" s="62">
        <f>IF(H148=0,0,N148/H148)</f>
        <v/>
      </c>
      <c r="AG148" s="63">
        <f>AF148-AE148</f>
        <v/>
      </c>
      <c r="AH148" s="61">
        <f>SUMIFS([1]инфо!$E$15:$E$28,[1]инфо!$A$15:$A$28,F148)</f>
        <v/>
      </c>
      <c r="AI148" s="64">
        <f>IF(H148=0,0,S148/H148)</f>
        <v/>
      </c>
      <c r="AJ148" s="63">
        <f>AI148-AH148</f>
        <v/>
      </c>
      <c r="AK148" s="61">
        <f>SUMIFS([1]инфо!$F$15:$F$28,[1]инфо!$A$15:$A$28,F148)</f>
        <v/>
      </c>
      <c r="AL148" s="64">
        <f>IF(H148=0,0,Y148/H148)</f>
        <v/>
      </c>
      <c r="AM148" s="63">
        <f>AL148-AK148</f>
        <v/>
      </c>
      <c r="AN148" s="61">
        <f>SUMIFS([1]инфо!$G$15:$G$28,[1]инфо!$A$15:$A$28,F148)</f>
        <v/>
      </c>
      <c r="AO148" s="64">
        <f>IF(H148=0,0,AA148/H148)</f>
        <v/>
      </c>
      <c r="AP148" s="63">
        <f>AO148-AN148</f>
        <v/>
      </c>
      <c r="AQ148" s="61">
        <f>SUMIFS([1]инфо!$H$15:$H$28,[1]инфо!$A$15:$A$28,F148)</f>
        <v/>
      </c>
      <c r="AR148" s="62">
        <f>IF(H147=0,0,AC148/H147)</f>
        <v/>
      </c>
      <c r="AS148" s="63">
        <f>AR148-AQ148</f>
        <v/>
      </c>
      <c r="AT148" s="61">
        <f>SUMIFS([1]инфо!$I$15:$I$28,[1]инфо!$A$15:$A$28,F148)</f>
        <v/>
      </c>
      <c r="AU148" s="62">
        <f>IF(H148=0,0,AD148/H148)</f>
        <v/>
      </c>
      <c r="AV148" s="63">
        <f>AU148-AT148</f>
        <v/>
      </c>
      <c r="AX148" s="59">
        <f>SUMIFS([1]инфо!$C$15:$C$28,[1]инфо!$A$15:$A$28,F148)*H147</f>
        <v/>
      </c>
    </row>
    <row r="149">
      <c r="A149" s="71">
        <f>A147+1</f>
        <v/>
      </c>
      <c r="B149" s="65" t="n"/>
      <c r="C149" s="52" t="n"/>
      <c r="D149" s="53" t="n"/>
      <c r="E149" s="66" t="n"/>
      <c r="F149" s="67" t="n"/>
      <c r="G149" s="68" t="n"/>
      <c r="H149" s="68" t="n"/>
      <c r="I149" s="57">
        <f>IFERROR(H149*VLOOKUP(F149,[1]инфо!$A$15:$C$28,3,FALSE)/1000,0)</f>
        <v/>
      </c>
      <c r="J149" s="55" t="n"/>
      <c r="K149" s="68" t="n"/>
      <c r="L149" s="68" t="n"/>
      <c r="M149" s="55" t="n"/>
      <c r="N149" s="55" t="n"/>
      <c r="O149" s="58" t="n"/>
      <c r="P149" s="58" t="n"/>
      <c r="Q149" s="58" t="n"/>
      <c r="R149" s="58" t="n"/>
      <c r="S149" s="59">
        <f>SUM(O149:R149)</f>
        <v/>
      </c>
      <c r="T149" s="52" t="n"/>
      <c r="U149" s="53" t="n"/>
      <c r="V149" s="58" t="n"/>
      <c r="W149" s="58" t="n"/>
      <c r="X149" s="58" t="n"/>
      <c r="Y149" s="52" t="n"/>
      <c r="Z149" s="58" t="n"/>
      <c r="AA149" s="58" t="n"/>
      <c r="AB149" s="58" t="n"/>
      <c r="AC149" s="58" t="n"/>
      <c r="AD149" s="53" t="n"/>
      <c r="AE149" s="61">
        <f>SUMIFS([1]инфо!$D$15:$D$28,[1]инфо!$A$15:$A$28,F149)</f>
        <v/>
      </c>
      <c r="AF149" s="62">
        <f>IF(H149=0,0,N149/H149)</f>
        <v/>
      </c>
      <c r="AG149" s="63">
        <f>AF149-AE149</f>
        <v/>
      </c>
      <c r="AH149" s="61">
        <f>SUMIFS([1]инфо!$E$15:$E$28,[1]инфо!$A$15:$A$28,F149)</f>
        <v/>
      </c>
      <c r="AI149" s="64">
        <f>IF(H149=0,0,S149/H149)</f>
        <v/>
      </c>
      <c r="AJ149" s="63">
        <f>AI149-AH149</f>
        <v/>
      </c>
      <c r="AK149" s="61">
        <f>SUMIFS([1]инфо!$F$15:$F$28,[1]инфо!$A$15:$A$28,F149)</f>
        <v/>
      </c>
      <c r="AL149" s="64">
        <f>IF(H149=0,0,Y149/H149)</f>
        <v/>
      </c>
      <c r="AM149" s="63">
        <f>AL149-AK149</f>
        <v/>
      </c>
      <c r="AN149" s="61">
        <f>SUMIFS([1]инфо!$G$15:$G$28,[1]инфо!$A$15:$A$28,F149)</f>
        <v/>
      </c>
      <c r="AO149" s="64">
        <f>IF(H149=0,0,AA149/H149)</f>
        <v/>
      </c>
      <c r="AP149" s="63">
        <f>AO149-AN149</f>
        <v/>
      </c>
      <c r="AQ149" s="61">
        <f>SUMIFS([1]инфо!$H$15:$H$28,[1]инфо!$A$15:$A$28,F149)</f>
        <v/>
      </c>
      <c r="AR149" s="62">
        <f>IF(H148=0,0,AC149/H148)</f>
        <v/>
      </c>
      <c r="AS149" s="63">
        <f>AR149-AQ149</f>
        <v/>
      </c>
      <c r="AT149" s="61">
        <f>SUMIFS([1]инфо!$I$15:$I$28,[1]инфо!$A$15:$A$28,F149)</f>
        <v/>
      </c>
      <c r="AU149" s="62">
        <f>IF(H149=0,0,AD149/H149)</f>
        <v/>
      </c>
      <c r="AV149" s="63">
        <f>AU149-AT149</f>
        <v/>
      </c>
      <c r="AX149" s="59">
        <f>SUMIFS([1]инфо!$C$15:$C$28,[1]инфо!$A$15:$A$28,F149)*H148</f>
        <v/>
      </c>
    </row>
    <row r="150">
      <c r="A150" s="71">
        <f>A148+1</f>
        <v/>
      </c>
      <c r="B150" s="65" t="n"/>
      <c r="C150" s="77" t="n"/>
      <c r="D150" s="78" t="n"/>
      <c r="E150" s="66" t="n"/>
      <c r="F150" s="67" t="n"/>
      <c r="G150" s="68" t="n"/>
      <c r="H150" s="68" t="n"/>
      <c r="I150" s="57">
        <f>IFERROR(H150*VLOOKUP(F150,[1]инфо!$A$15:$C$28,3,FALSE)/1000,0)</f>
        <v/>
      </c>
      <c r="J150" s="55" t="n"/>
      <c r="K150" s="68" t="n"/>
      <c r="L150" s="68" t="n"/>
      <c r="M150" s="55" t="n"/>
      <c r="N150" s="56" t="n"/>
      <c r="O150" s="79" t="n"/>
      <c r="P150" s="79" t="n"/>
      <c r="Q150" s="79" t="n"/>
      <c r="R150" s="79" t="n"/>
      <c r="S150" s="80">
        <f>SUM(O150:R150)</f>
        <v/>
      </c>
      <c r="T150" s="77" t="n"/>
      <c r="U150" s="78" t="n"/>
      <c r="V150" s="79" t="n"/>
      <c r="W150" s="79" t="n"/>
      <c r="X150" s="79" t="n"/>
      <c r="Y150" s="77" t="n"/>
      <c r="Z150" s="79" t="n"/>
      <c r="AA150" s="79" t="n"/>
      <c r="AB150" s="79" t="n"/>
      <c r="AC150" s="79" t="n"/>
      <c r="AD150" s="78" t="n"/>
      <c r="AE150" s="81">
        <f>SUMIFS([1]инфо!$D$15:$D$28,[1]инфо!$A$15:$A$28,F150)</f>
        <v/>
      </c>
      <c r="AF150" s="62">
        <f>IF(H150=0,0,N150/H150)</f>
        <v/>
      </c>
      <c r="AG150" s="82">
        <f>AF150-AE150</f>
        <v/>
      </c>
      <c r="AH150" s="81">
        <f>SUMIFS([1]инфо!$E$15:$E$28,[1]инфо!$A$15:$A$28,F150)</f>
        <v/>
      </c>
      <c r="AI150" s="64">
        <f>IF(H150=0,0,S150/H150)</f>
        <v/>
      </c>
      <c r="AJ150" s="82">
        <f>AI150-AH150</f>
        <v/>
      </c>
      <c r="AK150" s="81">
        <f>SUMIFS([1]инфо!$F$15:$F$28,[1]инфо!$A$15:$A$28,F150)</f>
        <v/>
      </c>
      <c r="AL150" s="64">
        <f>IF(H150=0,0,Y150/H150)</f>
        <v/>
      </c>
      <c r="AM150" s="82">
        <f>AL150-AK150</f>
        <v/>
      </c>
      <c r="AN150" s="81">
        <f>SUMIFS([1]инфо!$G$15:$G$28,[1]инфо!$A$15:$A$28,F150)</f>
        <v/>
      </c>
      <c r="AO150" s="64">
        <f>IF(H150=0,0,AA150/H150)</f>
        <v/>
      </c>
      <c r="AP150" s="82">
        <f>AO150-AN150</f>
        <v/>
      </c>
      <c r="AQ150" s="81">
        <f>SUMIFS([1]инфо!$H$15:$H$28,[1]инфо!$A$15:$A$28,F150)</f>
        <v/>
      </c>
      <c r="AR150" s="85">
        <f>IF(H149=0,0,AC150/H149)</f>
        <v/>
      </c>
      <c r="AS150" s="82">
        <f>AR150-AQ150</f>
        <v/>
      </c>
      <c r="AT150" s="81">
        <f>SUMIFS([1]инфо!$I$15:$I$28,[1]инфо!$A$15:$A$28,F150)</f>
        <v/>
      </c>
      <c r="AU150" s="62">
        <f>IF(H150=0,0,AD150/H150)</f>
        <v/>
      </c>
      <c r="AV150" s="82">
        <f>AU150-AT150</f>
        <v/>
      </c>
      <c r="AX150" s="80">
        <f>SUMIFS([1]инфо!$C$15:$C$28,[1]инфо!$A$15:$A$28,F150)*H149</f>
        <v/>
      </c>
    </row>
    <row r="151">
      <c r="A151" s="71">
        <f>A149+1</f>
        <v/>
      </c>
      <c r="B151" s="65" t="n"/>
      <c r="C151" s="72" t="n"/>
      <c r="D151" s="73" t="n"/>
      <c r="E151" s="66" t="n"/>
      <c r="F151" s="67" t="n"/>
      <c r="G151" s="68" t="n"/>
      <c r="H151" s="68" t="n"/>
      <c r="I151" s="57">
        <f>IFERROR(H151*VLOOKUP(F151,[1]инфо!$A$15:$C$28,3,FALSE)/1000,0)</f>
        <v/>
      </c>
      <c r="J151" s="55" t="n"/>
      <c r="K151" s="68" t="n"/>
      <c r="L151" s="68" t="n"/>
      <c r="M151" s="55" t="n"/>
      <c r="N151" s="67" t="n"/>
      <c r="O151" s="74" t="n"/>
      <c r="P151" s="74" t="n"/>
      <c r="Q151" s="74" t="n"/>
      <c r="R151" s="74" t="n"/>
      <c r="S151" s="70">
        <f>SUM(O151:R151)</f>
        <v/>
      </c>
      <c r="T151" s="72" t="n"/>
      <c r="U151" s="73" t="n"/>
      <c r="V151" s="74" t="n"/>
      <c r="W151" s="74" t="n"/>
      <c r="X151" s="74" t="n"/>
      <c r="Y151" s="72" t="n"/>
      <c r="Z151" s="74" t="n"/>
      <c r="AA151" s="74" t="n"/>
      <c r="AB151" s="74" t="n"/>
      <c r="AC151" s="74" t="n"/>
      <c r="AD151" s="73" t="n"/>
      <c r="AE151" s="75">
        <f>SUMIFS([1]инфо!$D$15:$D$28,[1]инфо!$A$15:$A$28,F151)</f>
        <v/>
      </c>
      <c r="AF151" s="62">
        <f>IF(H151=0,0,N151/H151)</f>
        <v/>
      </c>
      <c r="AG151" s="76">
        <f>AF151-AE151</f>
        <v/>
      </c>
      <c r="AH151" s="75">
        <f>SUMIFS([1]инфо!$E$15:$E$28,[1]инфо!$A$15:$A$28,F151)</f>
        <v/>
      </c>
      <c r="AI151" s="64">
        <f>IF(H151=0,0,S151/H151)</f>
        <v/>
      </c>
      <c r="AJ151" s="76">
        <f>AI151-AH151</f>
        <v/>
      </c>
      <c r="AK151" s="75">
        <f>SUMIFS([1]инфо!$F$15:$F$28,[1]инфо!$A$15:$A$28,F151)</f>
        <v/>
      </c>
      <c r="AL151" s="64">
        <f>IF(H151=0,0,Y151/H151)</f>
        <v/>
      </c>
      <c r="AM151" s="76">
        <f>AL151-AK151</f>
        <v/>
      </c>
      <c r="AN151" s="75">
        <f>SUMIFS([1]инфо!$G$15:$G$28,[1]инфо!$A$15:$A$28,F151)</f>
        <v/>
      </c>
      <c r="AO151" s="64">
        <f>IF(H151=0,0,AA151/H151)</f>
        <v/>
      </c>
      <c r="AP151" s="76">
        <f>AO151-AN151</f>
        <v/>
      </c>
      <c r="AQ151" s="75">
        <f>SUMIFS([1]инфо!$H$15:$H$28,[1]инфо!$A$15:$A$28,F151)</f>
        <v/>
      </c>
      <c r="AR151" s="64">
        <f>IF(H150=0,0,AC151/H150)</f>
        <v/>
      </c>
      <c r="AS151" s="76">
        <f>AR151-AQ151</f>
        <v/>
      </c>
      <c r="AT151" s="75">
        <f>SUMIFS([1]инфо!$I$15:$I$28,[1]инфо!$A$15:$A$28,F151)</f>
        <v/>
      </c>
      <c r="AU151" s="62">
        <f>IF(H151=0,0,AD151/H151)</f>
        <v/>
      </c>
      <c r="AV151" s="76">
        <f>AU151-AT151</f>
        <v/>
      </c>
      <c r="AX151" s="70">
        <f>SUMIFS([1]инфо!$C$15:$C$28,[1]инфо!$A$15:$A$28,F151)*H150</f>
        <v/>
      </c>
    </row>
    <row r="152">
      <c r="A152" s="71">
        <f>A150+1</f>
        <v/>
      </c>
      <c r="B152" s="65" t="n"/>
      <c r="C152" s="52" t="n"/>
      <c r="D152" s="53" t="n"/>
      <c r="E152" s="66" t="n"/>
      <c r="F152" s="67" t="n"/>
      <c r="G152" s="68" t="n"/>
      <c r="H152" s="68" t="n"/>
      <c r="I152" s="57">
        <f>IFERROR(H152*VLOOKUP(F152,[1]инфо!$A$15:$C$28,3,FALSE)/1000,0)</f>
        <v/>
      </c>
      <c r="J152" s="55" t="n"/>
      <c r="K152" s="68" t="n"/>
      <c r="L152" s="68" t="n"/>
      <c r="M152" s="55" t="n"/>
      <c r="N152" s="55" t="n"/>
      <c r="O152" s="58" t="n"/>
      <c r="P152" s="58" t="n"/>
      <c r="Q152" s="58" t="n"/>
      <c r="R152" s="58" t="n"/>
      <c r="S152" s="59">
        <f>SUM(O152:R152)</f>
        <v/>
      </c>
      <c r="T152" s="52" t="n"/>
      <c r="U152" s="53" t="n"/>
      <c r="V152" s="58" t="n"/>
      <c r="W152" s="58" t="n"/>
      <c r="X152" s="58" t="n"/>
      <c r="Y152" s="52" t="n"/>
      <c r="Z152" s="58" t="n"/>
      <c r="AA152" s="58" t="n"/>
      <c r="AB152" s="58" t="n"/>
      <c r="AC152" s="58" t="n"/>
      <c r="AD152" s="53" t="n"/>
      <c r="AE152" s="61">
        <f>SUMIFS([1]инфо!$D$15:$D$28,[1]инфо!$A$15:$A$28,F152)</f>
        <v/>
      </c>
      <c r="AF152" s="62">
        <f>IF(H152=0,0,N152/H152)</f>
        <v/>
      </c>
      <c r="AG152" s="63">
        <f>AF152-AE152</f>
        <v/>
      </c>
      <c r="AH152" s="61">
        <f>SUMIFS([1]инфо!$E$15:$E$28,[1]инфо!$A$15:$A$28,F152)</f>
        <v/>
      </c>
      <c r="AI152" s="64">
        <f>IF(H152=0,0,S152/H152)</f>
        <v/>
      </c>
      <c r="AJ152" s="63">
        <f>AI152-AH152</f>
        <v/>
      </c>
      <c r="AK152" s="61">
        <f>SUMIFS([1]инфо!$F$15:$F$28,[1]инфо!$A$15:$A$28,F152)</f>
        <v/>
      </c>
      <c r="AL152" s="64">
        <f>IF(H152=0,0,Y152/H152)</f>
        <v/>
      </c>
      <c r="AM152" s="63">
        <f>AL152-AK152</f>
        <v/>
      </c>
      <c r="AN152" s="61">
        <f>SUMIFS([1]инфо!$G$15:$G$28,[1]инфо!$A$15:$A$28,F152)</f>
        <v/>
      </c>
      <c r="AO152" s="64">
        <f>IF(H152=0,0,AA152/H152)</f>
        <v/>
      </c>
      <c r="AP152" s="63">
        <f>AO152-AN152</f>
        <v/>
      </c>
      <c r="AQ152" s="61">
        <f>SUMIFS([1]инфо!$H$15:$H$28,[1]инфо!$A$15:$A$28,F152)</f>
        <v/>
      </c>
      <c r="AR152" s="62">
        <f>IF(H151=0,0,AC152/H151)</f>
        <v/>
      </c>
      <c r="AS152" s="63">
        <f>AR152-AQ152</f>
        <v/>
      </c>
      <c r="AT152" s="61">
        <f>SUMIFS([1]инфо!$I$15:$I$28,[1]инфо!$A$15:$A$28,F152)</f>
        <v/>
      </c>
      <c r="AU152" s="62">
        <f>IF(H152=0,0,AD152/H152)</f>
        <v/>
      </c>
      <c r="AV152" s="63">
        <f>AU152-AT152</f>
        <v/>
      </c>
      <c r="AX152" s="59">
        <f>SUMIFS([1]инфо!$C$15:$C$28,[1]инфо!$A$15:$A$28,F152)*H151</f>
        <v/>
      </c>
    </row>
    <row r="153">
      <c r="A153" s="71">
        <f>A151+1</f>
        <v/>
      </c>
      <c r="B153" s="65" t="n"/>
      <c r="C153" s="52" t="n"/>
      <c r="D153" s="53" t="n"/>
      <c r="E153" s="66" t="n"/>
      <c r="F153" s="67" t="n"/>
      <c r="G153" s="68" t="n"/>
      <c r="H153" s="68" t="n"/>
      <c r="I153" s="57">
        <f>IFERROR(H153*VLOOKUP(F153,[1]инфо!$A$15:$C$28,3,FALSE)/1000,0)</f>
        <v/>
      </c>
      <c r="J153" s="55" t="n"/>
      <c r="K153" s="68" t="n"/>
      <c r="L153" s="68" t="n"/>
      <c r="M153" s="55" t="n"/>
      <c r="N153" s="55" t="n"/>
      <c r="O153" s="58" t="n"/>
      <c r="P153" s="58" t="n"/>
      <c r="Q153" s="58" t="n"/>
      <c r="R153" s="58" t="n"/>
      <c r="S153" s="59">
        <f>SUM(O153:R153)</f>
        <v/>
      </c>
      <c r="T153" s="52" t="n"/>
      <c r="U153" s="53" t="n"/>
      <c r="V153" s="58" t="n"/>
      <c r="W153" s="58" t="n"/>
      <c r="X153" s="58" t="n"/>
      <c r="Y153" s="52" t="n"/>
      <c r="Z153" s="58" t="n"/>
      <c r="AA153" s="58" t="n"/>
      <c r="AB153" s="58" t="n"/>
      <c r="AC153" s="58" t="n"/>
      <c r="AD153" s="53" t="n"/>
      <c r="AE153" s="61">
        <f>SUMIFS([1]инфо!$D$15:$D$28,[1]инфо!$A$15:$A$28,F153)</f>
        <v/>
      </c>
      <c r="AF153" s="62">
        <f>IF(H153=0,0,N153/H153)</f>
        <v/>
      </c>
      <c r="AG153" s="63">
        <f>AF153-AE153</f>
        <v/>
      </c>
      <c r="AH153" s="61">
        <f>SUMIFS([1]инфо!$E$15:$E$28,[1]инфо!$A$15:$A$28,F153)</f>
        <v/>
      </c>
      <c r="AI153" s="64">
        <f>IF(H153=0,0,S153/H153)</f>
        <v/>
      </c>
      <c r="AJ153" s="63">
        <f>AI153-AH153</f>
        <v/>
      </c>
      <c r="AK153" s="61">
        <f>SUMIFS([1]инфо!$F$15:$F$28,[1]инфо!$A$15:$A$28,F153)</f>
        <v/>
      </c>
      <c r="AL153" s="64">
        <f>IF(H153=0,0,Y153/H153)</f>
        <v/>
      </c>
      <c r="AM153" s="63">
        <f>AL153-AK153</f>
        <v/>
      </c>
      <c r="AN153" s="61">
        <f>SUMIFS([1]инфо!$G$15:$G$28,[1]инфо!$A$15:$A$28,F153)</f>
        <v/>
      </c>
      <c r="AO153" s="64">
        <f>IF(H153=0,0,AA153/H153)</f>
        <v/>
      </c>
      <c r="AP153" s="63">
        <f>AO153-AN153</f>
        <v/>
      </c>
      <c r="AQ153" s="61">
        <f>SUMIFS([1]инфо!$H$15:$H$28,[1]инфо!$A$15:$A$28,F153)</f>
        <v/>
      </c>
      <c r="AR153" s="62">
        <f>IF(H152=0,0,AC153/H152)</f>
        <v/>
      </c>
      <c r="AS153" s="63">
        <f>AR153-AQ153</f>
        <v/>
      </c>
      <c r="AT153" s="61">
        <f>SUMIFS([1]инфо!$I$15:$I$28,[1]инфо!$A$15:$A$28,F153)</f>
        <v/>
      </c>
      <c r="AU153" s="62">
        <f>IF(H153=0,0,AD153/H153)</f>
        <v/>
      </c>
      <c r="AV153" s="63">
        <f>AU153-AT153</f>
        <v/>
      </c>
      <c r="AX153" s="59">
        <f>SUMIFS([1]инфо!$C$15:$C$28,[1]инфо!$A$15:$A$28,F153)*H152</f>
        <v/>
      </c>
    </row>
    <row r="154">
      <c r="A154" s="71">
        <f>A152+1</f>
        <v/>
      </c>
      <c r="B154" s="65" t="n"/>
      <c r="C154" s="77" t="n"/>
      <c r="D154" s="78" t="n"/>
      <c r="E154" s="66" t="n"/>
      <c r="F154" s="67" t="n"/>
      <c r="G154" s="68" t="n"/>
      <c r="H154" s="68" t="n"/>
      <c r="I154" s="57">
        <f>IFERROR(H154*VLOOKUP(F154,[1]инфо!$A$15:$C$28,3,FALSE)/1000,0)</f>
        <v/>
      </c>
      <c r="J154" s="55" t="n"/>
      <c r="K154" s="68" t="n"/>
      <c r="L154" s="68" t="n"/>
      <c r="M154" s="55" t="n"/>
      <c r="N154" s="56" t="n"/>
      <c r="O154" s="79" t="n"/>
      <c r="P154" s="79" t="n"/>
      <c r="Q154" s="79" t="n"/>
      <c r="R154" s="79" t="n"/>
      <c r="S154" s="80">
        <f>SUM(O154:R154)</f>
        <v/>
      </c>
      <c r="T154" s="77" t="n"/>
      <c r="U154" s="78" t="n"/>
      <c r="V154" s="79" t="n"/>
      <c r="W154" s="79" t="n"/>
      <c r="X154" s="79" t="n"/>
      <c r="Y154" s="77" t="n"/>
      <c r="Z154" s="79" t="n"/>
      <c r="AA154" s="79" t="n"/>
      <c r="AB154" s="79" t="n"/>
      <c r="AC154" s="79" t="n"/>
      <c r="AD154" s="78" t="n"/>
      <c r="AE154" s="81">
        <f>SUMIFS([1]инфо!$D$15:$D$28,[1]инфо!$A$15:$A$28,F154)</f>
        <v/>
      </c>
      <c r="AF154" s="62">
        <f>IF(H154=0,0,N154/H154)</f>
        <v/>
      </c>
      <c r="AG154" s="82">
        <f>AF154-AE154</f>
        <v/>
      </c>
      <c r="AH154" s="81">
        <f>SUMIFS([1]инфо!$E$15:$E$28,[1]инфо!$A$15:$A$28,F154)</f>
        <v/>
      </c>
      <c r="AI154" s="64">
        <f>IF(H154=0,0,S154/H154)</f>
        <v/>
      </c>
      <c r="AJ154" s="82">
        <f>AI154-AH154</f>
        <v/>
      </c>
      <c r="AK154" s="81">
        <f>SUMIFS([1]инфо!$F$15:$F$28,[1]инфо!$A$15:$A$28,F154)</f>
        <v/>
      </c>
      <c r="AL154" s="64">
        <f>IF(H154=0,0,Y154/H154)</f>
        <v/>
      </c>
      <c r="AM154" s="82">
        <f>AL154-AK154</f>
        <v/>
      </c>
      <c r="AN154" s="81">
        <f>SUMIFS([1]инфо!$G$15:$G$28,[1]инфо!$A$15:$A$28,F154)</f>
        <v/>
      </c>
      <c r="AO154" s="64">
        <f>IF(H154=0,0,AA154/H154)</f>
        <v/>
      </c>
      <c r="AP154" s="82">
        <f>AO154-AN154</f>
        <v/>
      </c>
      <c r="AQ154" s="81">
        <f>SUMIFS([1]инфо!$H$15:$H$28,[1]инфо!$A$15:$A$28,F154)</f>
        <v/>
      </c>
      <c r="AR154" s="85">
        <f>IF(H153=0,0,AC154/H153)</f>
        <v/>
      </c>
      <c r="AS154" s="82">
        <f>AR154-AQ154</f>
        <v/>
      </c>
      <c r="AT154" s="81">
        <f>SUMIFS([1]инфо!$I$15:$I$28,[1]инфо!$A$15:$A$28,F154)</f>
        <v/>
      </c>
      <c r="AU154" s="62">
        <f>IF(H154=0,0,AD154/H154)</f>
        <v/>
      </c>
      <c r="AV154" s="82">
        <f>AU154-AT154</f>
        <v/>
      </c>
      <c r="AX154" s="80">
        <f>SUMIFS([1]инфо!$C$15:$C$28,[1]инфо!$A$15:$A$28,F154)*H153</f>
        <v/>
      </c>
    </row>
    <row r="155">
      <c r="A155" s="71">
        <f>A153+1</f>
        <v/>
      </c>
      <c r="B155" s="65" t="n"/>
      <c r="C155" s="72" t="n"/>
      <c r="D155" s="73" t="n"/>
      <c r="E155" s="66" t="n"/>
      <c r="F155" s="67" t="n"/>
      <c r="G155" s="68" t="n"/>
      <c r="H155" s="68" t="n"/>
      <c r="I155" s="57">
        <f>IFERROR(H155*VLOOKUP(F155,[1]инфо!$A$15:$C$28,3,FALSE)/1000,0)</f>
        <v/>
      </c>
      <c r="J155" s="55" t="n"/>
      <c r="K155" s="68" t="n"/>
      <c r="L155" s="68" t="n"/>
      <c r="M155" s="55" t="n"/>
      <c r="N155" s="67" t="n"/>
      <c r="O155" s="74" t="n"/>
      <c r="P155" s="74" t="n"/>
      <c r="Q155" s="74" t="n"/>
      <c r="R155" s="74" t="n"/>
      <c r="S155" s="70">
        <f>SUM(O155:R155)</f>
        <v/>
      </c>
      <c r="T155" s="72" t="n"/>
      <c r="U155" s="73" t="n"/>
      <c r="V155" s="74" t="n"/>
      <c r="W155" s="74" t="n"/>
      <c r="X155" s="74" t="n"/>
      <c r="Y155" s="72" t="n"/>
      <c r="Z155" s="74" t="n"/>
      <c r="AA155" s="74" t="n"/>
      <c r="AB155" s="74" t="n"/>
      <c r="AC155" s="74" t="n"/>
      <c r="AD155" s="73" t="n"/>
      <c r="AE155" s="75">
        <f>SUMIFS([1]инфо!$D$15:$D$28,[1]инфо!$A$15:$A$28,F155)</f>
        <v/>
      </c>
      <c r="AF155" s="62">
        <f>IF(H155=0,0,N155/H155)</f>
        <v/>
      </c>
      <c r="AG155" s="76">
        <f>AF155-AE155</f>
        <v/>
      </c>
      <c r="AH155" s="75">
        <f>SUMIFS([1]инфо!$E$15:$E$28,[1]инфо!$A$15:$A$28,F155)</f>
        <v/>
      </c>
      <c r="AI155" s="64">
        <f>IF(H155=0,0,S155/H155)</f>
        <v/>
      </c>
      <c r="AJ155" s="76">
        <f>AI155-AH155</f>
        <v/>
      </c>
      <c r="AK155" s="75">
        <f>SUMIFS([1]инфо!$F$15:$F$28,[1]инфо!$A$15:$A$28,F155)</f>
        <v/>
      </c>
      <c r="AL155" s="64">
        <f>IF(H155=0,0,Y155/H155)</f>
        <v/>
      </c>
      <c r="AM155" s="76">
        <f>AL155-AK155</f>
        <v/>
      </c>
      <c r="AN155" s="75">
        <f>SUMIFS([1]инфо!$G$15:$G$28,[1]инфо!$A$15:$A$28,F155)</f>
        <v/>
      </c>
      <c r="AO155" s="64">
        <f>IF(H155=0,0,AA155/H155)</f>
        <v/>
      </c>
      <c r="AP155" s="76">
        <f>AO155-AN155</f>
        <v/>
      </c>
      <c r="AQ155" s="75">
        <f>SUMIFS([1]инфо!$H$15:$H$28,[1]инфо!$A$15:$A$28,F155)</f>
        <v/>
      </c>
      <c r="AR155" s="64">
        <f>IF(H154=0,0,AC155/H154)</f>
        <v/>
      </c>
      <c r="AS155" s="76">
        <f>AR155-AQ155</f>
        <v/>
      </c>
      <c r="AT155" s="75">
        <f>SUMIFS([1]инфо!$I$15:$I$28,[1]инфо!$A$15:$A$28,F155)</f>
        <v/>
      </c>
      <c r="AU155" s="62">
        <f>IF(H155=0,0,AD155/H155)</f>
        <v/>
      </c>
      <c r="AV155" s="76">
        <f>AU155-AT155</f>
        <v/>
      </c>
      <c r="AX155" s="70">
        <f>SUMIFS([1]инфо!$C$15:$C$28,[1]инфо!$A$15:$A$28,F155)*H154</f>
        <v/>
      </c>
    </row>
    <row r="156">
      <c r="A156" s="71">
        <f>A154+1</f>
        <v/>
      </c>
      <c r="B156" s="65" t="n"/>
      <c r="C156" s="52" t="n"/>
      <c r="D156" s="53" t="n"/>
      <c r="E156" s="66" t="n"/>
      <c r="F156" s="67" t="n"/>
      <c r="G156" s="68" t="n"/>
      <c r="H156" s="68" t="n"/>
      <c r="I156" s="57">
        <f>IFERROR(H156*VLOOKUP(F156,[1]инфо!$A$15:$C$28,3,FALSE)/1000,0)</f>
        <v/>
      </c>
      <c r="J156" s="55" t="n"/>
      <c r="K156" s="68" t="n"/>
      <c r="L156" s="68" t="n"/>
      <c r="M156" s="55" t="n"/>
      <c r="N156" s="55" t="n"/>
      <c r="O156" s="58" t="n"/>
      <c r="P156" s="58" t="n"/>
      <c r="Q156" s="58" t="n"/>
      <c r="R156" s="58" t="n"/>
      <c r="S156" s="59">
        <f>SUM(O156:R156)</f>
        <v/>
      </c>
      <c r="T156" s="52" t="n"/>
      <c r="U156" s="53" t="n"/>
      <c r="V156" s="58" t="n"/>
      <c r="W156" s="58" t="n"/>
      <c r="X156" s="58" t="n"/>
      <c r="Y156" s="52" t="n"/>
      <c r="Z156" s="58" t="n"/>
      <c r="AA156" s="58" t="n"/>
      <c r="AB156" s="58" t="n"/>
      <c r="AC156" s="58" t="n"/>
      <c r="AD156" s="53" t="n"/>
      <c r="AE156" s="61">
        <f>SUMIFS([1]инфо!$D$15:$D$28,[1]инфо!$A$15:$A$28,F156)</f>
        <v/>
      </c>
      <c r="AF156" s="62">
        <f>IF(H156=0,0,N156/H156)</f>
        <v/>
      </c>
      <c r="AG156" s="63">
        <f>AF156-AE156</f>
        <v/>
      </c>
      <c r="AH156" s="61">
        <f>SUMIFS([1]инфо!$E$15:$E$28,[1]инфо!$A$15:$A$28,F156)</f>
        <v/>
      </c>
      <c r="AI156" s="64">
        <f>IF(H156=0,0,S156/H156)</f>
        <v/>
      </c>
      <c r="AJ156" s="63">
        <f>AI156-AH156</f>
        <v/>
      </c>
      <c r="AK156" s="61">
        <f>SUMIFS([1]инфо!$F$15:$F$28,[1]инфо!$A$15:$A$28,F156)</f>
        <v/>
      </c>
      <c r="AL156" s="64">
        <f>IF(H156=0,0,Y156/H156)</f>
        <v/>
      </c>
      <c r="AM156" s="63">
        <f>AL156-AK156</f>
        <v/>
      </c>
      <c r="AN156" s="61">
        <f>SUMIFS([1]инфо!$G$15:$G$28,[1]инфо!$A$15:$A$28,F156)</f>
        <v/>
      </c>
      <c r="AO156" s="64">
        <f>IF(H156=0,0,AA156/H156)</f>
        <v/>
      </c>
      <c r="AP156" s="63">
        <f>AO156-AN156</f>
        <v/>
      </c>
      <c r="AQ156" s="61">
        <f>SUMIFS([1]инфо!$H$15:$H$28,[1]инфо!$A$15:$A$28,F156)</f>
        <v/>
      </c>
      <c r="AR156" s="62">
        <f>IF(H155=0,0,AC156/H155)</f>
        <v/>
      </c>
      <c r="AS156" s="63">
        <f>AR156-AQ156</f>
        <v/>
      </c>
      <c r="AT156" s="61">
        <f>SUMIFS([1]инфо!$I$15:$I$28,[1]инфо!$A$15:$A$28,F156)</f>
        <v/>
      </c>
      <c r="AU156" s="62">
        <f>IF(H156=0,0,AD156/H156)</f>
        <v/>
      </c>
      <c r="AV156" s="63">
        <f>AU156-AT156</f>
        <v/>
      </c>
      <c r="AX156" s="59">
        <f>SUMIFS([1]инфо!$C$15:$C$28,[1]инфо!$A$15:$A$28,F156)*H155</f>
        <v/>
      </c>
    </row>
    <row r="157">
      <c r="A157" s="71">
        <f>A155+1</f>
        <v/>
      </c>
      <c r="B157" s="65" t="n"/>
      <c r="C157" s="52" t="n"/>
      <c r="D157" s="53" t="n"/>
      <c r="E157" s="66" t="n"/>
      <c r="F157" s="67" t="n"/>
      <c r="G157" s="68" t="n"/>
      <c r="H157" s="68" t="n"/>
      <c r="I157" s="57">
        <f>IFERROR(H157*VLOOKUP(F157,[1]инфо!$A$15:$C$28,3,FALSE)/1000,0)</f>
        <v/>
      </c>
      <c r="J157" s="55" t="n"/>
      <c r="K157" s="68" t="n"/>
      <c r="L157" s="68" t="n"/>
      <c r="M157" s="55" t="n"/>
      <c r="N157" s="55" t="n"/>
      <c r="O157" s="58" t="n"/>
      <c r="P157" s="58" t="n"/>
      <c r="Q157" s="58" t="n"/>
      <c r="R157" s="58" t="n"/>
      <c r="S157" s="59">
        <f>SUM(O157:R157)</f>
        <v/>
      </c>
      <c r="T157" s="52" t="n"/>
      <c r="U157" s="53" t="n"/>
      <c r="V157" s="58" t="n"/>
      <c r="W157" s="58" t="n"/>
      <c r="X157" s="58" t="n"/>
      <c r="Y157" s="52" t="n"/>
      <c r="Z157" s="58" t="n"/>
      <c r="AA157" s="58" t="n"/>
      <c r="AB157" s="58" t="n"/>
      <c r="AC157" s="58" t="n"/>
      <c r="AD157" s="53" t="n"/>
      <c r="AE157" s="61">
        <f>SUMIFS([1]инфо!$D$15:$D$28,[1]инфо!$A$15:$A$28,F157)</f>
        <v/>
      </c>
      <c r="AF157" s="62">
        <f>IF(H157=0,0,N157/H157)</f>
        <v/>
      </c>
      <c r="AG157" s="63">
        <f>AF157-AE157</f>
        <v/>
      </c>
      <c r="AH157" s="61">
        <f>SUMIFS([1]инфо!$E$15:$E$28,[1]инфо!$A$15:$A$28,F157)</f>
        <v/>
      </c>
      <c r="AI157" s="64">
        <f>IF(H157=0,0,S157/H157)</f>
        <v/>
      </c>
      <c r="AJ157" s="63">
        <f>AI157-AH157</f>
        <v/>
      </c>
      <c r="AK157" s="61">
        <f>SUMIFS([1]инфо!$F$15:$F$28,[1]инфо!$A$15:$A$28,F157)</f>
        <v/>
      </c>
      <c r="AL157" s="64">
        <f>IF(H157=0,0,Y157/H157)</f>
        <v/>
      </c>
      <c r="AM157" s="63">
        <f>AL157-AK157</f>
        <v/>
      </c>
      <c r="AN157" s="61">
        <f>SUMIFS([1]инфо!$G$15:$G$28,[1]инфо!$A$15:$A$28,F157)</f>
        <v/>
      </c>
      <c r="AO157" s="64">
        <f>IF(H157=0,0,AA157/H157)</f>
        <v/>
      </c>
      <c r="AP157" s="63">
        <f>AO157-AN157</f>
        <v/>
      </c>
      <c r="AQ157" s="61">
        <f>SUMIFS([1]инфо!$H$15:$H$28,[1]инфо!$A$15:$A$28,F157)</f>
        <v/>
      </c>
      <c r="AR157" s="62">
        <f>IF(H156=0,0,AC157/H156)</f>
        <v/>
      </c>
      <c r="AS157" s="63">
        <f>AR157-AQ157</f>
        <v/>
      </c>
      <c r="AT157" s="61">
        <f>SUMIFS([1]инфо!$I$15:$I$28,[1]инфо!$A$15:$A$28,F157)</f>
        <v/>
      </c>
      <c r="AU157" s="62">
        <f>IF(H157=0,0,AD157/H157)</f>
        <v/>
      </c>
      <c r="AV157" s="63">
        <f>AU157-AT157</f>
        <v/>
      </c>
      <c r="AX157" s="59">
        <f>SUMIFS([1]инфо!$C$15:$C$28,[1]инфо!$A$15:$A$28,F157)*H156</f>
        <v/>
      </c>
    </row>
    <row r="158">
      <c r="A158" s="71">
        <f>A156+1</f>
        <v/>
      </c>
      <c r="B158" s="65" t="n"/>
      <c r="C158" s="77" t="n"/>
      <c r="D158" s="78" t="n"/>
      <c r="E158" s="66" t="n"/>
      <c r="F158" s="67" t="n"/>
      <c r="G158" s="68" t="n"/>
      <c r="H158" s="68" t="n"/>
      <c r="I158" s="57">
        <f>IFERROR(H158*VLOOKUP(F158,[1]инфо!$A$15:$C$28,3,FALSE)/1000,0)</f>
        <v/>
      </c>
      <c r="J158" s="55" t="n"/>
      <c r="K158" s="68" t="n"/>
      <c r="L158" s="68" t="n"/>
      <c r="M158" s="55" t="n"/>
      <c r="N158" s="56" t="n"/>
      <c r="O158" s="79" t="n"/>
      <c r="P158" s="79" t="n"/>
      <c r="Q158" s="79" t="n"/>
      <c r="R158" s="79" t="n"/>
      <c r="S158" s="80">
        <f>SUM(O158:R158)</f>
        <v/>
      </c>
      <c r="T158" s="77" t="n"/>
      <c r="U158" s="78" t="n"/>
      <c r="V158" s="79" t="n"/>
      <c r="W158" s="79" t="n"/>
      <c r="X158" s="79" t="n"/>
      <c r="Y158" s="77" t="n"/>
      <c r="Z158" s="79" t="n"/>
      <c r="AA158" s="79" t="n"/>
      <c r="AB158" s="79" t="n"/>
      <c r="AC158" s="79" t="n"/>
      <c r="AD158" s="78" t="n"/>
      <c r="AE158" s="81">
        <f>SUMIFS([1]инфо!$D$15:$D$28,[1]инфо!$A$15:$A$28,F158)</f>
        <v/>
      </c>
      <c r="AF158" s="62">
        <f>IF(H158=0,0,N158/H158)</f>
        <v/>
      </c>
      <c r="AG158" s="82">
        <f>AF158-AE158</f>
        <v/>
      </c>
      <c r="AH158" s="81">
        <f>SUMIFS([1]инфо!$E$15:$E$28,[1]инфо!$A$15:$A$28,F158)</f>
        <v/>
      </c>
      <c r="AI158" s="64">
        <f>IF(H158=0,0,S158/H158)</f>
        <v/>
      </c>
      <c r="AJ158" s="82">
        <f>AI158-AH158</f>
        <v/>
      </c>
      <c r="AK158" s="81">
        <f>SUMIFS([1]инфо!$F$15:$F$28,[1]инфо!$A$15:$A$28,F158)</f>
        <v/>
      </c>
      <c r="AL158" s="64">
        <f>IF(H158=0,0,Y158/H158)</f>
        <v/>
      </c>
      <c r="AM158" s="82">
        <f>AL158-AK158</f>
        <v/>
      </c>
      <c r="AN158" s="81">
        <f>SUMIFS([1]инфо!$G$15:$G$28,[1]инфо!$A$15:$A$28,F158)</f>
        <v/>
      </c>
      <c r="AO158" s="64">
        <f>IF(H158=0,0,AA158/H158)</f>
        <v/>
      </c>
      <c r="AP158" s="82">
        <f>AO158-AN158</f>
        <v/>
      </c>
      <c r="AQ158" s="81">
        <f>SUMIFS([1]инфо!$H$15:$H$28,[1]инфо!$A$15:$A$28,F158)</f>
        <v/>
      </c>
      <c r="AR158" s="85">
        <f>IF(H157=0,0,AC158/H157)</f>
        <v/>
      </c>
      <c r="AS158" s="82">
        <f>AR158-AQ158</f>
        <v/>
      </c>
      <c r="AT158" s="81">
        <f>SUMIFS([1]инфо!$I$15:$I$28,[1]инфо!$A$15:$A$28,F158)</f>
        <v/>
      </c>
      <c r="AU158" s="62">
        <f>IF(H158=0,0,AD158/H158)</f>
        <v/>
      </c>
      <c r="AV158" s="82">
        <f>AU158-AT158</f>
        <v/>
      </c>
      <c r="AX158" s="80">
        <f>SUMIFS([1]инфо!$C$15:$C$28,[1]инфо!$A$15:$A$28,F158)*H157</f>
        <v/>
      </c>
    </row>
    <row r="159">
      <c r="A159" s="71">
        <f>A157+1</f>
        <v/>
      </c>
      <c r="B159" s="65" t="n"/>
      <c r="C159" s="72" t="n"/>
      <c r="D159" s="73" t="n"/>
      <c r="E159" s="66" t="n"/>
      <c r="F159" s="67" t="n"/>
      <c r="G159" s="68" t="n"/>
      <c r="H159" s="68" t="n"/>
      <c r="I159" s="57">
        <f>IFERROR(H159*VLOOKUP(F159,[1]инфо!$A$15:$C$28,3,FALSE)/1000,0)</f>
        <v/>
      </c>
      <c r="J159" s="55" t="n"/>
      <c r="K159" s="68" t="n"/>
      <c r="L159" s="68" t="n"/>
      <c r="M159" s="55" t="n"/>
      <c r="N159" s="67" t="n"/>
      <c r="O159" s="74" t="n"/>
      <c r="P159" s="74" t="n"/>
      <c r="Q159" s="74" t="n"/>
      <c r="R159" s="74" t="n"/>
      <c r="S159" s="70">
        <f>SUM(O159:R159)</f>
        <v/>
      </c>
      <c r="T159" s="72" t="n"/>
      <c r="U159" s="73" t="n"/>
      <c r="V159" s="74" t="n"/>
      <c r="W159" s="74" t="n"/>
      <c r="X159" s="74" t="n"/>
      <c r="Y159" s="72" t="n"/>
      <c r="Z159" s="74" t="n"/>
      <c r="AA159" s="74" t="n"/>
      <c r="AB159" s="74" t="n"/>
      <c r="AC159" s="74" t="n"/>
      <c r="AD159" s="73" t="n"/>
      <c r="AE159" s="75">
        <f>SUMIFS([1]инфо!$D$15:$D$28,[1]инфо!$A$15:$A$28,F159)</f>
        <v/>
      </c>
      <c r="AF159" s="62">
        <f>IF(H159=0,0,N159/H159)</f>
        <v/>
      </c>
      <c r="AG159" s="76">
        <f>AF159-AE159</f>
        <v/>
      </c>
      <c r="AH159" s="75">
        <f>SUMIFS([1]инфо!$E$15:$E$28,[1]инфо!$A$15:$A$28,F159)</f>
        <v/>
      </c>
      <c r="AI159" s="64">
        <f>IF(H159=0,0,S159/H159)</f>
        <v/>
      </c>
      <c r="AJ159" s="76">
        <f>AI159-AH159</f>
        <v/>
      </c>
      <c r="AK159" s="75">
        <f>SUMIFS([1]инфо!$F$15:$F$28,[1]инфо!$A$15:$A$28,F159)</f>
        <v/>
      </c>
      <c r="AL159" s="64">
        <f>IF(H159=0,0,Y159/H159)</f>
        <v/>
      </c>
      <c r="AM159" s="76">
        <f>AL159-AK159</f>
        <v/>
      </c>
      <c r="AN159" s="75">
        <f>SUMIFS([1]инфо!$G$15:$G$28,[1]инфо!$A$15:$A$28,F159)</f>
        <v/>
      </c>
      <c r="AO159" s="64">
        <f>IF(H159=0,0,AA159/H159)</f>
        <v/>
      </c>
      <c r="AP159" s="76">
        <f>AO159-AN159</f>
        <v/>
      </c>
      <c r="AQ159" s="75">
        <f>SUMIFS([1]инфо!$H$15:$H$28,[1]инфо!$A$15:$A$28,F159)</f>
        <v/>
      </c>
      <c r="AR159" s="64">
        <f>IF(H158=0,0,AC159/H158)</f>
        <v/>
      </c>
      <c r="AS159" s="76">
        <f>AR159-AQ159</f>
        <v/>
      </c>
      <c r="AT159" s="75">
        <f>SUMIFS([1]инфо!$I$15:$I$28,[1]инфо!$A$15:$A$28,F159)</f>
        <v/>
      </c>
      <c r="AU159" s="62">
        <f>IF(H159=0,0,AD159/H159)</f>
        <v/>
      </c>
      <c r="AV159" s="76">
        <f>AU159-AT159</f>
        <v/>
      </c>
      <c r="AX159" s="70">
        <f>SUMIFS([1]инфо!$C$15:$C$28,[1]инфо!$A$15:$A$28,F159)*H158</f>
        <v/>
      </c>
    </row>
    <row r="160">
      <c r="A160" s="71">
        <f>A158+1</f>
        <v/>
      </c>
      <c r="B160" s="65" t="n"/>
      <c r="C160" s="52" t="n"/>
      <c r="D160" s="53" t="n"/>
      <c r="E160" s="66" t="n"/>
      <c r="F160" s="67" t="n"/>
      <c r="G160" s="68" t="n"/>
      <c r="H160" s="68" t="n"/>
      <c r="I160" s="57">
        <f>IFERROR(H160*VLOOKUP(F160,[1]инфо!$A$15:$C$28,3,FALSE)/1000,0)</f>
        <v/>
      </c>
      <c r="J160" s="55" t="n"/>
      <c r="K160" s="68" t="n"/>
      <c r="L160" s="68" t="n"/>
      <c r="M160" s="55" t="n"/>
      <c r="N160" s="55" t="n"/>
      <c r="O160" s="58" t="n"/>
      <c r="P160" s="58" t="n"/>
      <c r="Q160" s="58" t="n"/>
      <c r="R160" s="58" t="n"/>
      <c r="S160" s="59">
        <f>SUM(O160:R160)</f>
        <v/>
      </c>
      <c r="T160" s="52" t="n"/>
      <c r="U160" s="53" t="n"/>
      <c r="V160" s="58" t="n"/>
      <c r="W160" s="58" t="n"/>
      <c r="X160" s="58" t="n"/>
      <c r="Y160" s="52" t="n"/>
      <c r="Z160" s="58" t="n"/>
      <c r="AA160" s="58" t="n"/>
      <c r="AB160" s="58" t="n"/>
      <c r="AC160" s="58" t="n"/>
      <c r="AD160" s="53" t="n"/>
      <c r="AE160" s="61">
        <f>SUMIFS([1]инфо!$D$15:$D$28,[1]инфо!$A$15:$A$28,F160)</f>
        <v/>
      </c>
      <c r="AF160" s="62">
        <f>IF(H160=0,0,N160/H160)</f>
        <v/>
      </c>
      <c r="AG160" s="63">
        <f>AF160-AE160</f>
        <v/>
      </c>
      <c r="AH160" s="61">
        <f>SUMIFS([1]инфо!$E$15:$E$28,[1]инфо!$A$15:$A$28,F160)</f>
        <v/>
      </c>
      <c r="AI160" s="64">
        <f>IF(H160=0,0,S160/H160)</f>
        <v/>
      </c>
      <c r="AJ160" s="63">
        <f>AI160-AH160</f>
        <v/>
      </c>
      <c r="AK160" s="61">
        <f>SUMIFS([1]инфо!$F$15:$F$28,[1]инфо!$A$15:$A$28,F160)</f>
        <v/>
      </c>
      <c r="AL160" s="64">
        <f>IF(H160=0,0,Y160/H160)</f>
        <v/>
      </c>
      <c r="AM160" s="63">
        <f>AL160-AK160</f>
        <v/>
      </c>
      <c r="AN160" s="61">
        <f>SUMIFS([1]инфо!$G$15:$G$28,[1]инфо!$A$15:$A$28,F160)</f>
        <v/>
      </c>
      <c r="AO160" s="64">
        <f>IF(H160=0,0,AA160/H160)</f>
        <v/>
      </c>
      <c r="AP160" s="63">
        <f>AO160-AN160</f>
        <v/>
      </c>
      <c r="AQ160" s="61">
        <f>SUMIFS([1]инфо!$H$15:$H$28,[1]инфо!$A$15:$A$28,F160)</f>
        <v/>
      </c>
      <c r="AR160" s="62">
        <f>IF(H159=0,0,AC160/H159)</f>
        <v/>
      </c>
      <c r="AS160" s="63">
        <f>AR160-AQ160</f>
        <v/>
      </c>
      <c r="AT160" s="61">
        <f>SUMIFS([1]инфо!$I$15:$I$28,[1]инфо!$A$15:$A$28,F160)</f>
        <v/>
      </c>
      <c r="AU160" s="62">
        <f>IF(H160=0,0,AD160/H160)</f>
        <v/>
      </c>
      <c r="AV160" s="63">
        <f>AU160-AT160</f>
        <v/>
      </c>
      <c r="AX160" s="59">
        <f>SUMIFS([1]инфо!$C$15:$C$28,[1]инфо!$A$15:$A$28,F160)*H159</f>
        <v/>
      </c>
    </row>
    <row r="161">
      <c r="A161" s="71">
        <f>A159+1</f>
        <v/>
      </c>
      <c r="B161" s="65" t="n"/>
      <c r="C161" s="52" t="n"/>
      <c r="D161" s="53" t="n"/>
      <c r="E161" s="66" t="n"/>
      <c r="F161" s="67" t="n"/>
      <c r="G161" s="68" t="n"/>
      <c r="H161" s="68" t="n"/>
      <c r="I161" s="57">
        <f>IFERROR(H161*VLOOKUP(F161,[1]инфо!$A$15:$C$28,3,FALSE)/1000,0)</f>
        <v/>
      </c>
      <c r="J161" s="55" t="n"/>
      <c r="K161" s="68" t="n"/>
      <c r="L161" s="68" t="n"/>
      <c r="M161" s="55" t="n"/>
      <c r="N161" s="55" t="n"/>
      <c r="O161" s="58" t="n"/>
      <c r="P161" s="58" t="n"/>
      <c r="Q161" s="58" t="n"/>
      <c r="R161" s="58" t="n"/>
      <c r="S161" s="59">
        <f>SUM(O161:R161)</f>
        <v/>
      </c>
      <c r="T161" s="52" t="n"/>
      <c r="U161" s="53" t="n"/>
      <c r="V161" s="58" t="n"/>
      <c r="W161" s="58" t="n"/>
      <c r="X161" s="58" t="n"/>
      <c r="Y161" s="52" t="n"/>
      <c r="Z161" s="58" t="n"/>
      <c r="AA161" s="58" t="n"/>
      <c r="AB161" s="58" t="n"/>
      <c r="AC161" s="58" t="n"/>
      <c r="AD161" s="53" t="n"/>
      <c r="AE161" s="61">
        <f>SUMIFS([1]инфо!$D$15:$D$28,[1]инфо!$A$15:$A$28,F161)</f>
        <v/>
      </c>
      <c r="AF161" s="62">
        <f>IF(H161=0,0,N161/H161)</f>
        <v/>
      </c>
      <c r="AG161" s="63">
        <f>AF161-AE161</f>
        <v/>
      </c>
      <c r="AH161" s="61">
        <f>SUMIFS([1]инфо!$E$15:$E$28,[1]инфо!$A$15:$A$28,F161)</f>
        <v/>
      </c>
      <c r="AI161" s="64">
        <f>IF(H161=0,0,S161/H161)</f>
        <v/>
      </c>
      <c r="AJ161" s="63">
        <f>AI161-AH161</f>
        <v/>
      </c>
      <c r="AK161" s="61">
        <f>SUMIFS([1]инфо!$F$15:$F$28,[1]инфо!$A$15:$A$28,F161)</f>
        <v/>
      </c>
      <c r="AL161" s="64">
        <f>IF(H161=0,0,Y161/H161)</f>
        <v/>
      </c>
      <c r="AM161" s="63">
        <f>AL161-AK161</f>
        <v/>
      </c>
      <c r="AN161" s="61">
        <f>SUMIFS([1]инфо!$G$15:$G$28,[1]инфо!$A$15:$A$28,F161)</f>
        <v/>
      </c>
      <c r="AO161" s="64">
        <f>IF(H161=0,0,AA161/H161)</f>
        <v/>
      </c>
      <c r="AP161" s="63">
        <f>AO161-AN161</f>
        <v/>
      </c>
      <c r="AQ161" s="61">
        <f>SUMIFS([1]инфо!$H$15:$H$28,[1]инфо!$A$15:$A$28,F161)</f>
        <v/>
      </c>
      <c r="AR161" s="62">
        <f>IF(H160=0,0,AC161/H160)</f>
        <v/>
      </c>
      <c r="AS161" s="63">
        <f>AR161-AQ161</f>
        <v/>
      </c>
      <c r="AT161" s="61">
        <f>SUMIFS([1]инфо!$I$15:$I$28,[1]инфо!$A$15:$A$28,F161)</f>
        <v/>
      </c>
      <c r="AU161" s="62">
        <f>IF(H161=0,0,AD161/H161)</f>
        <v/>
      </c>
      <c r="AV161" s="63">
        <f>AU161-AT161</f>
        <v/>
      </c>
      <c r="AX161" s="59">
        <f>SUMIFS([1]инфо!$C$15:$C$28,[1]инфо!$A$15:$A$28,F161)*H160</f>
        <v/>
      </c>
    </row>
    <row r="162">
      <c r="A162" s="71">
        <f>A160+1</f>
        <v/>
      </c>
      <c r="B162" s="65" t="n"/>
      <c r="C162" s="77" t="n"/>
      <c r="D162" s="78" t="n"/>
      <c r="E162" s="66" t="n"/>
      <c r="F162" s="67" t="n"/>
      <c r="G162" s="68" t="n"/>
      <c r="H162" s="68" t="n"/>
      <c r="I162" s="57">
        <f>IFERROR(H162*VLOOKUP(F162,[1]инфо!$A$15:$C$28,3,FALSE)/1000,0)</f>
        <v/>
      </c>
      <c r="J162" s="55" t="n"/>
      <c r="K162" s="68" t="n"/>
      <c r="L162" s="68" t="n"/>
      <c r="M162" s="55" t="n"/>
      <c r="N162" s="56" t="n"/>
      <c r="O162" s="79" t="n"/>
      <c r="P162" s="79" t="n"/>
      <c r="Q162" s="79" t="n"/>
      <c r="R162" s="79" t="n"/>
      <c r="S162" s="80">
        <f>SUM(O162:R162)</f>
        <v/>
      </c>
      <c r="T162" s="77" t="n"/>
      <c r="U162" s="78" t="n"/>
      <c r="V162" s="79" t="n"/>
      <c r="W162" s="79" t="n"/>
      <c r="X162" s="79" t="n"/>
      <c r="Y162" s="77" t="n"/>
      <c r="Z162" s="79" t="n"/>
      <c r="AA162" s="79" t="n"/>
      <c r="AB162" s="79" t="n"/>
      <c r="AC162" s="79" t="n"/>
      <c r="AD162" s="78" t="n"/>
      <c r="AE162" s="81">
        <f>SUMIFS([1]инфо!$D$15:$D$28,[1]инфо!$A$15:$A$28,F162)</f>
        <v/>
      </c>
      <c r="AF162" s="62">
        <f>IF(H162=0,0,N162/H162)</f>
        <v/>
      </c>
      <c r="AG162" s="82">
        <f>AF162-AE162</f>
        <v/>
      </c>
      <c r="AH162" s="81">
        <f>SUMIFS([1]инфо!$E$15:$E$28,[1]инфо!$A$15:$A$28,F162)</f>
        <v/>
      </c>
      <c r="AI162" s="64">
        <f>IF(H162=0,0,S162/H162)</f>
        <v/>
      </c>
      <c r="AJ162" s="82">
        <f>AI162-AH162</f>
        <v/>
      </c>
      <c r="AK162" s="81">
        <f>SUMIFS([1]инфо!$F$15:$F$28,[1]инфо!$A$15:$A$28,F162)</f>
        <v/>
      </c>
      <c r="AL162" s="64">
        <f>IF(H162=0,0,Y162/H162)</f>
        <v/>
      </c>
      <c r="AM162" s="82">
        <f>AL162-AK162</f>
        <v/>
      </c>
      <c r="AN162" s="81">
        <f>SUMIFS([1]инфо!$G$15:$G$28,[1]инфо!$A$15:$A$28,F162)</f>
        <v/>
      </c>
      <c r="AO162" s="64">
        <f>IF(H162=0,0,AA162/H162)</f>
        <v/>
      </c>
      <c r="AP162" s="82">
        <f>AO162-AN162</f>
        <v/>
      </c>
      <c r="AQ162" s="81">
        <f>SUMIFS([1]инфо!$H$15:$H$28,[1]инфо!$A$15:$A$28,F162)</f>
        <v/>
      </c>
      <c r="AR162" s="85">
        <f>IF(H161=0,0,AC162/H161)</f>
        <v/>
      </c>
      <c r="AS162" s="82">
        <f>AR162-AQ162</f>
        <v/>
      </c>
      <c r="AT162" s="81">
        <f>SUMIFS([1]инфо!$I$15:$I$28,[1]инфо!$A$15:$A$28,F162)</f>
        <v/>
      </c>
      <c r="AU162" s="62">
        <f>IF(H162=0,0,AD162/H162)</f>
        <v/>
      </c>
      <c r="AV162" s="82">
        <f>AU162-AT162</f>
        <v/>
      </c>
      <c r="AX162" s="80">
        <f>SUMIFS([1]инфо!$C$15:$C$28,[1]инфо!$A$15:$A$28,F162)*H161</f>
        <v/>
      </c>
    </row>
    <row r="163">
      <c r="A163" s="71">
        <f>A161+1</f>
        <v/>
      </c>
      <c r="B163" s="65" t="n"/>
      <c r="C163" s="72" t="n"/>
      <c r="D163" s="73" t="n"/>
      <c r="E163" s="66" t="n"/>
      <c r="F163" s="67" t="n"/>
      <c r="G163" s="68" t="n"/>
      <c r="H163" s="68" t="n"/>
      <c r="I163" s="57">
        <f>IFERROR(H163*VLOOKUP(F163,[1]инфо!$A$15:$C$28,3,FALSE)/1000,0)</f>
        <v/>
      </c>
      <c r="J163" s="55" t="n"/>
      <c r="K163" s="68" t="n"/>
      <c r="L163" s="68" t="n"/>
      <c r="M163" s="55" t="n"/>
      <c r="N163" s="67" t="n"/>
      <c r="O163" s="74" t="n"/>
      <c r="P163" s="74" t="n"/>
      <c r="Q163" s="74" t="n"/>
      <c r="R163" s="74" t="n"/>
      <c r="S163" s="70">
        <f>SUM(O163:R163)</f>
        <v/>
      </c>
      <c r="T163" s="72" t="n"/>
      <c r="U163" s="73" t="n"/>
      <c r="V163" s="74" t="n"/>
      <c r="W163" s="74" t="n"/>
      <c r="X163" s="74" t="n"/>
      <c r="Y163" s="72" t="n"/>
      <c r="Z163" s="74" t="n"/>
      <c r="AA163" s="74" t="n"/>
      <c r="AB163" s="74" t="n"/>
      <c r="AC163" s="74" t="n"/>
      <c r="AD163" s="73" t="n"/>
      <c r="AE163" s="75">
        <f>SUMIFS([1]инфо!$D$15:$D$28,[1]инфо!$A$15:$A$28,F163)</f>
        <v/>
      </c>
      <c r="AF163" s="62">
        <f>IF(H163=0,0,N163/H163)</f>
        <v/>
      </c>
      <c r="AG163" s="76">
        <f>AF163-AE163</f>
        <v/>
      </c>
      <c r="AH163" s="75">
        <f>SUMIFS([1]инфо!$E$15:$E$28,[1]инфо!$A$15:$A$28,F163)</f>
        <v/>
      </c>
      <c r="AI163" s="64">
        <f>IF(H163=0,0,S163/H163)</f>
        <v/>
      </c>
      <c r="AJ163" s="76">
        <f>AI163-AH163</f>
        <v/>
      </c>
      <c r="AK163" s="75">
        <f>SUMIFS([1]инфо!$F$15:$F$28,[1]инфо!$A$15:$A$28,F163)</f>
        <v/>
      </c>
      <c r="AL163" s="64">
        <f>IF(H163=0,0,Y163/H163)</f>
        <v/>
      </c>
      <c r="AM163" s="76">
        <f>AL163-AK163</f>
        <v/>
      </c>
      <c r="AN163" s="75">
        <f>SUMIFS([1]инфо!$G$15:$G$28,[1]инфо!$A$15:$A$28,F163)</f>
        <v/>
      </c>
      <c r="AO163" s="64">
        <f>IF(H163=0,0,AA163/H163)</f>
        <v/>
      </c>
      <c r="AP163" s="76">
        <f>AO163-AN163</f>
        <v/>
      </c>
      <c r="AQ163" s="75">
        <f>SUMIFS([1]инфо!$H$15:$H$28,[1]инфо!$A$15:$A$28,F163)</f>
        <v/>
      </c>
      <c r="AR163" s="64">
        <f>IF(H162=0,0,AC163/H162)</f>
        <v/>
      </c>
      <c r="AS163" s="76">
        <f>AR163-AQ163</f>
        <v/>
      </c>
      <c r="AT163" s="75">
        <f>SUMIFS([1]инфо!$I$15:$I$28,[1]инфо!$A$15:$A$28,F163)</f>
        <v/>
      </c>
      <c r="AU163" s="62">
        <f>IF(H163=0,0,AD163/H163)</f>
        <v/>
      </c>
      <c r="AV163" s="76">
        <f>AU163-AT163</f>
        <v/>
      </c>
      <c r="AX163" s="70">
        <f>SUMIFS([1]инфо!$C$15:$C$28,[1]инфо!$A$15:$A$28,F163)*H162</f>
        <v/>
      </c>
    </row>
    <row r="164">
      <c r="A164" s="71">
        <f>A162+1</f>
        <v/>
      </c>
      <c r="B164" s="65" t="n"/>
      <c r="C164" s="52" t="n"/>
      <c r="D164" s="53" t="n"/>
      <c r="E164" s="66" t="n"/>
      <c r="F164" s="67" t="n"/>
      <c r="G164" s="68" t="n"/>
      <c r="H164" s="68" t="n"/>
      <c r="I164" s="57">
        <f>IFERROR(H164*VLOOKUP(F164,[1]инфо!$A$15:$C$28,3,FALSE)/1000,0)</f>
        <v/>
      </c>
      <c r="J164" s="55" t="n"/>
      <c r="K164" s="68" t="n"/>
      <c r="L164" s="68" t="n"/>
      <c r="M164" s="55" t="n"/>
      <c r="N164" s="55" t="n"/>
      <c r="O164" s="58" t="n"/>
      <c r="P164" s="58" t="n"/>
      <c r="Q164" s="58" t="n"/>
      <c r="R164" s="58" t="n"/>
      <c r="S164" s="59">
        <f>SUM(O164:R164)</f>
        <v/>
      </c>
      <c r="T164" s="52" t="n"/>
      <c r="U164" s="53" t="n"/>
      <c r="V164" s="58" t="n"/>
      <c r="W164" s="58" t="n"/>
      <c r="X164" s="58" t="n"/>
      <c r="Y164" s="52" t="n"/>
      <c r="Z164" s="58" t="n"/>
      <c r="AA164" s="58" t="n"/>
      <c r="AB164" s="58" t="n"/>
      <c r="AC164" s="58" t="n"/>
      <c r="AD164" s="53" t="n"/>
      <c r="AE164" s="61">
        <f>SUMIFS([1]инфо!$D$15:$D$28,[1]инфо!$A$15:$A$28,F164)</f>
        <v/>
      </c>
      <c r="AF164" s="62">
        <f>IF(H164=0,0,N164/H164)</f>
        <v/>
      </c>
      <c r="AG164" s="63">
        <f>AF164-AE164</f>
        <v/>
      </c>
      <c r="AH164" s="61">
        <f>SUMIFS([1]инфо!$E$15:$E$28,[1]инфо!$A$15:$A$28,F164)</f>
        <v/>
      </c>
      <c r="AI164" s="64">
        <f>IF(H164=0,0,S164/H164)</f>
        <v/>
      </c>
      <c r="AJ164" s="63">
        <f>AI164-AH164</f>
        <v/>
      </c>
      <c r="AK164" s="61">
        <f>SUMIFS([1]инфо!$F$15:$F$28,[1]инфо!$A$15:$A$28,F164)</f>
        <v/>
      </c>
      <c r="AL164" s="64">
        <f>IF(H164=0,0,Y164/H164)</f>
        <v/>
      </c>
      <c r="AM164" s="63">
        <f>AL164-AK164</f>
        <v/>
      </c>
      <c r="AN164" s="61">
        <f>SUMIFS([1]инфо!$G$15:$G$28,[1]инфо!$A$15:$A$28,F164)</f>
        <v/>
      </c>
      <c r="AO164" s="64">
        <f>IF(H164=0,0,AA164/H164)</f>
        <v/>
      </c>
      <c r="AP164" s="63">
        <f>AO164-AN164</f>
        <v/>
      </c>
      <c r="AQ164" s="61">
        <f>SUMIFS([1]инфо!$H$15:$H$28,[1]инфо!$A$15:$A$28,F164)</f>
        <v/>
      </c>
      <c r="AR164" s="62">
        <f>IF(H163=0,0,AC164/H163)</f>
        <v/>
      </c>
      <c r="AS164" s="63">
        <f>AR164-AQ164</f>
        <v/>
      </c>
      <c r="AT164" s="61">
        <f>SUMIFS([1]инфо!$I$15:$I$28,[1]инфо!$A$15:$A$28,F164)</f>
        <v/>
      </c>
      <c r="AU164" s="62">
        <f>IF(H164=0,0,AD164/H164)</f>
        <v/>
      </c>
      <c r="AV164" s="63">
        <f>AU164-AT164</f>
        <v/>
      </c>
      <c r="AX164" s="59">
        <f>SUMIFS([1]инфо!$C$15:$C$28,[1]инфо!$A$15:$A$28,F164)*H163</f>
        <v/>
      </c>
    </row>
    <row r="165">
      <c r="A165" s="71">
        <f>A163+1</f>
        <v/>
      </c>
      <c r="B165" s="65" t="n"/>
      <c r="C165" s="52" t="n"/>
      <c r="D165" s="53" t="n"/>
      <c r="E165" s="66" t="n"/>
      <c r="F165" s="67" t="n"/>
      <c r="G165" s="68" t="n"/>
      <c r="H165" s="68" t="n"/>
      <c r="I165" s="57">
        <f>IFERROR(H165*VLOOKUP(F165,[1]инфо!$A$15:$C$28,3,FALSE)/1000,0)</f>
        <v/>
      </c>
      <c r="J165" s="55" t="n"/>
      <c r="K165" s="68" t="n"/>
      <c r="L165" s="68" t="n"/>
      <c r="M165" s="55" t="n"/>
      <c r="N165" s="55" t="n"/>
      <c r="O165" s="58" t="n"/>
      <c r="P165" s="58" t="n"/>
      <c r="Q165" s="58" t="n"/>
      <c r="R165" s="58" t="n"/>
      <c r="S165" s="59">
        <f>SUM(O165:R165)</f>
        <v/>
      </c>
      <c r="T165" s="52" t="n"/>
      <c r="U165" s="53" t="n"/>
      <c r="V165" s="58" t="n"/>
      <c r="W165" s="58" t="n"/>
      <c r="X165" s="58" t="n"/>
      <c r="Y165" s="52" t="n"/>
      <c r="Z165" s="58" t="n"/>
      <c r="AA165" s="58" t="n"/>
      <c r="AB165" s="58" t="n"/>
      <c r="AC165" s="58" t="n"/>
      <c r="AD165" s="53" t="n"/>
      <c r="AE165" s="61">
        <f>SUMIFS([1]инфо!$D$15:$D$28,[1]инфо!$A$15:$A$28,F165)</f>
        <v/>
      </c>
      <c r="AF165" s="62">
        <f>IF(H165=0,0,N165/H165)</f>
        <v/>
      </c>
      <c r="AG165" s="63">
        <f>AF165-AE165</f>
        <v/>
      </c>
      <c r="AH165" s="61">
        <f>SUMIFS([1]инфо!$E$15:$E$28,[1]инфо!$A$15:$A$28,F165)</f>
        <v/>
      </c>
      <c r="AI165" s="64">
        <f>IF(H165=0,0,S165/H165)</f>
        <v/>
      </c>
      <c r="AJ165" s="63">
        <f>AI165-AH165</f>
        <v/>
      </c>
      <c r="AK165" s="61">
        <f>SUMIFS([1]инфо!$F$15:$F$28,[1]инфо!$A$15:$A$28,F165)</f>
        <v/>
      </c>
      <c r="AL165" s="64">
        <f>IF(H165=0,0,Y165/H165)</f>
        <v/>
      </c>
      <c r="AM165" s="63">
        <f>AL165-AK165</f>
        <v/>
      </c>
      <c r="AN165" s="61">
        <f>SUMIFS([1]инфо!$G$15:$G$28,[1]инфо!$A$15:$A$28,F165)</f>
        <v/>
      </c>
      <c r="AO165" s="64">
        <f>IF(H165=0,0,AA165/H165)</f>
        <v/>
      </c>
      <c r="AP165" s="63">
        <f>AO165-AN165</f>
        <v/>
      </c>
      <c r="AQ165" s="61">
        <f>SUMIFS([1]инфо!$H$15:$H$28,[1]инфо!$A$15:$A$28,F165)</f>
        <v/>
      </c>
      <c r="AR165" s="62">
        <f>IF(H164=0,0,AC165/H164)</f>
        <v/>
      </c>
      <c r="AS165" s="63">
        <f>AR165-AQ165</f>
        <v/>
      </c>
      <c r="AT165" s="61">
        <f>SUMIFS([1]инфо!$I$15:$I$28,[1]инфо!$A$15:$A$28,F165)</f>
        <v/>
      </c>
      <c r="AU165" s="62">
        <f>IF(H165=0,0,AD165/H165)</f>
        <v/>
      </c>
      <c r="AV165" s="63">
        <f>AU165-AT165</f>
        <v/>
      </c>
      <c r="AX165" s="59">
        <f>SUMIFS([1]инфо!$C$15:$C$28,[1]инфо!$A$15:$A$28,F165)*H164</f>
        <v/>
      </c>
    </row>
    <row r="166">
      <c r="A166" s="71">
        <f>A164+1</f>
        <v/>
      </c>
      <c r="B166" s="65" t="n"/>
      <c r="C166" s="77" t="n"/>
      <c r="D166" s="78" t="n"/>
      <c r="E166" s="66" t="n"/>
      <c r="F166" s="67" t="n"/>
      <c r="G166" s="68" t="n"/>
      <c r="H166" s="68" t="n"/>
      <c r="I166" s="57">
        <f>IFERROR(H166*VLOOKUP(F166,[1]инфо!$A$15:$C$28,3,FALSE)/1000,0)</f>
        <v/>
      </c>
      <c r="J166" s="55" t="n"/>
      <c r="K166" s="68" t="n"/>
      <c r="L166" s="68" t="n"/>
      <c r="M166" s="55" t="n"/>
      <c r="N166" s="56" t="n"/>
      <c r="O166" s="79" t="n"/>
      <c r="P166" s="79" t="n"/>
      <c r="Q166" s="79" t="n"/>
      <c r="R166" s="79" t="n"/>
      <c r="S166" s="80">
        <f>SUM(O166:R166)</f>
        <v/>
      </c>
      <c r="T166" s="77" t="n"/>
      <c r="U166" s="78" t="n"/>
      <c r="V166" s="79" t="n"/>
      <c r="W166" s="79" t="n"/>
      <c r="X166" s="79" t="n"/>
      <c r="Y166" s="77" t="n"/>
      <c r="Z166" s="79" t="n"/>
      <c r="AA166" s="79" t="n"/>
      <c r="AB166" s="79" t="n"/>
      <c r="AC166" s="79" t="n"/>
      <c r="AD166" s="78" t="n"/>
      <c r="AE166" s="81">
        <f>SUMIFS([1]инфо!$D$15:$D$28,[1]инфо!$A$15:$A$28,F166)</f>
        <v/>
      </c>
      <c r="AF166" s="62">
        <f>IF(H166=0,0,N166/H166)</f>
        <v/>
      </c>
      <c r="AG166" s="82">
        <f>AF166-AE166</f>
        <v/>
      </c>
      <c r="AH166" s="81">
        <f>SUMIFS([1]инфо!$E$15:$E$28,[1]инфо!$A$15:$A$28,F166)</f>
        <v/>
      </c>
      <c r="AI166" s="64">
        <f>IF(H166=0,0,S166/H166)</f>
        <v/>
      </c>
      <c r="AJ166" s="82">
        <f>AI166-AH166</f>
        <v/>
      </c>
      <c r="AK166" s="81">
        <f>SUMIFS([1]инфо!$F$15:$F$28,[1]инфо!$A$15:$A$28,F166)</f>
        <v/>
      </c>
      <c r="AL166" s="64">
        <f>IF(H166=0,0,Y166/H166)</f>
        <v/>
      </c>
      <c r="AM166" s="82">
        <f>AL166-AK166</f>
        <v/>
      </c>
      <c r="AN166" s="81">
        <f>SUMIFS([1]инфо!$G$15:$G$28,[1]инфо!$A$15:$A$28,F166)</f>
        <v/>
      </c>
      <c r="AO166" s="64">
        <f>IF(H166=0,0,AA166/H166)</f>
        <v/>
      </c>
      <c r="AP166" s="82">
        <f>AO166-AN166</f>
        <v/>
      </c>
      <c r="AQ166" s="81">
        <f>SUMIFS([1]инфо!$H$15:$H$28,[1]инфо!$A$15:$A$28,F166)</f>
        <v/>
      </c>
      <c r="AR166" s="85">
        <f>IF(H165=0,0,AC166/H165)</f>
        <v/>
      </c>
      <c r="AS166" s="82">
        <f>AR166-AQ166</f>
        <v/>
      </c>
      <c r="AT166" s="81">
        <f>SUMIFS([1]инфо!$I$15:$I$28,[1]инфо!$A$15:$A$28,F166)</f>
        <v/>
      </c>
      <c r="AU166" s="62">
        <f>IF(H166=0,0,AD166/H166)</f>
        <v/>
      </c>
      <c r="AV166" s="82">
        <f>AU166-AT166</f>
        <v/>
      </c>
      <c r="AX166" s="80">
        <f>SUMIFS([1]инфо!$C$15:$C$28,[1]инфо!$A$15:$A$28,F166)*H165</f>
        <v/>
      </c>
    </row>
    <row r="167">
      <c r="A167" s="71">
        <f>A165+1</f>
        <v/>
      </c>
      <c r="B167" s="65" t="n"/>
      <c r="C167" s="72" t="n"/>
      <c r="D167" s="73" t="n"/>
      <c r="E167" s="66" t="n"/>
      <c r="F167" s="67" t="n"/>
      <c r="G167" s="68" t="n"/>
      <c r="H167" s="68" t="n"/>
      <c r="I167" s="57">
        <f>IFERROR(H167*VLOOKUP(F167,[1]инфо!$A$15:$C$28,3,FALSE)/1000,0)</f>
        <v/>
      </c>
      <c r="J167" s="55" t="n"/>
      <c r="K167" s="68" t="n"/>
      <c r="L167" s="68" t="n"/>
      <c r="M167" s="55" t="n"/>
      <c r="N167" s="67" t="n"/>
      <c r="O167" s="74" t="n"/>
      <c r="P167" s="74" t="n"/>
      <c r="Q167" s="74" t="n"/>
      <c r="R167" s="74" t="n"/>
      <c r="S167" s="70">
        <f>SUM(O167:R167)</f>
        <v/>
      </c>
      <c r="T167" s="72" t="n"/>
      <c r="U167" s="73" t="n"/>
      <c r="V167" s="74" t="n"/>
      <c r="W167" s="74" t="n"/>
      <c r="X167" s="74" t="n"/>
      <c r="Y167" s="72" t="n"/>
      <c r="Z167" s="74" t="n"/>
      <c r="AA167" s="74" t="n"/>
      <c r="AB167" s="74" t="n"/>
      <c r="AC167" s="74" t="n"/>
      <c r="AD167" s="73" t="n"/>
      <c r="AE167" s="75">
        <f>SUMIFS([1]инфо!$D$15:$D$28,[1]инфо!$A$15:$A$28,F167)</f>
        <v/>
      </c>
      <c r="AF167" s="62">
        <f>IF(H167=0,0,N167/H167)</f>
        <v/>
      </c>
      <c r="AG167" s="76">
        <f>AF167-AE167</f>
        <v/>
      </c>
      <c r="AH167" s="75">
        <f>SUMIFS([1]инфо!$E$15:$E$28,[1]инфо!$A$15:$A$28,F167)</f>
        <v/>
      </c>
      <c r="AI167" s="64">
        <f>IF(H167=0,0,S167/H167)</f>
        <v/>
      </c>
      <c r="AJ167" s="76">
        <f>AI167-AH167</f>
        <v/>
      </c>
      <c r="AK167" s="75">
        <f>SUMIFS([1]инфо!$F$15:$F$28,[1]инфо!$A$15:$A$28,F167)</f>
        <v/>
      </c>
      <c r="AL167" s="64">
        <f>IF(H167=0,0,Y167/H167)</f>
        <v/>
      </c>
      <c r="AM167" s="76">
        <f>AL167-AK167</f>
        <v/>
      </c>
      <c r="AN167" s="75">
        <f>SUMIFS([1]инфо!$G$15:$G$28,[1]инфо!$A$15:$A$28,F167)</f>
        <v/>
      </c>
      <c r="AO167" s="64">
        <f>IF(H167=0,0,AA167/H167)</f>
        <v/>
      </c>
      <c r="AP167" s="76">
        <f>AO167-AN167</f>
        <v/>
      </c>
      <c r="AQ167" s="75">
        <f>SUMIFS([1]инфо!$H$15:$H$28,[1]инфо!$A$15:$A$28,F167)</f>
        <v/>
      </c>
      <c r="AR167" s="64">
        <f>IF(H166=0,0,AC167/H166)</f>
        <v/>
      </c>
      <c r="AS167" s="76">
        <f>AR167-AQ167</f>
        <v/>
      </c>
      <c r="AT167" s="75">
        <f>SUMIFS([1]инфо!$I$15:$I$28,[1]инфо!$A$15:$A$28,F167)</f>
        <v/>
      </c>
      <c r="AU167" s="62">
        <f>IF(H167=0,0,AD167/H167)</f>
        <v/>
      </c>
      <c r="AV167" s="76">
        <f>AU167-AT167</f>
        <v/>
      </c>
      <c r="AX167" s="70">
        <f>SUMIFS([1]инфо!$C$15:$C$28,[1]инфо!$A$15:$A$28,F167)*H166</f>
        <v/>
      </c>
    </row>
    <row r="168">
      <c r="A168" s="71">
        <f>A166+1</f>
        <v/>
      </c>
      <c r="B168" s="65" t="n"/>
      <c r="C168" s="52" t="n"/>
      <c r="D168" s="53" t="n"/>
      <c r="E168" s="66" t="n"/>
      <c r="F168" s="67" t="n"/>
      <c r="G168" s="68" t="n"/>
      <c r="H168" s="68" t="n"/>
      <c r="I168" s="57">
        <f>IFERROR(H168*VLOOKUP(F168,[1]инфо!$A$15:$C$28,3,FALSE)/1000,0)</f>
        <v/>
      </c>
      <c r="J168" s="55" t="n"/>
      <c r="K168" s="68" t="n"/>
      <c r="L168" s="68" t="n"/>
      <c r="M168" s="55" t="n"/>
      <c r="N168" s="55" t="n"/>
      <c r="O168" s="58" t="n"/>
      <c r="P168" s="58" t="n"/>
      <c r="Q168" s="58" t="n"/>
      <c r="R168" s="58" t="n"/>
      <c r="S168" s="59">
        <f>SUM(O168:R168)</f>
        <v/>
      </c>
      <c r="T168" s="52" t="n"/>
      <c r="U168" s="53" t="n"/>
      <c r="V168" s="58" t="n"/>
      <c r="W168" s="58" t="n"/>
      <c r="X168" s="58" t="n"/>
      <c r="Y168" s="52" t="n"/>
      <c r="Z168" s="58" t="n"/>
      <c r="AA168" s="58" t="n"/>
      <c r="AB168" s="58" t="n"/>
      <c r="AC168" s="58" t="n"/>
      <c r="AD168" s="53" t="n"/>
      <c r="AE168" s="61">
        <f>SUMIFS([1]инфо!$D$15:$D$28,[1]инфо!$A$15:$A$28,F168)</f>
        <v/>
      </c>
      <c r="AF168" s="62">
        <f>IF(H168=0,0,N168/H168)</f>
        <v/>
      </c>
      <c r="AG168" s="63">
        <f>AF168-AE168</f>
        <v/>
      </c>
      <c r="AH168" s="61">
        <f>SUMIFS([1]инфо!$E$15:$E$28,[1]инфо!$A$15:$A$28,F168)</f>
        <v/>
      </c>
      <c r="AI168" s="64">
        <f>IF(H168=0,0,S168/H168)</f>
        <v/>
      </c>
      <c r="AJ168" s="63">
        <f>AI168-AH168</f>
        <v/>
      </c>
      <c r="AK168" s="61">
        <f>SUMIFS([1]инфо!$F$15:$F$28,[1]инфо!$A$15:$A$28,F168)</f>
        <v/>
      </c>
      <c r="AL168" s="64">
        <f>IF(H168=0,0,Y168/H168)</f>
        <v/>
      </c>
      <c r="AM168" s="63">
        <f>AL168-AK168</f>
        <v/>
      </c>
      <c r="AN168" s="61">
        <f>SUMIFS([1]инфо!$G$15:$G$28,[1]инфо!$A$15:$A$28,F168)</f>
        <v/>
      </c>
      <c r="AO168" s="64">
        <f>IF(H168=0,0,AA168/H168)</f>
        <v/>
      </c>
      <c r="AP168" s="63">
        <f>AO168-AN168</f>
        <v/>
      </c>
      <c r="AQ168" s="61">
        <f>SUMIFS([1]инфо!$H$15:$H$28,[1]инфо!$A$15:$A$28,F168)</f>
        <v/>
      </c>
      <c r="AR168" s="62">
        <f>IF(H167=0,0,AC168/H167)</f>
        <v/>
      </c>
      <c r="AS168" s="63">
        <f>AR168-AQ168</f>
        <v/>
      </c>
      <c r="AT168" s="61">
        <f>SUMIFS([1]инфо!$I$15:$I$28,[1]инфо!$A$15:$A$28,F168)</f>
        <v/>
      </c>
      <c r="AU168" s="62">
        <f>IF(H168=0,0,AD168/H168)</f>
        <v/>
      </c>
      <c r="AV168" s="63">
        <f>AU168-AT168</f>
        <v/>
      </c>
      <c r="AX168" s="59">
        <f>SUMIFS([1]инфо!$C$15:$C$28,[1]инфо!$A$15:$A$28,F168)*H167</f>
        <v/>
      </c>
    </row>
    <row r="169">
      <c r="A169" s="71">
        <f>A167+1</f>
        <v/>
      </c>
      <c r="B169" s="65" t="n"/>
      <c r="C169" s="52" t="n"/>
      <c r="D169" s="53" t="n"/>
      <c r="E169" s="66" t="n"/>
      <c r="F169" s="67" t="n"/>
      <c r="G169" s="68" t="n"/>
      <c r="H169" s="68" t="n"/>
      <c r="I169" s="57">
        <f>IFERROR(H169*VLOOKUP(F169,[1]инфо!$A$15:$C$28,3,FALSE)/1000,0)</f>
        <v/>
      </c>
      <c r="J169" s="55" t="n"/>
      <c r="K169" s="68" t="n"/>
      <c r="L169" s="68" t="n"/>
      <c r="M169" s="55" t="n"/>
      <c r="N169" s="55" t="n"/>
      <c r="O169" s="58" t="n"/>
      <c r="P169" s="58" t="n"/>
      <c r="Q169" s="58" t="n"/>
      <c r="R169" s="58" t="n"/>
      <c r="S169" s="59">
        <f>SUM(O169:R169)</f>
        <v/>
      </c>
      <c r="T169" s="52" t="n"/>
      <c r="U169" s="53" t="n"/>
      <c r="V169" s="58" t="n"/>
      <c r="W169" s="58" t="n"/>
      <c r="X169" s="58" t="n"/>
      <c r="Y169" s="52" t="n"/>
      <c r="Z169" s="58" t="n"/>
      <c r="AA169" s="58" t="n"/>
      <c r="AB169" s="58" t="n"/>
      <c r="AC169" s="58" t="n"/>
      <c r="AD169" s="53" t="n"/>
      <c r="AE169" s="61">
        <f>SUMIFS([1]инфо!$D$15:$D$28,[1]инфо!$A$15:$A$28,F169)</f>
        <v/>
      </c>
      <c r="AF169" s="62">
        <f>IF(H169=0,0,N169/H169)</f>
        <v/>
      </c>
      <c r="AG169" s="63">
        <f>AF169-AE169</f>
        <v/>
      </c>
      <c r="AH169" s="61">
        <f>SUMIFS([1]инфо!$E$15:$E$28,[1]инфо!$A$15:$A$28,F169)</f>
        <v/>
      </c>
      <c r="AI169" s="64">
        <f>IF(H169=0,0,S169/H169)</f>
        <v/>
      </c>
      <c r="AJ169" s="63">
        <f>AI169-AH169</f>
        <v/>
      </c>
      <c r="AK169" s="61">
        <f>SUMIFS([1]инфо!$F$15:$F$28,[1]инфо!$A$15:$A$28,F169)</f>
        <v/>
      </c>
      <c r="AL169" s="64">
        <f>IF(H169=0,0,Y169/H169)</f>
        <v/>
      </c>
      <c r="AM169" s="63">
        <f>AL169-AK169</f>
        <v/>
      </c>
      <c r="AN169" s="61">
        <f>SUMIFS([1]инфо!$G$15:$G$28,[1]инфо!$A$15:$A$28,F169)</f>
        <v/>
      </c>
      <c r="AO169" s="64">
        <f>IF(H169=0,0,AA169/H169)</f>
        <v/>
      </c>
      <c r="AP169" s="63">
        <f>AO169-AN169</f>
        <v/>
      </c>
      <c r="AQ169" s="61">
        <f>SUMIFS([1]инфо!$H$15:$H$28,[1]инфо!$A$15:$A$28,F169)</f>
        <v/>
      </c>
      <c r="AR169" s="62">
        <f>IF(H168=0,0,AC169/H168)</f>
        <v/>
      </c>
      <c r="AS169" s="63">
        <f>AR169-AQ169</f>
        <v/>
      </c>
      <c r="AT169" s="61">
        <f>SUMIFS([1]инфо!$I$15:$I$28,[1]инфо!$A$15:$A$28,F169)</f>
        <v/>
      </c>
      <c r="AU169" s="62">
        <f>IF(H169=0,0,AD169/H169)</f>
        <v/>
      </c>
      <c r="AV169" s="63">
        <f>AU169-AT169</f>
        <v/>
      </c>
      <c r="AX169" s="59">
        <f>SUMIFS([1]инфо!$C$15:$C$28,[1]инфо!$A$15:$A$28,F169)*H168</f>
        <v/>
      </c>
    </row>
    <row r="170">
      <c r="A170" s="71">
        <f>A168+1</f>
        <v/>
      </c>
      <c r="B170" s="65" t="n"/>
      <c r="C170" s="77" t="n"/>
      <c r="D170" s="78" t="n"/>
      <c r="E170" s="66" t="n"/>
      <c r="F170" s="67" t="n"/>
      <c r="G170" s="68" t="n"/>
      <c r="H170" s="68" t="n"/>
      <c r="I170" s="57">
        <f>IFERROR(H170*VLOOKUP(F170,[1]инфо!$A$15:$C$28,3,FALSE)/1000,0)</f>
        <v/>
      </c>
      <c r="J170" s="55" t="n"/>
      <c r="K170" s="68" t="n"/>
      <c r="L170" s="68" t="n"/>
      <c r="M170" s="55" t="n"/>
      <c r="N170" s="56" t="n"/>
      <c r="O170" s="79" t="n"/>
      <c r="P170" s="79" t="n"/>
      <c r="Q170" s="79" t="n"/>
      <c r="R170" s="79" t="n"/>
      <c r="S170" s="80">
        <f>SUM(O170:R170)</f>
        <v/>
      </c>
      <c r="T170" s="77" t="n"/>
      <c r="U170" s="78" t="n"/>
      <c r="V170" s="79" t="n"/>
      <c r="W170" s="79" t="n"/>
      <c r="X170" s="79" t="n"/>
      <c r="Y170" s="77" t="n"/>
      <c r="Z170" s="79" t="n"/>
      <c r="AA170" s="79" t="n"/>
      <c r="AB170" s="79" t="n"/>
      <c r="AC170" s="79" t="n"/>
      <c r="AD170" s="78" t="n"/>
      <c r="AE170" s="81">
        <f>SUMIFS([1]инфо!$D$15:$D$28,[1]инфо!$A$15:$A$28,F170)</f>
        <v/>
      </c>
      <c r="AF170" s="62">
        <f>IF(H170=0,0,N170/H170)</f>
        <v/>
      </c>
      <c r="AG170" s="82">
        <f>AF170-AE170</f>
        <v/>
      </c>
      <c r="AH170" s="81">
        <f>SUMIFS([1]инфо!$E$15:$E$28,[1]инфо!$A$15:$A$28,F170)</f>
        <v/>
      </c>
      <c r="AI170" s="64">
        <f>IF(H170=0,0,S170/H170)</f>
        <v/>
      </c>
      <c r="AJ170" s="82">
        <f>AI170-AH170</f>
        <v/>
      </c>
      <c r="AK170" s="81">
        <f>SUMIFS([1]инфо!$F$15:$F$28,[1]инфо!$A$15:$A$28,F170)</f>
        <v/>
      </c>
      <c r="AL170" s="64">
        <f>IF(H170=0,0,Y170/H170)</f>
        <v/>
      </c>
      <c r="AM170" s="82">
        <f>AL170-AK170</f>
        <v/>
      </c>
      <c r="AN170" s="81">
        <f>SUMIFS([1]инфо!$G$15:$G$28,[1]инфо!$A$15:$A$28,F170)</f>
        <v/>
      </c>
      <c r="AO170" s="64">
        <f>IF(H170=0,0,AA170/H170)</f>
        <v/>
      </c>
      <c r="AP170" s="82">
        <f>AO170-AN170</f>
        <v/>
      </c>
      <c r="AQ170" s="81">
        <f>SUMIFS([1]инфо!$H$15:$H$28,[1]инфо!$A$15:$A$28,F170)</f>
        <v/>
      </c>
      <c r="AR170" s="85">
        <f>IF(H169=0,0,AC170/H169)</f>
        <v/>
      </c>
      <c r="AS170" s="82">
        <f>AR170-AQ170</f>
        <v/>
      </c>
      <c r="AT170" s="81">
        <f>SUMIFS([1]инфо!$I$15:$I$28,[1]инфо!$A$15:$A$28,F170)</f>
        <v/>
      </c>
      <c r="AU170" s="62">
        <f>IF(H170=0,0,AD170/H170)</f>
        <v/>
      </c>
      <c r="AV170" s="82">
        <f>AU170-AT170</f>
        <v/>
      </c>
      <c r="AX170" s="80">
        <f>SUMIFS([1]инфо!$C$15:$C$28,[1]инфо!$A$15:$A$28,F170)*H169</f>
        <v/>
      </c>
    </row>
    <row r="171">
      <c r="A171" s="71">
        <f>A169+1</f>
        <v/>
      </c>
      <c r="B171" s="65" t="n"/>
      <c r="C171" s="72" t="n"/>
      <c r="D171" s="73" t="n"/>
      <c r="E171" s="66" t="n"/>
      <c r="F171" s="67" t="n"/>
      <c r="G171" s="68" t="n"/>
      <c r="H171" s="68" t="n"/>
      <c r="I171" s="57">
        <f>IFERROR(H171*VLOOKUP(F171,[1]инфо!$A$15:$C$28,3,FALSE)/1000,0)</f>
        <v/>
      </c>
      <c r="J171" s="55" t="n"/>
      <c r="K171" s="68" t="n"/>
      <c r="L171" s="68" t="n"/>
      <c r="M171" s="55" t="n"/>
      <c r="N171" s="67" t="n"/>
      <c r="O171" s="74" t="n"/>
      <c r="P171" s="74" t="n"/>
      <c r="Q171" s="74" t="n"/>
      <c r="R171" s="74" t="n"/>
      <c r="S171" s="70">
        <f>SUM(O171:R171)</f>
        <v/>
      </c>
      <c r="T171" s="72" t="n"/>
      <c r="U171" s="73" t="n"/>
      <c r="V171" s="74" t="n"/>
      <c r="W171" s="74" t="n"/>
      <c r="X171" s="74" t="n"/>
      <c r="Y171" s="72" t="n"/>
      <c r="Z171" s="74" t="n"/>
      <c r="AA171" s="74" t="n"/>
      <c r="AB171" s="74" t="n"/>
      <c r="AC171" s="74" t="n"/>
      <c r="AD171" s="73" t="n"/>
      <c r="AE171" s="75">
        <f>SUMIFS([1]инфо!$D$15:$D$28,[1]инфо!$A$15:$A$28,F171)</f>
        <v/>
      </c>
      <c r="AF171" s="62">
        <f>IF(H171=0,0,N171/H171)</f>
        <v/>
      </c>
      <c r="AG171" s="76">
        <f>AF171-AE171</f>
        <v/>
      </c>
      <c r="AH171" s="75">
        <f>SUMIFS([1]инфо!$E$15:$E$28,[1]инфо!$A$15:$A$28,F171)</f>
        <v/>
      </c>
      <c r="AI171" s="64">
        <f>IF(H171=0,0,S171/H171)</f>
        <v/>
      </c>
      <c r="AJ171" s="76">
        <f>AI171-AH171</f>
        <v/>
      </c>
      <c r="AK171" s="75">
        <f>SUMIFS([1]инфо!$F$15:$F$28,[1]инфо!$A$15:$A$28,F171)</f>
        <v/>
      </c>
      <c r="AL171" s="64">
        <f>IF(H171=0,0,Y171/H171)</f>
        <v/>
      </c>
      <c r="AM171" s="76">
        <f>AL171-AK171</f>
        <v/>
      </c>
      <c r="AN171" s="75">
        <f>SUMIFS([1]инфо!$G$15:$G$28,[1]инфо!$A$15:$A$28,F171)</f>
        <v/>
      </c>
      <c r="AO171" s="64">
        <f>IF(H171=0,0,AA171/H171)</f>
        <v/>
      </c>
      <c r="AP171" s="76">
        <f>AO171-AN171</f>
        <v/>
      </c>
      <c r="AQ171" s="75">
        <f>SUMIFS([1]инфо!$H$15:$H$28,[1]инфо!$A$15:$A$28,F171)</f>
        <v/>
      </c>
      <c r="AR171" s="64">
        <f>IF(H170=0,0,AC171/H170)</f>
        <v/>
      </c>
      <c r="AS171" s="76">
        <f>AR171-AQ171</f>
        <v/>
      </c>
      <c r="AT171" s="75">
        <f>SUMIFS([1]инфо!$I$15:$I$28,[1]инфо!$A$15:$A$28,F171)</f>
        <v/>
      </c>
      <c r="AU171" s="62">
        <f>IF(H171=0,0,AD171/H171)</f>
        <v/>
      </c>
      <c r="AV171" s="76">
        <f>AU171-AT171</f>
        <v/>
      </c>
      <c r="AX171" s="70">
        <f>SUMIFS([1]инфо!$C$15:$C$28,[1]инфо!$A$15:$A$28,F171)*H170</f>
        <v/>
      </c>
    </row>
    <row r="172">
      <c r="A172" s="71">
        <f>A170+1</f>
        <v/>
      </c>
      <c r="B172" s="65" t="n"/>
      <c r="C172" s="52" t="n"/>
      <c r="D172" s="53" t="n"/>
      <c r="E172" s="66" t="n"/>
      <c r="F172" s="67" t="n"/>
      <c r="G172" s="68" t="n"/>
      <c r="H172" s="68" t="n"/>
      <c r="I172" s="57">
        <f>IFERROR(H172*VLOOKUP(F172,[1]инфо!$A$15:$C$28,3,FALSE)/1000,0)</f>
        <v/>
      </c>
      <c r="J172" s="55" t="n"/>
      <c r="K172" s="68" t="n"/>
      <c r="L172" s="68" t="n"/>
      <c r="M172" s="55" t="n"/>
      <c r="N172" s="55" t="n"/>
      <c r="O172" s="58" t="n"/>
      <c r="P172" s="58" t="n"/>
      <c r="Q172" s="58" t="n"/>
      <c r="R172" s="58" t="n"/>
      <c r="S172" s="59">
        <f>SUM(O172:R172)</f>
        <v/>
      </c>
      <c r="T172" s="52" t="n"/>
      <c r="U172" s="53" t="n"/>
      <c r="V172" s="58" t="n"/>
      <c r="W172" s="58" t="n"/>
      <c r="X172" s="58" t="n"/>
      <c r="Y172" s="52" t="n"/>
      <c r="Z172" s="58" t="n"/>
      <c r="AA172" s="58" t="n"/>
      <c r="AB172" s="58" t="n"/>
      <c r="AC172" s="58" t="n"/>
      <c r="AD172" s="53" t="n"/>
      <c r="AE172" s="61">
        <f>SUMIFS([1]инфо!$D$15:$D$28,[1]инфо!$A$15:$A$28,F172)</f>
        <v/>
      </c>
      <c r="AF172" s="62">
        <f>IF(H172=0,0,N172/H172)</f>
        <v/>
      </c>
      <c r="AG172" s="63">
        <f>AF172-AE172</f>
        <v/>
      </c>
      <c r="AH172" s="61">
        <f>SUMIFS([1]инфо!$E$15:$E$28,[1]инфо!$A$15:$A$28,F172)</f>
        <v/>
      </c>
      <c r="AI172" s="64">
        <f>IF(H172=0,0,S172/H172)</f>
        <v/>
      </c>
      <c r="AJ172" s="63">
        <f>AI172-AH172</f>
        <v/>
      </c>
      <c r="AK172" s="61">
        <f>SUMIFS([1]инфо!$F$15:$F$28,[1]инфо!$A$15:$A$28,F172)</f>
        <v/>
      </c>
      <c r="AL172" s="64">
        <f>IF(H172=0,0,Y172/H172)</f>
        <v/>
      </c>
      <c r="AM172" s="63">
        <f>AL172-AK172</f>
        <v/>
      </c>
      <c r="AN172" s="61">
        <f>SUMIFS([1]инфо!$G$15:$G$28,[1]инфо!$A$15:$A$28,F172)</f>
        <v/>
      </c>
      <c r="AO172" s="64">
        <f>IF(H172=0,0,AA172/H172)</f>
        <v/>
      </c>
      <c r="AP172" s="63">
        <f>AO172-AN172</f>
        <v/>
      </c>
      <c r="AQ172" s="61">
        <f>SUMIFS([1]инфо!$H$15:$H$28,[1]инфо!$A$15:$A$28,F172)</f>
        <v/>
      </c>
      <c r="AR172" s="62">
        <f>IF(H171=0,0,AC172/H171)</f>
        <v/>
      </c>
      <c r="AS172" s="63">
        <f>AR172-AQ172</f>
        <v/>
      </c>
      <c r="AT172" s="61">
        <f>SUMIFS([1]инфо!$I$15:$I$28,[1]инфо!$A$15:$A$28,F172)</f>
        <v/>
      </c>
      <c r="AU172" s="62">
        <f>IF(H172=0,0,AD172/H172)</f>
        <v/>
      </c>
      <c r="AV172" s="63">
        <f>AU172-AT172</f>
        <v/>
      </c>
      <c r="AX172" s="59">
        <f>SUMIFS([1]инфо!$C$15:$C$28,[1]инфо!$A$15:$A$28,F172)*H171</f>
        <v/>
      </c>
    </row>
    <row r="173">
      <c r="A173" s="71">
        <f>A171+1</f>
        <v/>
      </c>
      <c r="B173" s="86" t="n"/>
      <c r="C173" s="52" t="n"/>
      <c r="D173" s="53" t="n"/>
      <c r="E173" s="66" t="n"/>
      <c r="F173" s="67" t="n"/>
      <c r="G173" s="68" t="n"/>
      <c r="H173" s="68" t="n"/>
      <c r="I173" s="57">
        <f>IFERROR(H173*VLOOKUP(F173,[1]инфо!$A$15:$C$28,3,FALSE)/1000,0)</f>
        <v/>
      </c>
      <c r="J173" s="55" t="n"/>
      <c r="K173" s="68" t="n"/>
      <c r="L173" s="68" t="n"/>
      <c r="M173" s="55" t="n"/>
      <c r="N173" s="55" t="n"/>
      <c r="O173" s="58" t="n"/>
      <c r="P173" s="58" t="n"/>
      <c r="Q173" s="58" t="n"/>
      <c r="R173" s="58" t="n"/>
      <c r="S173" s="59">
        <f>SUM(O173:R173)</f>
        <v/>
      </c>
      <c r="T173" s="52" t="n"/>
      <c r="U173" s="53" t="n"/>
      <c r="V173" s="58" t="n"/>
      <c r="W173" s="58" t="n"/>
      <c r="X173" s="58" t="n"/>
      <c r="Y173" s="52" t="n"/>
      <c r="Z173" s="58" t="n"/>
      <c r="AA173" s="58" t="n"/>
      <c r="AB173" s="58" t="n"/>
      <c r="AC173" s="58" t="n"/>
      <c r="AD173" s="53" t="n"/>
      <c r="AE173" s="61">
        <f>SUMIFS([1]инфо!$D$15:$D$28,[1]инфо!$A$15:$A$28,F173)</f>
        <v/>
      </c>
      <c r="AF173" s="62">
        <f>IF(H173=0,0,N173/H173)</f>
        <v/>
      </c>
      <c r="AG173" s="63">
        <f>AF173-AE173</f>
        <v/>
      </c>
      <c r="AH173" s="61">
        <f>SUMIFS([1]инфо!$E$15:$E$28,[1]инфо!$A$15:$A$28,F173)</f>
        <v/>
      </c>
      <c r="AI173" s="64">
        <f>IF(H173=0,0,S173/H173)</f>
        <v/>
      </c>
      <c r="AJ173" s="63">
        <f>AI173-AH173</f>
        <v/>
      </c>
      <c r="AK173" s="61">
        <f>SUMIFS([1]инфо!$F$15:$F$28,[1]инфо!$A$15:$A$28,F173)</f>
        <v/>
      </c>
      <c r="AL173" s="64">
        <f>IF(H173=0,0,Y173/H173)</f>
        <v/>
      </c>
      <c r="AM173" s="63">
        <f>AL173-AK173</f>
        <v/>
      </c>
      <c r="AN173" s="61">
        <f>SUMIFS([1]инфо!$G$15:$G$28,[1]инфо!$A$15:$A$28,F173)</f>
        <v/>
      </c>
      <c r="AO173" s="64">
        <f>IF(H173=0,0,AA173/H173)</f>
        <v/>
      </c>
      <c r="AP173" s="63">
        <f>AO173-AN173</f>
        <v/>
      </c>
      <c r="AQ173" s="61">
        <f>SUMIFS([1]инфо!$H$15:$H$28,[1]инфо!$A$15:$A$28,F173)</f>
        <v/>
      </c>
      <c r="AR173" s="62">
        <f>IF(H172=0,0,AC173/H172)</f>
        <v/>
      </c>
      <c r="AS173" s="63">
        <f>AR173-AQ173</f>
        <v/>
      </c>
      <c r="AT173" s="61">
        <f>SUMIFS([1]инфо!$I$15:$I$28,[1]инфо!$A$15:$A$28,F173)</f>
        <v/>
      </c>
      <c r="AU173" s="62">
        <f>IF(H173=0,0,AD173/H173)</f>
        <v/>
      </c>
      <c r="AV173" s="63">
        <f>AU173-AT173</f>
        <v/>
      </c>
      <c r="AX173" s="59">
        <f>SUMIFS([1]инфо!$C$15:$C$28,[1]инфо!$A$15:$A$28,F173)*H172</f>
        <v/>
      </c>
    </row>
    <row r="174">
      <c r="A174" s="71">
        <f>A172+1</f>
        <v/>
      </c>
      <c r="B174" s="86" t="n"/>
      <c r="C174" s="77" t="n"/>
      <c r="D174" s="78" t="n"/>
      <c r="E174" s="66" t="n"/>
      <c r="F174" s="67" t="n"/>
      <c r="G174" s="68" t="n"/>
      <c r="H174" s="68" t="n"/>
      <c r="I174" s="57">
        <f>IFERROR(H174*VLOOKUP(F174,[1]инфо!$A$15:$C$28,3,FALSE)/1000,0)</f>
        <v/>
      </c>
      <c r="J174" s="55" t="n"/>
      <c r="K174" s="68" t="n"/>
      <c r="L174" s="68" t="n"/>
      <c r="M174" s="55" t="n"/>
      <c r="N174" s="56" t="n"/>
      <c r="O174" s="79" t="n"/>
      <c r="P174" s="79" t="n"/>
      <c r="Q174" s="79" t="n"/>
      <c r="R174" s="79" t="n"/>
      <c r="S174" s="80">
        <f>SUM(O174:R174)</f>
        <v/>
      </c>
      <c r="T174" s="77" t="n"/>
      <c r="U174" s="78" t="n"/>
      <c r="V174" s="79" t="n"/>
      <c r="W174" s="79" t="n"/>
      <c r="X174" s="79" t="n"/>
      <c r="Y174" s="77" t="n"/>
      <c r="Z174" s="79" t="n"/>
      <c r="AA174" s="79" t="n"/>
      <c r="AB174" s="79" t="n"/>
      <c r="AC174" s="79" t="n"/>
      <c r="AD174" s="78" t="n"/>
      <c r="AE174" s="81">
        <f>SUMIFS([1]инфо!$D$15:$D$28,[1]инфо!$A$15:$A$28,F174)</f>
        <v/>
      </c>
      <c r="AF174" s="62">
        <f>IF(H174=0,0,N174/H174)</f>
        <v/>
      </c>
      <c r="AG174" s="82">
        <f>AF174-AE174</f>
        <v/>
      </c>
      <c r="AH174" s="81">
        <f>SUMIFS([1]инфо!$E$15:$E$28,[1]инфо!$A$15:$A$28,F174)</f>
        <v/>
      </c>
      <c r="AI174" s="64">
        <f>IF(H174=0,0,S174/H174)</f>
        <v/>
      </c>
      <c r="AJ174" s="82">
        <f>AI174-AH174</f>
        <v/>
      </c>
      <c r="AK174" s="81">
        <f>SUMIFS([1]инфо!$F$15:$F$28,[1]инфо!$A$15:$A$28,F174)</f>
        <v/>
      </c>
      <c r="AL174" s="64">
        <f>IF(H174=0,0,Y174/H174)</f>
        <v/>
      </c>
      <c r="AM174" s="82">
        <f>AL174-AK174</f>
        <v/>
      </c>
      <c r="AN174" s="81">
        <f>SUMIFS([1]инфо!$G$15:$G$28,[1]инфо!$A$15:$A$28,F174)</f>
        <v/>
      </c>
      <c r="AO174" s="64">
        <f>IF(H174=0,0,AA174/H174)</f>
        <v/>
      </c>
      <c r="AP174" s="82">
        <f>AO174-AN174</f>
        <v/>
      </c>
      <c r="AQ174" s="81">
        <f>SUMIFS([1]инфо!$H$15:$H$28,[1]инфо!$A$15:$A$28,F174)</f>
        <v/>
      </c>
      <c r="AR174" s="85">
        <f>IF(H173=0,0,AC174/H173)</f>
        <v/>
      </c>
      <c r="AS174" s="82">
        <f>AR174-AQ174</f>
        <v/>
      </c>
      <c r="AT174" s="81">
        <f>SUMIFS([1]инфо!$I$15:$I$28,[1]инфо!$A$15:$A$28,F174)</f>
        <v/>
      </c>
      <c r="AU174" s="62">
        <f>IF(H174=0,0,AD174/H174)</f>
        <v/>
      </c>
      <c r="AV174" s="82">
        <f>AU174-AT174</f>
        <v/>
      </c>
      <c r="AX174" s="80">
        <f>SUMIFS([1]инфо!$C$15:$C$28,[1]инфо!$A$15:$A$28,F174)*H173</f>
        <v/>
      </c>
    </row>
    <row r="175">
      <c r="A175" s="71">
        <f>A173+1</f>
        <v/>
      </c>
      <c r="B175" s="86" t="n"/>
      <c r="C175" s="72" t="n"/>
      <c r="D175" s="73" t="n"/>
      <c r="E175" s="66" t="n"/>
      <c r="F175" s="67" t="n"/>
      <c r="G175" s="68" t="n"/>
      <c r="H175" s="68" t="n"/>
      <c r="I175" s="57">
        <f>IFERROR(H175*VLOOKUP(F175,[1]инфо!$A$15:$C$28,3,FALSE)/1000,0)</f>
        <v/>
      </c>
      <c r="J175" s="55" t="n"/>
      <c r="K175" s="68" t="n"/>
      <c r="L175" s="68" t="n"/>
      <c r="M175" s="55" t="n"/>
      <c r="N175" s="67" t="n"/>
      <c r="O175" s="74" t="n"/>
      <c r="P175" s="74" t="n"/>
      <c r="Q175" s="74" t="n"/>
      <c r="R175" s="74" t="n"/>
      <c r="S175" s="70">
        <f>SUM(O175:R175)</f>
        <v/>
      </c>
      <c r="T175" s="72" t="n"/>
      <c r="U175" s="73" t="n"/>
      <c r="V175" s="74" t="n"/>
      <c r="W175" s="68" t="n"/>
      <c r="X175" s="74" t="n"/>
      <c r="Y175" s="72" t="n"/>
      <c r="Z175" s="74" t="n"/>
      <c r="AA175" s="74" t="n"/>
      <c r="AB175" s="74" t="n"/>
      <c r="AC175" s="74" t="n"/>
      <c r="AD175" s="73" t="n"/>
      <c r="AE175" s="75">
        <f>SUMIFS([1]инфо!$D$15:$D$28,[1]инфо!$A$15:$A$28,F175)</f>
        <v/>
      </c>
      <c r="AF175" s="62">
        <f>IF(H175=0,0,N175/H175)</f>
        <v/>
      </c>
      <c r="AG175" s="76">
        <f>AF175-AE175</f>
        <v/>
      </c>
      <c r="AH175" s="75">
        <f>SUMIFS([1]инфо!$E$15:$E$28,[1]инфо!$A$15:$A$28,F175)</f>
        <v/>
      </c>
      <c r="AI175" s="64">
        <f>IF(H175=0,0,S175/H175)</f>
        <v/>
      </c>
      <c r="AJ175" s="76">
        <f>AI175-AH175</f>
        <v/>
      </c>
      <c r="AK175" s="75">
        <f>SUMIFS([1]инфо!$F$15:$F$28,[1]инфо!$A$15:$A$28,F175)</f>
        <v/>
      </c>
      <c r="AL175" s="64">
        <f>IF(H175=0,0,Y175/H175)</f>
        <v/>
      </c>
      <c r="AM175" s="76">
        <f>AL175-AK175</f>
        <v/>
      </c>
      <c r="AN175" s="75">
        <f>SUMIFS([1]инфо!$G$15:$G$28,[1]инфо!$A$15:$A$28,F175)</f>
        <v/>
      </c>
      <c r="AO175" s="64">
        <f>IF(H175=0,0,AA175/H175)</f>
        <v/>
      </c>
      <c r="AP175" s="76">
        <f>AO175-AN175</f>
        <v/>
      </c>
      <c r="AQ175" s="75">
        <f>SUMIFS([1]инфо!$H$15:$H$28,[1]инфо!$A$15:$A$28,F175)</f>
        <v/>
      </c>
      <c r="AR175" s="64">
        <f>IF(H174=0,0,AC175/H174)</f>
        <v/>
      </c>
      <c r="AS175" s="76">
        <f>AR175-AQ175</f>
        <v/>
      </c>
      <c r="AT175" s="75">
        <f>SUMIFS([1]инфо!$I$15:$I$28,[1]инфо!$A$15:$A$28,F175)</f>
        <v/>
      </c>
      <c r="AU175" s="62">
        <f>IF(H175=0,0,AD175/H175)</f>
        <v/>
      </c>
      <c r="AV175" s="76">
        <f>AU175-AT175</f>
        <v/>
      </c>
      <c r="AX175" s="70">
        <f>SUMIFS([1]инфо!$C$15:$C$28,[1]инфо!$A$15:$A$28,F175)*H174</f>
        <v/>
      </c>
    </row>
    <row r="176">
      <c r="A176" s="71">
        <f>A174+1</f>
        <v/>
      </c>
      <c r="B176" s="86" t="inlineStr">
        <is>
          <t>0097</t>
        </is>
      </c>
      <c r="C176" s="52" t="inlineStr">
        <is>
          <t>Линия 1</t>
        </is>
      </c>
      <c r="D176" s="53" t="inlineStr">
        <is>
          <t>день</t>
        </is>
      </c>
      <c r="E176" s="66" t="inlineStr">
        <is>
          <t>Дауылбай</t>
        </is>
      </c>
      <c r="F176" s="67" t="inlineStr">
        <is>
          <t>плоский 10</t>
        </is>
      </c>
      <c r="G176" s="68" t="n">
        <v>6</v>
      </c>
      <c r="H176" s="68" t="n">
        <v>100</v>
      </c>
      <c r="I176" s="57">
        <f>IFERROR(H176*VLOOKUP(F176,[1]инфо!$A$15:$C$28,3,FALSE)/1000,0)</f>
        <v/>
      </c>
      <c r="J176" s="55" t="n"/>
      <c r="K176" s="68" t="n"/>
      <c r="L176" s="68" t="n"/>
      <c r="M176" s="55" t="n"/>
      <c r="N176" s="55" t="n">
        <v>604</v>
      </c>
      <c r="O176" s="58" t="n">
        <v>1283</v>
      </c>
      <c r="P176" s="58" t="n">
        <v>2509</v>
      </c>
      <c r="Q176" s="58" t="n"/>
      <c r="R176" s="58" t="n"/>
      <c r="S176" s="59">
        <f>SUM(O176:R176)</f>
        <v/>
      </c>
      <c r="T176" s="52" t="n"/>
      <c r="U176" s="53" t="n"/>
      <c r="V176" s="58" t="n"/>
      <c r="W176" s="68" t="n"/>
      <c r="X176" s="58" t="n">
        <v>10170</v>
      </c>
      <c r="Y176" s="52" t="n"/>
      <c r="Z176" s="58" t="n"/>
      <c r="AA176" s="58" t="n"/>
      <c r="AB176" s="58" t="n"/>
      <c r="AC176" s="69" t="n">
        <v>20</v>
      </c>
      <c r="AD176" s="53" t="n">
        <v>170</v>
      </c>
      <c r="AE176" s="61">
        <f>SUMIFS([1]инфо!$D$15:$D$28,[1]инфо!$A$15:$A$28,F176)</f>
        <v/>
      </c>
      <c r="AF176" s="62">
        <f>IF(H176=0,0,N176/H176)</f>
        <v/>
      </c>
      <c r="AG176" s="63">
        <f>AF176-AE176</f>
        <v/>
      </c>
      <c r="AH176" s="61">
        <f>SUMIFS([1]инфо!$E$15:$E$28,[1]инфо!$A$15:$A$28,F176)</f>
        <v/>
      </c>
      <c r="AI176" s="64">
        <f>IF(H176=0,0,S176/H176)</f>
        <v/>
      </c>
      <c r="AJ176" s="63">
        <f>AI176-AH176</f>
        <v/>
      </c>
      <c r="AK176" s="61">
        <f>SUMIFS([1]инфо!$F$15:$F$28,[1]инфо!$A$15:$A$28,F176)</f>
        <v/>
      </c>
      <c r="AL176" s="64">
        <f>IF(H176=0,0,Y176/H176)</f>
        <v/>
      </c>
      <c r="AM176" s="63">
        <f>AL176-AK176</f>
        <v/>
      </c>
      <c r="AN176" s="61">
        <f>SUMIFS([1]инфо!$G$15:$G$28,[1]инфо!$A$15:$A$28,F176)</f>
        <v/>
      </c>
      <c r="AO176" s="64">
        <f>IF(H176=0,0,AA176/H176)</f>
        <v/>
      </c>
      <c r="AP176" s="63">
        <f>AO176-AN176</f>
        <v/>
      </c>
      <c r="AQ176" s="61">
        <f>SUMIFS([1]инфо!$H$15:$H$28,[1]инфо!$A$15:$A$28,F176)</f>
        <v/>
      </c>
      <c r="AR176" s="62">
        <f>IF(H175=0,0,AC176/H175)</f>
        <v/>
      </c>
      <c r="AS176" s="63">
        <f>AR176-AQ176</f>
        <v/>
      </c>
      <c r="AT176" s="61">
        <f>SUMIFS([1]инфо!$I$15:$I$28,[1]инфо!$A$15:$A$28,F176)</f>
        <v/>
      </c>
      <c r="AU176" s="62">
        <f>IF(H176=0,0,AD176/H176)</f>
        <v/>
      </c>
      <c r="AV176" s="63">
        <f>AU176-AT176</f>
        <v/>
      </c>
      <c r="AX176" s="59">
        <f>SUMIFS([1]инфо!$C$15:$C$28,[1]инфо!$A$15:$A$28,F176)*H175</f>
        <v/>
      </c>
    </row>
    <row r="177">
      <c r="A177" s="71">
        <f>A175+1</f>
        <v/>
      </c>
      <c r="B177" s="86" t="inlineStr">
        <is>
          <t>0098</t>
        </is>
      </c>
      <c r="C177" s="52" t="inlineStr">
        <is>
          <t>Линия 1</t>
        </is>
      </c>
      <c r="D177" s="53" t="inlineStr">
        <is>
          <t>ночь</t>
        </is>
      </c>
      <c r="E177" s="66" t="inlineStr">
        <is>
          <t>Султанулы</t>
        </is>
      </c>
      <c r="F177" s="67" t="inlineStr">
        <is>
          <t>плоский 10</t>
        </is>
      </c>
      <c r="G177" s="68" t="n">
        <v>37</v>
      </c>
      <c r="H177" s="68" t="n">
        <v>920</v>
      </c>
      <c r="I177" s="57">
        <f>IFERROR(H177*VLOOKUP(F177,[1]инфо!$A$15:$C$28,3,FALSE)/1000,0)</f>
        <v/>
      </c>
      <c r="J177" s="55" t="n">
        <v>500</v>
      </c>
      <c r="K177" s="68" t="n">
        <v>7</v>
      </c>
      <c r="L177" s="68" t="n">
        <v>6</v>
      </c>
      <c r="M177" s="55" t="n"/>
      <c r="N177" s="55" t="n">
        <v>3716</v>
      </c>
      <c r="O177" s="58" t="n">
        <v>12797</v>
      </c>
      <c r="P177" s="58" t="n">
        <v>10779</v>
      </c>
      <c r="Q177" s="58" t="n"/>
      <c r="R177" s="58" t="n"/>
      <c r="S177" s="59">
        <f>SUM(O177:R177)</f>
        <v/>
      </c>
      <c r="T177" s="52" t="n"/>
      <c r="U177" s="53" t="n"/>
      <c r="V177" s="58" t="n"/>
      <c r="W177" s="68" t="n">
        <v>1110</v>
      </c>
      <c r="X177" s="58" t="n"/>
      <c r="Y177" s="52" t="n">
        <v>370</v>
      </c>
      <c r="Z177" s="58" t="n"/>
      <c r="AA177" s="58" t="n"/>
      <c r="AB177" s="58" t="n"/>
      <c r="AC177" s="69" t="n">
        <v>370</v>
      </c>
      <c r="AD177" s="53" t="n"/>
      <c r="AE177" s="61">
        <f>SUMIFS([1]инфо!$D$15:$D$28,[1]инфо!$A$15:$A$28,F177)</f>
        <v/>
      </c>
      <c r="AF177" s="62">
        <f>IF(H177=0,0,N177/H177)</f>
        <v/>
      </c>
      <c r="AG177" s="63">
        <f>AF177-AE177</f>
        <v/>
      </c>
      <c r="AH177" s="61">
        <f>SUMIFS([1]инфо!$E$15:$E$28,[1]инфо!$A$15:$A$28,F177)</f>
        <v/>
      </c>
      <c r="AI177" s="64">
        <f>IF(H177=0,0,S177/H177)</f>
        <v/>
      </c>
      <c r="AJ177" s="63">
        <f>AI177-AH177</f>
        <v/>
      </c>
      <c r="AK177" s="61">
        <f>SUMIFS([1]инфо!$F$15:$F$28,[1]инфо!$A$15:$A$28,F177)</f>
        <v/>
      </c>
      <c r="AL177" s="64">
        <f>IF(H177=0,0,Y177/H177)</f>
        <v/>
      </c>
      <c r="AM177" s="63">
        <f>AL177-AK177</f>
        <v/>
      </c>
      <c r="AN177" s="61">
        <f>SUMIFS([1]инфо!$G$15:$G$28,[1]инфо!$A$15:$A$28,F177)</f>
        <v/>
      </c>
      <c r="AO177" s="64">
        <f>IF(H177=0,0,AA177/H177)</f>
        <v/>
      </c>
      <c r="AP177" s="63">
        <f>AO177-AN177</f>
        <v/>
      </c>
      <c r="AQ177" s="61">
        <f>SUMIFS([1]инфо!$H$15:$H$28,[1]инфо!$A$15:$A$28,F177)</f>
        <v/>
      </c>
      <c r="AR177" s="62">
        <f>IF(H176=0,0,AC177/H176)</f>
        <v/>
      </c>
      <c r="AS177" s="63">
        <f>AR177-AQ177</f>
        <v/>
      </c>
      <c r="AT177" s="61">
        <f>SUMIFS([1]инфо!$I$15:$I$28,[1]инфо!$A$15:$A$28,F177)</f>
        <v/>
      </c>
      <c r="AU177" s="62">
        <f>IF(H177=0,0,AD177/H177)</f>
        <v/>
      </c>
      <c r="AV177" s="63">
        <f>AU177-AT177</f>
        <v/>
      </c>
      <c r="AX177" s="59">
        <f>SUMIFS([1]инфо!$C$15:$C$28,[1]инфо!$A$15:$A$28,F177)*H176</f>
        <v/>
      </c>
    </row>
    <row r="178">
      <c r="A178" s="71">
        <f>A176+1</f>
        <v/>
      </c>
      <c r="B178" s="86" t="inlineStr">
        <is>
          <t>0099</t>
        </is>
      </c>
      <c r="C178" s="77" t="inlineStr">
        <is>
          <t>Линия 1</t>
        </is>
      </c>
      <c r="D178" s="78" t="inlineStr">
        <is>
          <t>день</t>
        </is>
      </c>
      <c r="E178" s="66" t="inlineStr">
        <is>
          <t>Монаев</t>
        </is>
      </c>
      <c r="F178" s="67" t="inlineStr">
        <is>
          <t>плоский 10</t>
        </is>
      </c>
      <c r="G178" s="68" t="n">
        <v>18</v>
      </c>
      <c r="H178" s="68" t="n">
        <v>400</v>
      </c>
      <c r="I178" s="57">
        <f>IFERROR(H178*VLOOKUP(F178,[1]инфо!$A$15:$C$28,3,FALSE)/1000,0)</f>
        <v/>
      </c>
      <c r="J178" s="55" t="n">
        <v>500</v>
      </c>
      <c r="K178" s="68" t="n">
        <v>3</v>
      </c>
      <c r="L178" s="68" t="n"/>
      <c r="M178" s="55" t="n"/>
      <c r="N178" s="56" t="n">
        <v>1810</v>
      </c>
      <c r="O178" s="79" t="n">
        <v>5759</v>
      </c>
      <c r="P178" s="79" t="n">
        <v>5812</v>
      </c>
      <c r="Q178" s="79" t="n"/>
      <c r="R178" s="79" t="n"/>
      <c r="S178" s="80">
        <f>SUM(O178:R178)</f>
        <v/>
      </c>
      <c r="T178" s="77" t="n">
        <v>200</v>
      </c>
      <c r="U178" s="78" t="n">
        <v>1280</v>
      </c>
      <c r="V178" s="79" t="n"/>
      <c r="W178" s="68" t="n">
        <v>540</v>
      </c>
      <c r="X178" s="79" t="n"/>
      <c r="Y178" s="77" t="n">
        <v>180</v>
      </c>
      <c r="Z178" s="79" t="n"/>
      <c r="AA178" s="79" t="n"/>
      <c r="AB178" s="79" t="n"/>
      <c r="AC178" s="69" t="n">
        <v>180</v>
      </c>
      <c r="AD178" s="78" t="n">
        <v>90</v>
      </c>
      <c r="AE178" s="81">
        <f>SUMIFS([1]инфо!$D$15:$D$28,[1]инфо!$A$15:$A$28,F178)</f>
        <v/>
      </c>
      <c r="AF178" s="62">
        <f>IF(H178=0,0,N178/H178)</f>
        <v/>
      </c>
      <c r="AG178" s="82">
        <f>AF178-AE178</f>
        <v/>
      </c>
      <c r="AH178" s="81">
        <f>SUMIFS([1]инфо!$E$15:$E$28,[1]инфо!$A$15:$A$28,F178)</f>
        <v/>
      </c>
      <c r="AI178" s="64">
        <f>IF(H178=0,0,S178/H178)</f>
        <v/>
      </c>
      <c r="AJ178" s="82">
        <f>AI178-AH178</f>
        <v/>
      </c>
      <c r="AK178" s="81">
        <f>SUMIFS([1]инфо!$F$15:$F$28,[1]инфо!$A$15:$A$28,F178)</f>
        <v/>
      </c>
      <c r="AL178" s="64">
        <f>IF(H178=0,0,Y178/H178)</f>
        <v/>
      </c>
      <c r="AM178" s="82">
        <f>AL178-AK178</f>
        <v/>
      </c>
      <c r="AN178" s="81">
        <f>SUMIFS([1]инфо!$G$15:$G$28,[1]инфо!$A$15:$A$28,F178)</f>
        <v/>
      </c>
      <c r="AO178" s="64">
        <f>IF(H178=0,0,AA178/H178)</f>
        <v/>
      </c>
      <c r="AP178" s="82">
        <f>AO178-AN178</f>
        <v/>
      </c>
      <c r="AQ178" s="81">
        <f>SUMIFS([1]инфо!$H$15:$H$28,[1]инфо!$A$15:$A$28,F178)</f>
        <v/>
      </c>
      <c r="AR178" s="85">
        <f>IF(H177=0,0,AC178/H177)</f>
        <v/>
      </c>
      <c r="AS178" s="82">
        <f>AR178-AQ178</f>
        <v/>
      </c>
      <c r="AT178" s="81">
        <f>SUMIFS([1]инфо!$I$15:$I$28,[1]инфо!$A$15:$A$28,F178)</f>
        <v/>
      </c>
      <c r="AU178" s="62">
        <f>IF(H178=0,0,AD178/H178)</f>
        <v/>
      </c>
      <c r="AV178" s="82">
        <f>AU178-AT178</f>
        <v/>
      </c>
      <c r="AX178" s="80">
        <f>SUMIFS([1]инфо!$C$15:$C$28,[1]инфо!$A$15:$A$28,F178)*H177</f>
        <v/>
      </c>
    </row>
    <row r="179">
      <c r="A179" s="71">
        <f>A177+1</f>
        <v/>
      </c>
      <c r="B179" s="86" t="inlineStr">
        <is>
          <t>0100</t>
        </is>
      </c>
      <c r="C179" s="72" t="inlineStr">
        <is>
          <t>Линия 1</t>
        </is>
      </c>
      <c r="D179" s="73" t="inlineStr">
        <is>
          <t>ночь</t>
        </is>
      </c>
      <c r="E179" s="66" t="inlineStr">
        <is>
          <t>Дауылбай</t>
        </is>
      </c>
      <c r="F179" s="67" t="inlineStr">
        <is>
          <t>плоский 10</t>
        </is>
      </c>
      <c r="G179" s="68" t="n">
        <v>31</v>
      </c>
      <c r="H179" s="68" t="n">
        <v>600</v>
      </c>
      <c r="I179" s="57">
        <f>IFERROR(H179*VLOOKUP(F179,[1]инфо!$A$15:$C$28,3,FALSE)/1000,0)</f>
        <v/>
      </c>
      <c r="J179" s="55" t="n">
        <v>750</v>
      </c>
      <c r="K179" s="68" t="n"/>
      <c r="L179" s="68" t="n"/>
      <c r="M179" s="55" t="n"/>
      <c r="N179" s="67" t="n">
        <v>3132</v>
      </c>
      <c r="O179" s="74" t="n">
        <v>8964</v>
      </c>
      <c r="P179" s="74" t="n">
        <v>10917</v>
      </c>
      <c r="Q179" s="74" t="n"/>
      <c r="R179" s="74" t="n"/>
      <c r="S179" s="70">
        <f>SUM(O179:R179)</f>
        <v/>
      </c>
      <c r="T179" s="72" t="n">
        <v>100</v>
      </c>
      <c r="U179" s="73" t="n">
        <v>640</v>
      </c>
      <c r="V179" s="74" t="n"/>
      <c r="W179" s="68" t="n">
        <v>930</v>
      </c>
      <c r="X179" s="74" t="n"/>
      <c r="Y179" s="72" t="n">
        <v>310</v>
      </c>
      <c r="Z179" s="74" t="n"/>
      <c r="AA179" s="74" t="n"/>
      <c r="AB179" s="74" t="n"/>
      <c r="AC179" s="69" t="n">
        <v>310</v>
      </c>
      <c r="AD179" s="73" t="n">
        <v>155</v>
      </c>
      <c r="AE179" s="75">
        <f>SUMIFS([1]инфо!$D$15:$D$28,[1]инфо!$A$15:$A$28,F179)</f>
        <v/>
      </c>
      <c r="AF179" s="62">
        <f>IF(H179=0,0,N179/H179)</f>
        <v/>
      </c>
      <c r="AG179" s="76">
        <f>AF179-AE179</f>
        <v/>
      </c>
      <c r="AH179" s="75">
        <f>SUMIFS([1]инфо!$E$15:$E$28,[1]инфо!$A$15:$A$28,F179)</f>
        <v/>
      </c>
      <c r="AI179" s="64">
        <f>IF(H179=0,0,S179/H179)</f>
        <v/>
      </c>
      <c r="AJ179" s="76">
        <f>AI179-AH179</f>
        <v/>
      </c>
      <c r="AK179" s="75">
        <f>SUMIFS([1]инфо!$F$15:$F$28,[1]инфо!$A$15:$A$28,F179)</f>
        <v/>
      </c>
      <c r="AL179" s="64">
        <f>IF(H179=0,0,Y179/H179)</f>
        <v/>
      </c>
      <c r="AM179" s="76">
        <f>AL179-AK179</f>
        <v/>
      </c>
      <c r="AN179" s="75">
        <f>SUMIFS([1]инфо!$G$15:$G$28,[1]инфо!$A$15:$A$28,F179)</f>
        <v/>
      </c>
      <c r="AO179" s="64">
        <f>IF(H179=0,0,AA179/H179)</f>
        <v/>
      </c>
      <c r="AP179" s="76">
        <f>AO179-AN179</f>
        <v/>
      </c>
      <c r="AQ179" s="75">
        <f>SUMIFS([1]инфо!$H$15:$H$28,[1]инфо!$A$15:$A$28,F179)</f>
        <v/>
      </c>
      <c r="AR179" s="64">
        <f>IF(H178=0,0,AC179/H178)</f>
        <v/>
      </c>
      <c r="AS179" s="76">
        <f>AR179-AQ179</f>
        <v/>
      </c>
      <c r="AT179" s="75">
        <f>SUMIFS([1]инфо!$I$15:$I$28,[1]инфо!$A$15:$A$28,F179)</f>
        <v/>
      </c>
      <c r="AU179" s="62">
        <f>IF(H179=0,0,AD179/H179)</f>
        <v/>
      </c>
      <c r="AV179" s="76">
        <f>AU179-AT179</f>
        <v/>
      </c>
      <c r="AX179" s="70">
        <f>SUMIFS([1]инфо!$C$15:$C$28,[1]инфо!$A$15:$A$28,F179)*H178</f>
        <v/>
      </c>
    </row>
    <row r="180">
      <c r="A180" s="71">
        <f>A178+1</f>
        <v/>
      </c>
      <c r="B180" s="86" t="inlineStr">
        <is>
          <t>0101</t>
        </is>
      </c>
      <c r="C180" s="52" t="inlineStr">
        <is>
          <t>Линия 1</t>
        </is>
      </c>
      <c r="D180" s="53" t="inlineStr">
        <is>
          <t>день</t>
        </is>
      </c>
      <c r="E180" s="66" t="inlineStr">
        <is>
          <t>Бекбосынов</t>
        </is>
      </c>
      <c r="F180" s="67" t="inlineStr">
        <is>
          <t>плоский 10</t>
        </is>
      </c>
      <c r="G180" s="68" t="n">
        <v>18</v>
      </c>
      <c r="H180" s="68" t="n">
        <v>450</v>
      </c>
      <c r="I180" s="57">
        <f>IFERROR(H180*VLOOKUP(F180,[1]инфо!$A$15:$C$28,3,FALSE)/1000,0)</f>
        <v/>
      </c>
      <c r="J180" s="55" t="n">
        <v>250</v>
      </c>
      <c r="K180" s="68" t="n"/>
      <c r="L180" s="68" t="n"/>
      <c r="M180" s="55" t="n">
        <v>64</v>
      </c>
      <c r="N180" s="55" t="n">
        <v>1810</v>
      </c>
      <c r="O180" s="58" t="n">
        <v>5125</v>
      </c>
      <c r="P180" s="58" t="n">
        <v>6418</v>
      </c>
      <c r="Q180" s="58" t="n"/>
      <c r="R180" s="58" t="n"/>
      <c r="S180" s="59">
        <f>SUM(O180:R180)</f>
        <v/>
      </c>
      <c r="T180" s="52" t="n"/>
      <c r="U180" s="53" t="n"/>
      <c r="V180" s="58" t="n"/>
      <c r="W180" s="68" t="n">
        <v>540</v>
      </c>
      <c r="X180" s="58" t="n"/>
      <c r="Y180" s="52" t="n">
        <v>180</v>
      </c>
      <c r="Z180" s="58" t="n"/>
      <c r="AA180" s="58" t="n"/>
      <c r="AB180" s="58" t="n"/>
      <c r="AC180" s="69" t="n">
        <v>180</v>
      </c>
      <c r="AD180" s="53" t="n">
        <v>90</v>
      </c>
      <c r="AE180" s="61">
        <f>SUMIFS([1]инфо!$D$15:$D$28,[1]инфо!$A$15:$A$28,F180)</f>
        <v/>
      </c>
      <c r="AF180" s="62">
        <f>IF(H180=0,0,N180/H180)</f>
        <v/>
      </c>
      <c r="AG180" s="63">
        <f>AF180-AE180</f>
        <v/>
      </c>
      <c r="AH180" s="61">
        <f>SUMIFS([1]инфо!$E$15:$E$28,[1]инфо!$A$15:$A$28,F180)</f>
        <v/>
      </c>
      <c r="AI180" s="64">
        <f>IF(H180=0,0,S180/H180)</f>
        <v/>
      </c>
      <c r="AJ180" s="63">
        <f>AI180-AH180</f>
        <v/>
      </c>
      <c r="AK180" s="61">
        <f>SUMIFS([1]инфо!$F$15:$F$28,[1]инфо!$A$15:$A$28,F180)</f>
        <v/>
      </c>
      <c r="AL180" s="64">
        <f>IF(H180=0,0,Y180/H180)</f>
        <v/>
      </c>
      <c r="AM180" s="63">
        <f>AL180-AK180</f>
        <v/>
      </c>
      <c r="AN180" s="61">
        <f>SUMIFS([1]инфо!$G$15:$G$28,[1]инфо!$A$15:$A$28,F180)</f>
        <v/>
      </c>
      <c r="AO180" s="64">
        <f>IF(H180=0,0,AA180/H180)</f>
        <v/>
      </c>
      <c r="AP180" s="63">
        <f>AO180-AN180</f>
        <v/>
      </c>
      <c r="AQ180" s="61">
        <f>SUMIFS([1]инфо!$H$15:$H$28,[1]инфо!$A$15:$A$28,F180)</f>
        <v/>
      </c>
      <c r="AR180" s="62">
        <f>IF(H179=0,0,AC180/H179)</f>
        <v/>
      </c>
      <c r="AS180" s="63">
        <f>AR180-AQ180</f>
        <v/>
      </c>
      <c r="AT180" s="61">
        <f>SUMIFS([1]инфо!$I$15:$I$28,[1]инфо!$A$15:$A$28,F180)</f>
        <v/>
      </c>
      <c r="AU180" s="62">
        <f>IF(H180=0,0,AD180/H180)</f>
        <v/>
      </c>
      <c r="AV180" s="63">
        <f>AU180-AT180</f>
        <v/>
      </c>
      <c r="AX180" s="59">
        <f>SUMIFS([1]инфо!$C$15:$C$28,[1]инфо!$A$15:$A$28,F180)*H179</f>
        <v/>
      </c>
    </row>
    <row r="181">
      <c r="A181" s="71">
        <f>A179+1</f>
        <v/>
      </c>
      <c r="B181" s="86" t="inlineStr">
        <is>
          <t>0102</t>
        </is>
      </c>
      <c r="C181" s="52" t="inlineStr">
        <is>
          <t>Линия 1</t>
        </is>
      </c>
      <c r="D181" s="53" t="inlineStr">
        <is>
          <t>ночь</t>
        </is>
      </c>
      <c r="E181" s="66" t="inlineStr">
        <is>
          <t>Монаев</t>
        </is>
      </c>
      <c r="F181" s="67" t="inlineStr">
        <is>
          <t>плоский 10</t>
        </is>
      </c>
      <c r="G181" s="68" t="n">
        <v>43</v>
      </c>
      <c r="H181" s="68" t="n">
        <v>1050</v>
      </c>
      <c r="I181" s="57">
        <f>IFERROR(H181*VLOOKUP(F181,[1]инфо!$A$15:$C$28,3,FALSE)/1000,0)</f>
        <v/>
      </c>
      <c r="J181" s="55" t="n">
        <v>950</v>
      </c>
      <c r="K181" s="68" t="n">
        <v>2</v>
      </c>
      <c r="L181" s="68" t="n">
        <v>2</v>
      </c>
      <c r="M181" s="55" t="n">
        <v>75</v>
      </c>
      <c r="N181" s="55" t="n">
        <v>4323</v>
      </c>
      <c r="O181" s="58" t="n">
        <v>13443</v>
      </c>
      <c r="P181" s="58" t="n">
        <v>14088</v>
      </c>
      <c r="Q181" s="58" t="n"/>
      <c r="R181" s="58" t="n"/>
      <c r="S181" s="59">
        <f>SUM(O181:R181)</f>
        <v/>
      </c>
      <c r="T181" s="52" t="n"/>
      <c r="U181" s="53" t="n"/>
      <c r="V181" s="58" t="n"/>
      <c r="W181" s="68" t="n">
        <v>1230</v>
      </c>
      <c r="X181" s="58" t="n"/>
      <c r="Y181" s="52" t="n">
        <v>430</v>
      </c>
      <c r="Z181" s="58" t="n"/>
      <c r="AA181" s="58" t="n"/>
      <c r="AB181" s="58" t="n"/>
      <c r="AC181" s="69" t="n">
        <v>430</v>
      </c>
      <c r="AD181" s="53" t="n">
        <v>215</v>
      </c>
      <c r="AE181" s="61">
        <f>SUMIFS([1]инфо!$D$15:$D$28,[1]инфо!$A$15:$A$28,F181)</f>
        <v/>
      </c>
      <c r="AF181" s="62">
        <f>IF(H181=0,0,N181/H181)</f>
        <v/>
      </c>
      <c r="AG181" s="63">
        <f>AF181-AE181</f>
        <v/>
      </c>
      <c r="AH181" s="61">
        <f>SUMIFS([1]инфо!$E$15:$E$28,[1]инфо!$A$15:$A$28,F181)</f>
        <v/>
      </c>
      <c r="AI181" s="64">
        <f>IF(H181=0,0,S181/H181)</f>
        <v/>
      </c>
      <c r="AJ181" s="63">
        <f>AI181-AH181</f>
        <v/>
      </c>
      <c r="AK181" s="61">
        <f>SUMIFS([1]инфо!$F$15:$F$28,[1]инфо!$A$15:$A$28,F181)</f>
        <v/>
      </c>
      <c r="AL181" s="64">
        <f>IF(H181=0,0,Y181/H181)</f>
        <v/>
      </c>
      <c r="AM181" s="63">
        <f>AL181-AK181</f>
        <v/>
      </c>
      <c r="AN181" s="61">
        <f>SUMIFS([1]инфо!$G$15:$G$28,[1]инфо!$A$15:$A$28,F181)</f>
        <v/>
      </c>
      <c r="AO181" s="64">
        <f>IF(H181=0,0,AA181/H181)</f>
        <v/>
      </c>
      <c r="AP181" s="63">
        <f>AO181-AN181</f>
        <v/>
      </c>
      <c r="AQ181" s="61">
        <f>SUMIFS([1]инфо!$H$15:$H$28,[1]инфо!$A$15:$A$28,F181)</f>
        <v/>
      </c>
      <c r="AR181" s="62">
        <f>IF(H180=0,0,AC181/H180)</f>
        <v/>
      </c>
      <c r="AS181" s="63">
        <f>AR181-AQ181</f>
        <v/>
      </c>
      <c r="AT181" s="61">
        <f>SUMIFS([1]инфо!$I$15:$I$28,[1]инфо!$A$15:$A$28,F181)</f>
        <v/>
      </c>
      <c r="AU181" s="62">
        <f>IF(H181=0,0,AD181/H181)</f>
        <v/>
      </c>
      <c r="AV181" s="63">
        <f>AU181-AT181</f>
        <v/>
      </c>
      <c r="AX181" s="59">
        <f>SUMIFS([1]инфо!$C$15:$C$28,[1]инфо!$A$15:$A$28,F181)*H180</f>
        <v/>
      </c>
    </row>
    <row r="182">
      <c r="A182" s="71">
        <f>A180+1</f>
        <v/>
      </c>
      <c r="B182" s="86" t="inlineStr">
        <is>
          <t>0103</t>
        </is>
      </c>
      <c r="C182" s="77" t="inlineStr">
        <is>
          <t>Линия 1</t>
        </is>
      </c>
      <c r="D182" s="78" t="inlineStr">
        <is>
          <t>день</t>
        </is>
      </c>
      <c r="E182" s="66" t="inlineStr">
        <is>
          <t>Султанулы</t>
        </is>
      </c>
      <c r="F182" s="67" t="inlineStr">
        <is>
          <t>плоский 10</t>
        </is>
      </c>
      <c r="G182" s="68" t="n">
        <v>30</v>
      </c>
      <c r="H182" s="68" t="n">
        <v>800</v>
      </c>
      <c r="I182" s="57">
        <f>IFERROR(H182*VLOOKUP(F182,[1]инфо!$A$15:$C$28,3,FALSE)/1000,0)</f>
        <v/>
      </c>
      <c r="J182" s="55" t="n">
        <v>900</v>
      </c>
      <c r="K182" s="68" t="n">
        <v>1</v>
      </c>
      <c r="L182" s="68" t="n"/>
      <c r="M182" s="55" t="n"/>
      <c r="N182" s="56" t="n">
        <v>3019</v>
      </c>
      <c r="O182" s="79" t="n">
        <v>9605</v>
      </c>
      <c r="P182" s="79" t="n">
        <v>9581</v>
      </c>
      <c r="Q182" s="79" t="n"/>
      <c r="R182" s="79" t="n"/>
      <c r="S182" s="80">
        <f>SUM(O182:R182)</f>
        <v/>
      </c>
      <c r="T182" s="77" t="n"/>
      <c r="U182" s="78" t="n"/>
      <c r="V182" s="79" t="n"/>
      <c r="W182" s="68" t="n">
        <v>900</v>
      </c>
      <c r="X182" s="79" t="n"/>
      <c r="Y182" s="77" t="n">
        <v>300</v>
      </c>
      <c r="Z182" s="79" t="n"/>
      <c r="AA182" s="79" t="n"/>
      <c r="AB182" s="79" t="n"/>
      <c r="AC182" s="69" t="n">
        <v>300</v>
      </c>
      <c r="AD182" s="78" t="n">
        <v>150</v>
      </c>
      <c r="AE182" s="81">
        <f>SUMIFS([1]инфо!$D$15:$D$28,[1]инфо!$A$15:$A$28,F182)</f>
        <v/>
      </c>
      <c r="AF182" s="62">
        <f>IF(H182=0,0,N182/H182)</f>
        <v/>
      </c>
      <c r="AG182" s="82">
        <f>AF182-AE182</f>
        <v/>
      </c>
      <c r="AH182" s="81">
        <f>SUMIFS([1]инфо!$E$15:$E$28,[1]инфо!$A$15:$A$28,F182)</f>
        <v/>
      </c>
      <c r="AI182" s="64">
        <f>IF(H182=0,0,S182/H182)</f>
        <v/>
      </c>
      <c r="AJ182" s="82">
        <f>AI182-AH182</f>
        <v/>
      </c>
      <c r="AK182" s="81">
        <f>SUMIFS([1]инфо!$F$15:$F$28,[1]инфо!$A$15:$A$28,F182)</f>
        <v/>
      </c>
      <c r="AL182" s="64">
        <f>IF(H182=0,0,Y182/H182)</f>
        <v/>
      </c>
      <c r="AM182" s="82">
        <f>AL182-AK182</f>
        <v/>
      </c>
      <c r="AN182" s="81">
        <f>SUMIFS([1]инфо!$G$15:$G$28,[1]инфо!$A$15:$A$28,F182)</f>
        <v/>
      </c>
      <c r="AO182" s="64">
        <f>IF(H182=0,0,AA182/H182)</f>
        <v/>
      </c>
      <c r="AP182" s="82">
        <f>AO182-AN182</f>
        <v/>
      </c>
      <c r="AQ182" s="81">
        <f>SUMIFS([1]инфо!$H$15:$H$28,[1]инфо!$A$15:$A$28,F182)</f>
        <v/>
      </c>
      <c r="AR182" s="85">
        <f>IF(H181=0,0,AC182/H181)</f>
        <v/>
      </c>
      <c r="AS182" s="82">
        <f>AR182-AQ182</f>
        <v/>
      </c>
      <c r="AT182" s="81">
        <f>SUMIFS([1]инфо!$I$15:$I$28,[1]инфо!$A$15:$A$28,F182)</f>
        <v/>
      </c>
      <c r="AU182" s="62">
        <f>IF(H182=0,0,AD182/H182)</f>
        <v/>
      </c>
      <c r="AV182" s="82">
        <f>AU182-AT182</f>
        <v/>
      </c>
      <c r="AX182" s="80">
        <f>SUMIFS([1]инфо!$C$15:$C$28,[1]инфо!$A$15:$A$28,F182)*H181</f>
        <v/>
      </c>
    </row>
    <row r="183">
      <c r="A183" s="71">
        <f>A181+1</f>
        <v/>
      </c>
      <c r="B183" s="86" t="inlineStr">
        <is>
          <t>0104</t>
        </is>
      </c>
      <c r="C183" s="72" t="inlineStr">
        <is>
          <t>Линия 1</t>
        </is>
      </c>
      <c r="D183" s="73" t="inlineStr">
        <is>
          <t>ночь</t>
        </is>
      </c>
      <c r="E183" s="66" t="inlineStr">
        <is>
          <t>Бекбосынов</t>
        </is>
      </c>
      <c r="F183" s="67" t="inlineStr">
        <is>
          <t>плоский 10</t>
        </is>
      </c>
      <c r="G183" s="68" t="n">
        <v>48</v>
      </c>
      <c r="H183" s="68" t="n">
        <v>1200</v>
      </c>
      <c r="I183" s="57">
        <f>IFERROR(H183*VLOOKUP(F183,[1]инфо!$A$15:$C$28,3,FALSE)/1000,0)</f>
        <v/>
      </c>
      <c r="J183" s="55" t="n">
        <v>1000</v>
      </c>
      <c r="K183" s="68" t="n">
        <v>2</v>
      </c>
      <c r="L183" s="68" t="n"/>
      <c r="M183" s="55" t="n">
        <v>35</v>
      </c>
      <c r="N183" s="67" t="n">
        <v>4856</v>
      </c>
      <c r="O183" s="74" t="n">
        <v>15379</v>
      </c>
      <c r="P183" s="74" t="n">
        <v>15404</v>
      </c>
      <c r="Q183" s="74" t="n"/>
      <c r="R183" s="74" t="n"/>
      <c r="S183" s="70">
        <f>SUM(O183:R183)</f>
        <v/>
      </c>
      <c r="T183" s="72" t="n"/>
      <c r="U183" s="73" t="n"/>
      <c r="V183" s="74" t="n"/>
      <c r="W183" s="68" t="n">
        <v>1440</v>
      </c>
      <c r="X183" s="74" t="n"/>
      <c r="Y183" s="72" t="n">
        <v>480</v>
      </c>
      <c r="Z183" s="74" t="n"/>
      <c r="AA183" s="74" t="n"/>
      <c r="AB183" s="74" t="n"/>
      <c r="AC183" s="69" t="n">
        <v>480</v>
      </c>
      <c r="AD183" s="73" t="n">
        <v>240</v>
      </c>
      <c r="AE183" s="75">
        <f>SUMIFS([1]инфо!$D$15:$D$28,[1]инфо!$A$15:$A$28,F183)</f>
        <v/>
      </c>
      <c r="AF183" s="62">
        <f>IF(H183=0,0,N183/H183)</f>
        <v/>
      </c>
      <c r="AG183" s="76">
        <f>AF183-AE183</f>
        <v/>
      </c>
      <c r="AH183" s="75">
        <f>SUMIFS([1]инфо!$E$15:$E$28,[1]инфо!$A$15:$A$28,F183)</f>
        <v/>
      </c>
      <c r="AI183" s="64">
        <f>IF(H183=0,0,S183/H183)</f>
        <v/>
      </c>
      <c r="AJ183" s="76">
        <f>AI183-AH183</f>
        <v/>
      </c>
      <c r="AK183" s="75">
        <f>SUMIFS([1]инфо!$F$15:$F$28,[1]инфо!$A$15:$A$28,F183)</f>
        <v/>
      </c>
      <c r="AL183" s="64">
        <f>IF(H183=0,0,Y183/H183)</f>
        <v/>
      </c>
      <c r="AM183" s="76">
        <f>AL183-AK183</f>
        <v/>
      </c>
      <c r="AN183" s="75">
        <f>SUMIFS([1]инфо!$G$15:$G$28,[1]инфо!$A$15:$A$28,F183)</f>
        <v/>
      </c>
      <c r="AO183" s="64">
        <f>IF(H183=0,0,AA183/H183)</f>
        <v/>
      </c>
      <c r="AP183" s="76">
        <f>AO183-AN183</f>
        <v/>
      </c>
      <c r="AQ183" s="75">
        <f>SUMIFS([1]инфо!$H$15:$H$28,[1]инфо!$A$15:$A$28,F183)</f>
        <v/>
      </c>
      <c r="AR183" s="64">
        <f>IF(H182=0,0,AC183/H182)</f>
        <v/>
      </c>
      <c r="AS183" s="76">
        <f>AR183-AQ183</f>
        <v/>
      </c>
      <c r="AT183" s="75">
        <f>SUMIFS([1]инфо!$I$15:$I$28,[1]инфо!$A$15:$A$28,F183)</f>
        <v/>
      </c>
      <c r="AU183" s="62">
        <f>IF(H183=0,0,AD183/H183)</f>
        <v/>
      </c>
      <c r="AV183" s="76">
        <f>AU183-AT183</f>
        <v/>
      </c>
      <c r="AX183" s="70">
        <f>SUMIFS([1]инфо!$C$15:$C$28,[1]инфо!$A$15:$A$28,F183)*H182</f>
        <v/>
      </c>
    </row>
    <row r="184">
      <c r="A184" s="71">
        <f>A182+1</f>
        <v/>
      </c>
      <c r="B184" s="86" t="inlineStr">
        <is>
          <t>0105</t>
        </is>
      </c>
      <c r="C184" s="52" t="inlineStr">
        <is>
          <t>Линия 1</t>
        </is>
      </c>
      <c r="D184" s="53" t="inlineStr">
        <is>
          <t>день</t>
        </is>
      </c>
      <c r="E184" s="66" t="inlineStr">
        <is>
          <t>Дауылбай</t>
        </is>
      </c>
      <c r="F184" s="67" t="inlineStr">
        <is>
          <t>плоский 10</t>
        </is>
      </c>
      <c r="G184" s="68" t="n">
        <v>42</v>
      </c>
      <c r="H184" s="68" t="n">
        <v>1040</v>
      </c>
      <c r="I184" s="57">
        <f>IFERROR(H184*VLOOKUP(F184,[1]инфо!$A$15:$C$28,3,FALSE)/1000,0)</f>
        <v/>
      </c>
      <c r="J184" s="55" t="n">
        <v>1050</v>
      </c>
      <c r="K184" s="68" t="n">
        <v>1</v>
      </c>
      <c r="L184" s="68" t="n"/>
      <c r="M184" s="55" t="n">
        <v>72</v>
      </c>
      <c r="N184" s="55" t="n">
        <v>4241</v>
      </c>
      <c r="O184" s="58" t="n">
        <v>13453</v>
      </c>
      <c r="P184" s="58" t="n">
        <v>13512</v>
      </c>
      <c r="Q184" s="58" t="n"/>
      <c r="R184" s="58" t="n"/>
      <c r="S184" s="59">
        <f>SUM(O184:R184)</f>
        <v/>
      </c>
      <c r="T184" s="52" t="n"/>
      <c r="U184" s="53" t="n"/>
      <c r="V184" s="58" t="n"/>
      <c r="W184" s="68" t="n">
        <v>1230</v>
      </c>
      <c r="X184" s="58" t="n"/>
      <c r="Y184" s="52" t="n">
        <v>420</v>
      </c>
      <c r="Z184" s="58" t="n"/>
      <c r="AA184" s="58" t="n"/>
      <c r="AB184" s="58" t="n"/>
      <c r="AC184" s="69" t="n">
        <v>420</v>
      </c>
      <c r="AD184" s="53" t="n"/>
      <c r="AE184" s="61">
        <f>SUMIFS([1]инфо!$D$15:$D$28,[1]инфо!$A$15:$A$28,F184)</f>
        <v/>
      </c>
      <c r="AF184" s="62">
        <f>IF(H184=0,0,N184/H184)</f>
        <v/>
      </c>
      <c r="AG184" s="63">
        <f>AF184-AE184</f>
        <v/>
      </c>
      <c r="AH184" s="61">
        <f>SUMIFS([1]инфо!$E$15:$E$28,[1]инфо!$A$15:$A$28,F184)</f>
        <v/>
      </c>
      <c r="AI184" s="64">
        <f>IF(H184=0,0,S184/H184)</f>
        <v/>
      </c>
      <c r="AJ184" s="63">
        <f>AI184-AH184</f>
        <v/>
      </c>
      <c r="AK184" s="61">
        <f>SUMIFS([1]инфо!$F$15:$F$28,[1]инфо!$A$15:$A$28,F184)</f>
        <v/>
      </c>
      <c r="AL184" s="64">
        <f>IF(H184=0,0,Y184/H184)</f>
        <v/>
      </c>
      <c r="AM184" s="63">
        <f>AL184-AK184</f>
        <v/>
      </c>
      <c r="AN184" s="61">
        <f>SUMIFS([1]инфо!$G$15:$G$28,[1]инфо!$A$15:$A$28,F184)</f>
        <v/>
      </c>
      <c r="AO184" s="64">
        <f>IF(H184=0,0,AA184/H184)</f>
        <v/>
      </c>
      <c r="AP184" s="63">
        <f>AO184-AN184</f>
        <v/>
      </c>
      <c r="AQ184" s="61">
        <f>SUMIFS([1]инфо!$H$15:$H$28,[1]инфо!$A$15:$A$28,F184)</f>
        <v/>
      </c>
      <c r="AR184" s="62">
        <f>IF(H183=0,0,AC184/H183)</f>
        <v/>
      </c>
      <c r="AS184" s="63">
        <f>AR184-AQ184</f>
        <v/>
      </c>
      <c r="AT184" s="61">
        <f>SUMIFS([1]инфо!$I$15:$I$28,[1]инфо!$A$15:$A$28,F184)</f>
        <v/>
      </c>
      <c r="AU184" s="62">
        <f>IF(H184=0,0,AD184/H184)</f>
        <v/>
      </c>
      <c r="AV184" s="63">
        <f>AU184-AT184</f>
        <v/>
      </c>
      <c r="AX184" s="59">
        <f>SUMIFS([1]инфо!$C$15:$C$28,[1]инфо!$A$15:$A$28,F184)*H183</f>
        <v/>
      </c>
    </row>
    <row r="185">
      <c r="A185" s="71">
        <f>A183+1</f>
        <v/>
      </c>
      <c r="B185" s="86" t="inlineStr">
        <is>
          <t>0106</t>
        </is>
      </c>
      <c r="C185" s="52" t="inlineStr">
        <is>
          <t>Линия 1</t>
        </is>
      </c>
      <c r="D185" s="53" t="inlineStr">
        <is>
          <t>ночь</t>
        </is>
      </c>
      <c r="E185" s="66" t="inlineStr">
        <is>
          <t>Султанулы</t>
        </is>
      </c>
      <c r="F185" s="67" t="inlineStr">
        <is>
          <t>плоский 10</t>
        </is>
      </c>
      <c r="G185" s="68" t="n">
        <v>51</v>
      </c>
      <c r="H185" s="68" t="n">
        <v>1200</v>
      </c>
      <c r="I185" s="57">
        <f>IFERROR(H185*VLOOKUP(F185,[1]инфо!$A$15:$C$28,3,FALSE)/1000,0)</f>
        <v/>
      </c>
      <c r="J185" s="55" t="n">
        <v>1300</v>
      </c>
      <c r="K185" s="68" t="n">
        <v>2</v>
      </c>
      <c r="L185" s="68" t="n">
        <v>1</v>
      </c>
      <c r="M185" s="55" t="n">
        <v>30</v>
      </c>
      <c r="N185" s="55" t="n">
        <v>5125</v>
      </c>
      <c r="O185" s="58" t="n">
        <v>16657</v>
      </c>
      <c r="P185" s="58" t="n">
        <v>16048</v>
      </c>
      <c r="Q185" s="58" t="n"/>
      <c r="R185" s="58" t="n"/>
      <c r="S185" s="59">
        <f>SUM(O185:R185)</f>
        <v/>
      </c>
      <c r="T185" s="52" t="n"/>
      <c r="U185" s="53" t="n"/>
      <c r="V185" s="58" t="n"/>
      <c r="W185" s="68" t="n">
        <v>1530</v>
      </c>
      <c r="X185" s="58" t="n"/>
      <c r="Y185" s="52" t="n">
        <v>510</v>
      </c>
      <c r="Z185" s="58" t="n"/>
      <c r="AA185" s="58" t="n"/>
      <c r="AB185" s="58" t="n"/>
      <c r="AC185" s="69" t="n">
        <v>510</v>
      </c>
      <c r="AD185" s="53" t="n"/>
      <c r="AE185" s="61">
        <f>SUMIFS([1]инфо!$D$15:$D$28,[1]инфо!$A$15:$A$28,F185)</f>
        <v/>
      </c>
      <c r="AF185" s="62">
        <f>IF(H185=0,0,N185/H185)</f>
        <v/>
      </c>
      <c r="AG185" s="63">
        <f>AF185-AE185</f>
        <v/>
      </c>
      <c r="AH185" s="61">
        <f>SUMIFS([1]инфо!$E$15:$E$28,[1]инфо!$A$15:$A$28,F185)</f>
        <v/>
      </c>
      <c r="AI185" s="64">
        <f>IF(H185=0,0,S185/H185)</f>
        <v/>
      </c>
      <c r="AJ185" s="63">
        <f>AI185-AH185</f>
        <v/>
      </c>
      <c r="AK185" s="61">
        <f>SUMIFS([1]инфо!$F$15:$F$28,[1]инфо!$A$15:$A$28,F185)</f>
        <v/>
      </c>
      <c r="AL185" s="64">
        <f>IF(H185=0,0,Y185/H185)</f>
        <v/>
      </c>
      <c r="AM185" s="63">
        <f>AL185-AK185</f>
        <v/>
      </c>
      <c r="AN185" s="61">
        <f>SUMIFS([1]инфо!$G$15:$G$28,[1]инфо!$A$15:$A$28,F185)</f>
        <v/>
      </c>
      <c r="AO185" s="64">
        <f>IF(H185=0,0,AA185/H185)</f>
        <v/>
      </c>
      <c r="AP185" s="63">
        <f>AO185-AN185</f>
        <v/>
      </c>
      <c r="AQ185" s="61">
        <f>SUMIFS([1]инфо!$H$15:$H$28,[1]инфо!$A$15:$A$28,F185)</f>
        <v/>
      </c>
      <c r="AR185" s="62">
        <f>IF(H184=0,0,AC185/H184)</f>
        <v/>
      </c>
      <c r="AS185" s="63">
        <f>AR185-AQ185</f>
        <v/>
      </c>
      <c r="AT185" s="61">
        <f>SUMIFS([1]инфо!$I$15:$I$28,[1]инфо!$A$15:$A$28,F185)</f>
        <v/>
      </c>
      <c r="AU185" s="62">
        <f>IF(H185=0,0,AD185/H185)</f>
        <v/>
      </c>
      <c r="AV185" s="63">
        <f>AU185-AT185</f>
        <v/>
      </c>
      <c r="AX185" s="59">
        <f>SUMIFS([1]инфо!$C$15:$C$28,[1]инфо!$A$15:$A$28,F185)*H184</f>
        <v/>
      </c>
    </row>
    <row r="186">
      <c r="A186" s="71">
        <f>A184+1</f>
        <v/>
      </c>
      <c r="B186" s="86" t="inlineStr">
        <is>
          <t>0107</t>
        </is>
      </c>
      <c r="C186" s="77" t="inlineStr">
        <is>
          <t>Линия 1</t>
        </is>
      </c>
      <c r="D186" s="78" t="inlineStr">
        <is>
          <t>день</t>
        </is>
      </c>
      <c r="E186" s="66" t="inlineStr">
        <is>
          <t>Монаев</t>
        </is>
      </c>
      <c r="F186" s="67" t="inlineStr">
        <is>
          <t>плоский 10</t>
        </is>
      </c>
      <c r="G186" s="68" t="n">
        <v>38</v>
      </c>
      <c r="H186" s="68" t="n">
        <v>950</v>
      </c>
      <c r="I186" s="57">
        <f>IFERROR(H186*VLOOKUP(F186,[1]инфо!$A$15:$C$28,3,FALSE)/1000,0)</f>
        <v/>
      </c>
      <c r="J186" s="55" t="n">
        <v>950</v>
      </c>
      <c r="K186" s="68" t="n">
        <v>3</v>
      </c>
      <c r="L186" s="68" t="n"/>
      <c r="M186" s="55" t="n">
        <v>50</v>
      </c>
      <c r="N186" s="56" t="n">
        <v>3848</v>
      </c>
      <c r="O186" s="79" t="n">
        <v>10258</v>
      </c>
      <c r="P186" s="79" t="n">
        <v>14133</v>
      </c>
      <c r="Q186" s="79" t="n"/>
      <c r="R186" s="79" t="n"/>
      <c r="S186" s="80">
        <f>SUM(O186:R186)</f>
        <v/>
      </c>
      <c r="T186" s="77" t="n"/>
      <c r="U186" s="78" t="n"/>
      <c r="V186" s="79" t="n"/>
      <c r="W186" s="68" t="n">
        <v>1140</v>
      </c>
      <c r="X186" s="79" t="n"/>
      <c r="Y186" s="77" t="n">
        <v>380</v>
      </c>
      <c r="Z186" s="79" t="n"/>
      <c r="AA186" s="79" t="n"/>
      <c r="AB186" s="79" t="n"/>
      <c r="AC186" s="69" t="n">
        <v>380</v>
      </c>
      <c r="AD186" s="78" t="n"/>
      <c r="AE186" s="81">
        <f>SUMIFS([1]инфо!$D$15:$D$28,[1]инфо!$A$15:$A$28,F186)</f>
        <v/>
      </c>
      <c r="AF186" s="62">
        <f>IF(H186=0,0,N186/H186)</f>
        <v/>
      </c>
      <c r="AG186" s="82">
        <f>AF186-AE186</f>
        <v/>
      </c>
      <c r="AH186" s="81">
        <f>SUMIFS([1]инфо!$E$15:$E$28,[1]инфо!$A$15:$A$28,F186)</f>
        <v/>
      </c>
      <c r="AI186" s="64">
        <f>IF(H186=0,0,S186/H186)</f>
        <v/>
      </c>
      <c r="AJ186" s="82">
        <f>AI186-AH186</f>
        <v/>
      </c>
      <c r="AK186" s="81">
        <f>SUMIFS([1]инфо!$F$15:$F$28,[1]инфо!$A$15:$A$28,F186)</f>
        <v/>
      </c>
      <c r="AL186" s="64">
        <f>IF(H186=0,0,Y186/H186)</f>
        <v/>
      </c>
      <c r="AM186" s="82">
        <f>AL186-AK186</f>
        <v/>
      </c>
      <c r="AN186" s="81">
        <f>SUMIFS([1]инфо!$G$15:$G$28,[1]инфо!$A$15:$A$28,F186)</f>
        <v/>
      </c>
      <c r="AO186" s="64">
        <f>IF(H186=0,0,AA186/H186)</f>
        <v/>
      </c>
      <c r="AP186" s="82">
        <f>AO186-AN186</f>
        <v/>
      </c>
      <c r="AQ186" s="81">
        <f>SUMIFS([1]инфо!$H$15:$H$28,[1]инфо!$A$15:$A$28,F186)</f>
        <v/>
      </c>
      <c r="AR186" s="85">
        <f>IF(H185=0,0,AC186/H185)</f>
        <v/>
      </c>
      <c r="AS186" s="82">
        <f>AR186-AQ186</f>
        <v/>
      </c>
      <c r="AT186" s="81">
        <f>SUMIFS([1]инфо!$I$15:$I$28,[1]инфо!$A$15:$A$28,F186)</f>
        <v/>
      </c>
      <c r="AU186" s="62">
        <f>IF(H186=0,0,AD186/H186)</f>
        <v/>
      </c>
      <c r="AV186" s="82">
        <f>AU186-AT186</f>
        <v/>
      </c>
      <c r="AX186" s="80">
        <f>SUMIFS([1]инфо!$C$15:$C$28,[1]инфо!$A$15:$A$28,F186)*H185</f>
        <v/>
      </c>
    </row>
    <row r="187">
      <c r="A187" s="71">
        <f>A185+1</f>
        <v/>
      </c>
      <c r="B187" s="86" t="inlineStr">
        <is>
          <t>0108</t>
        </is>
      </c>
      <c r="C187" s="72" t="inlineStr">
        <is>
          <t>Линия 1</t>
        </is>
      </c>
      <c r="D187" s="73" t="inlineStr">
        <is>
          <t>ночь</t>
        </is>
      </c>
      <c r="E187" s="66" t="inlineStr">
        <is>
          <t>Дауылбай</t>
        </is>
      </c>
      <c r="F187" s="67" t="inlineStr">
        <is>
          <t>плоский 10</t>
        </is>
      </c>
      <c r="G187" s="68" t="n">
        <v>42</v>
      </c>
      <c r="H187" s="68" t="n">
        <v>1050</v>
      </c>
      <c r="I187" s="57">
        <f>IFERROR(H187*VLOOKUP(F187,[1]инфо!$A$15:$C$28,3,FALSE)/1000,0)</f>
        <v/>
      </c>
      <c r="J187" s="55" t="n">
        <v>1050</v>
      </c>
      <c r="K187" s="68" t="n">
        <v>2</v>
      </c>
      <c r="L187" s="68" t="n"/>
      <c r="M187" s="55" t="n">
        <v>155</v>
      </c>
      <c r="N187" s="67" t="n">
        <v>4379</v>
      </c>
      <c r="O187" s="74" t="n">
        <v>13470</v>
      </c>
      <c r="P187" s="74" t="n">
        <v>14170</v>
      </c>
      <c r="Q187" s="74" t="n"/>
      <c r="R187" s="74" t="n"/>
      <c r="S187" s="70">
        <f>SUM(O187:R187)</f>
        <v/>
      </c>
      <c r="T187" s="72" t="n"/>
      <c r="U187" s="73" t="n"/>
      <c r="V187" s="74" t="n"/>
      <c r="W187" s="68" t="n">
        <v>1260</v>
      </c>
      <c r="X187" s="74" t="n"/>
      <c r="Y187" s="72" t="n">
        <v>430</v>
      </c>
      <c r="Z187" s="74" t="n"/>
      <c r="AA187" s="74" t="n"/>
      <c r="AB187" s="74" t="n"/>
      <c r="AC187" s="69" t="n">
        <v>420</v>
      </c>
      <c r="AD187" s="73" t="n"/>
      <c r="AE187" s="75">
        <f>SUMIFS([1]инфо!$D$15:$D$28,[1]инфо!$A$15:$A$28,F187)</f>
        <v/>
      </c>
      <c r="AF187" s="62">
        <f>IF(H187=0,0,N187/H187)</f>
        <v/>
      </c>
      <c r="AG187" s="76">
        <f>AF187-AE187</f>
        <v/>
      </c>
      <c r="AH187" s="75">
        <f>SUMIFS([1]инфо!$E$15:$E$28,[1]инфо!$A$15:$A$28,F187)</f>
        <v/>
      </c>
      <c r="AI187" s="64">
        <f>IF(H187=0,0,S187/H187)</f>
        <v/>
      </c>
      <c r="AJ187" s="76">
        <f>AI187-AH187</f>
        <v/>
      </c>
      <c r="AK187" s="75">
        <f>SUMIFS([1]инфо!$F$15:$F$28,[1]инфо!$A$15:$A$28,F187)</f>
        <v/>
      </c>
      <c r="AL187" s="64">
        <f>IF(H187=0,0,Y187/H187)</f>
        <v/>
      </c>
      <c r="AM187" s="76">
        <f>AL187-AK187</f>
        <v/>
      </c>
      <c r="AN187" s="75">
        <f>SUMIFS([1]инфо!$G$15:$G$28,[1]инфо!$A$15:$A$28,F187)</f>
        <v/>
      </c>
      <c r="AO187" s="64">
        <f>IF(H187=0,0,AA187/H187)</f>
        <v/>
      </c>
      <c r="AP187" s="76">
        <f>AO187-AN187</f>
        <v/>
      </c>
      <c r="AQ187" s="75">
        <f>SUMIFS([1]инфо!$H$15:$H$28,[1]инфо!$A$15:$A$28,F187)</f>
        <v/>
      </c>
      <c r="AR187" s="64">
        <f>IF(H186=0,0,AC187/H186)</f>
        <v/>
      </c>
      <c r="AS187" s="76">
        <f>AR187-AQ187</f>
        <v/>
      </c>
      <c r="AT187" s="75">
        <f>SUMIFS([1]инфо!$I$15:$I$28,[1]инфо!$A$15:$A$28,F187)</f>
        <v/>
      </c>
      <c r="AU187" s="62">
        <f>IF(H187=0,0,AD187/H187)</f>
        <v/>
      </c>
      <c r="AV187" s="76">
        <f>AU187-AT187</f>
        <v/>
      </c>
      <c r="AX187" s="70">
        <f>SUMIFS([1]инфо!$C$15:$C$28,[1]инфо!$A$15:$A$28,F187)*H186</f>
        <v/>
      </c>
    </row>
    <row r="188">
      <c r="A188" s="71">
        <f>A186+1</f>
        <v/>
      </c>
      <c r="B188" s="86" t="inlineStr">
        <is>
          <t>0109</t>
        </is>
      </c>
      <c r="C188" s="52" t="inlineStr">
        <is>
          <t>Линия 1</t>
        </is>
      </c>
      <c r="D188" s="53" t="inlineStr">
        <is>
          <t>день</t>
        </is>
      </c>
      <c r="E188" s="66" t="inlineStr">
        <is>
          <t>Бекбосынов</t>
        </is>
      </c>
      <c r="F188" s="67" t="inlineStr">
        <is>
          <t>плоский 10</t>
        </is>
      </c>
      <c r="G188" s="68" t="n">
        <v>7</v>
      </c>
      <c r="H188" s="68" t="n">
        <v>150</v>
      </c>
      <c r="I188" s="57">
        <f>IFERROR(H188*VLOOKUP(F188,[1]инфо!$A$15:$C$28,3,FALSE)/1000,0)</f>
        <v/>
      </c>
      <c r="J188" s="55" t="n">
        <v>250</v>
      </c>
      <c r="K188" s="68" t="n"/>
      <c r="L188" s="68" t="n"/>
      <c r="M188" s="55" t="n">
        <v>27</v>
      </c>
      <c r="N188" s="55" t="n">
        <v>709</v>
      </c>
      <c r="O188" s="58" t="n">
        <v>2579</v>
      </c>
      <c r="P188" s="58" t="n">
        <v>1927</v>
      </c>
      <c r="Q188" s="58" t="n"/>
      <c r="R188" s="58" t="n"/>
      <c r="S188" s="59">
        <f>SUM(O188:R188)</f>
        <v/>
      </c>
      <c r="T188" s="52" t="n"/>
      <c r="U188" s="53" t="n"/>
      <c r="V188" s="58" t="n"/>
      <c r="W188" s="68" t="n">
        <v>210</v>
      </c>
      <c r="X188" s="58" t="n"/>
      <c r="Y188" s="52" t="n">
        <v>70</v>
      </c>
      <c r="Z188" s="58" t="n"/>
      <c r="AA188" s="58" t="n"/>
      <c r="AB188" s="58" t="n"/>
      <c r="AC188" s="69" t="n">
        <v>70</v>
      </c>
      <c r="AD188" s="53" t="n">
        <v>5</v>
      </c>
      <c r="AE188" s="61">
        <f>SUMIFS([1]инфо!$D$15:$D$28,[1]инфо!$A$15:$A$28,F188)</f>
        <v/>
      </c>
      <c r="AF188" s="62">
        <f>IF(H188=0,0,N188/H188)</f>
        <v/>
      </c>
      <c r="AG188" s="63">
        <f>AF188-AE188</f>
        <v/>
      </c>
      <c r="AH188" s="61">
        <f>SUMIFS([1]инфо!$E$15:$E$28,[1]инфо!$A$15:$A$28,F188)</f>
        <v/>
      </c>
      <c r="AI188" s="64">
        <f>IF(H188=0,0,S188/H188)</f>
        <v/>
      </c>
      <c r="AJ188" s="63">
        <f>AI188-AH188</f>
        <v/>
      </c>
      <c r="AK188" s="61">
        <f>SUMIFS([1]инфо!$F$15:$F$28,[1]инфо!$A$15:$A$28,F188)</f>
        <v/>
      </c>
      <c r="AL188" s="64">
        <f>IF(H188=0,0,Y188/H188)</f>
        <v/>
      </c>
      <c r="AM188" s="63">
        <f>AL188-AK188</f>
        <v/>
      </c>
      <c r="AN188" s="61">
        <f>SUMIFS([1]инфо!$G$15:$G$28,[1]инфо!$A$15:$A$28,F188)</f>
        <v/>
      </c>
      <c r="AO188" s="64">
        <f>IF(H188=0,0,AA188/H188)</f>
        <v/>
      </c>
      <c r="AP188" s="63">
        <f>AO188-AN188</f>
        <v/>
      </c>
      <c r="AQ188" s="61">
        <f>SUMIFS([1]инфо!$H$15:$H$28,[1]инфо!$A$15:$A$28,F188)</f>
        <v/>
      </c>
      <c r="AR188" s="62">
        <f>IF(H187=0,0,AC188/H187)</f>
        <v/>
      </c>
      <c r="AS188" s="63">
        <f>AR188-AQ188</f>
        <v/>
      </c>
      <c r="AT188" s="61">
        <f>SUMIFS([1]инфо!$I$15:$I$28,[1]инфо!$A$15:$A$28,F188)</f>
        <v/>
      </c>
      <c r="AU188" s="62">
        <f>IF(H188=0,0,AD188/H188)</f>
        <v/>
      </c>
      <c r="AV188" s="63">
        <f>AU188-AT188</f>
        <v/>
      </c>
      <c r="AX188" s="59">
        <f>SUMIFS([1]инфо!$C$15:$C$28,[1]инфо!$A$15:$A$28,F188)*H187</f>
        <v/>
      </c>
    </row>
    <row r="189">
      <c r="A189" s="71">
        <f>A187+1</f>
        <v/>
      </c>
      <c r="B189" s="86" t="inlineStr">
        <is>
          <t>0110</t>
        </is>
      </c>
      <c r="C189" s="52" t="inlineStr">
        <is>
          <t>Линия 1</t>
        </is>
      </c>
      <c r="D189" s="53" t="inlineStr">
        <is>
          <t>ночь</t>
        </is>
      </c>
      <c r="E189" s="66" t="inlineStr">
        <is>
          <t>Монаев</t>
        </is>
      </c>
      <c r="F189" s="67" t="inlineStr">
        <is>
          <t>плоский 10</t>
        </is>
      </c>
      <c r="G189" s="68" t="n">
        <v>27</v>
      </c>
      <c r="H189" s="68" t="n">
        <v>750</v>
      </c>
      <c r="I189" s="57">
        <f>IFERROR(H189*VLOOKUP(F189,[1]инфо!$A$15:$C$28,3,FALSE)/1000,0)</f>
        <v/>
      </c>
      <c r="J189" s="55" t="n">
        <v>650</v>
      </c>
      <c r="K189" s="68" t="n"/>
      <c r="L189" s="68" t="n"/>
      <c r="M189" s="55" t="n">
        <v>134</v>
      </c>
      <c r="N189" s="55" t="n">
        <v>2734</v>
      </c>
      <c r="O189" s="58" t="n">
        <v>6410</v>
      </c>
      <c r="P189" s="58" t="n">
        <v>10933</v>
      </c>
      <c r="Q189" s="58" t="n"/>
      <c r="R189" s="58" t="n"/>
      <c r="S189" s="59">
        <f>SUM(O189:R189)</f>
        <v/>
      </c>
      <c r="T189" s="52" t="n"/>
      <c r="U189" s="53" t="n"/>
      <c r="V189" s="58" t="n"/>
      <c r="W189" s="68" t="n">
        <v>810</v>
      </c>
      <c r="X189" s="58" t="n"/>
      <c r="Y189" s="52" t="n">
        <v>270</v>
      </c>
      <c r="Z189" s="58" t="n"/>
      <c r="AA189" s="58" t="n"/>
      <c r="AB189" s="58" t="n"/>
      <c r="AC189" s="69" t="n">
        <v>270</v>
      </c>
      <c r="AD189" s="53" t="n"/>
      <c r="AE189" s="61">
        <f>SUMIFS([1]инфо!$D$15:$D$28,[1]инфо!$A$15:$A$28,F189)</f>
        <v/>
      </c>
      <c r="AF189" s="62">
        <f>IF(H189=0,0,N189/H189)</f>
        <v/>
      </c>
      <c r="AG189" s="63">
        <f>AF189-AE189</f>
        <v/>
      </c>
      <c r="AH189" s="61">
        <f>SUMIFS([1]инфо!$E$15:$E$28,[1]инфо!$A$15:$A$28,F189)</f>
        <v/>
      </c>
      <c r="AI189" s="64">
        <f>IF(H189=0,0,S189/H189)</f>
        <v/>
      </c>
      <c r="AJ189" s="63">
        <f>AI189-AH189</f>
        <v/>
      </c>
      <c r="AK189" s="61">
        <f>SUMIFS([1]инфо!$F$15:$F$28,[1]инфо!$A$15:$A$28,F189)</f>
        <v/>
      </c>
      <c r="AL189" s="64">
        <f>IF(H189=0,0,Y189/H189)</f>
        <v/>
      </c>
      <c r="AM189" s="63">
        <f>AL189-AK189</f>
        <v/>
      </c>
      <c r="AN189" s="61">
        <f>SUMIFS([1]инфо!$G$15:$G$28,[1]инфо!$A$15:$A$28,F189)</f>
        <v/>
      </c>
      <c r="AO189" s="64">
        <f>IF(H189=0,0,AA189/H189)</f>
        <v/>
      </c>
      <c r="AP189" s="63">
        <f>AO189-AN189</f>
        <v/>
      </c>
      <c r="AQ189" s="61">
        <f>SUMIFS([1]инфо!$H$15:$H$28,[1]инфо!$A$15:$A$28,F189)</f>
        <v/>
      </c>
      <c r="AR189" s="62">
        <f>IF(H188=0,0,AC189/H188)</f>
        <v/>
      </c>
      <c r="AS189" s="63">
        <f>AR189-AQ189</f>
        <v/>
      </c>
      <c r="AT189" s="61">
        <f>SUMIFS([1]инфо!$I$15:$I$28,[1]инфо!$A$15:$A$28,F189)</f>
        <v/>
      </c>
      <c r="AU189" s="62">
        <f>IF(H189=0,0,AD189/H189)</f>
        <v/>
      </c>
      <c r="AV189" s="63">
        <f>AU189-AT189</f>
        <v/>
      </c>
      <c r="AX189" s="59">
        <f>SUMIFS([1]инфо!$C$15:$C$28,[1]инфо!$A$15:$A$28,F189)*H188</f>
        <v/>
      </c>
    </row>
    <row r="190">
      <c r="A190" s="71">
        <f>A188+1</f>
        <v/>
      </c>
      <c r="B190" s="86" t="inlineStr">
        <is>
          <t>0111</t>
        </is>
      </c>
      <c r="C190" s="77" t="inlineStr">
        <is>
          <t>Линия 1</t>
        </is>
      </c>
      <c r="D190" s="78" t="inlineStr">
        <is>
          <t>день</t>
        </is>
      </c>
      <c r="E190" s="66" t="inlineStr">
        <is>
          <t>Султанулы</t>
        </is>
      </c>
      <c r="F190" s="67" t="inlineStr">
        <is>
          <t>плоский 10</t>
        </is>
      </c>
      <c r="G190" s="68" t="n">
        <v>10</v>
      </c>
      <c r="H190" s="68" t="n">
        <v>150</v>
      </c>
      <c r="I190" s="57">
        <f>IFERROR(H190*VLOOKUP(F190,[1]инфо!$A$15:$C$28,3,FALSE)/1000,0)</f>
        <v/>
      </c>
      <c r="J190" s="55" t="n">
        <v>450</v>
      </c>
      <c r="K190" s="68" t="n"/>
      <c r="L190" s="68" t="n"/>
      <c r="M190" s="55" t="n">
        <v>22</v>
      </c>
      <c r="N190" s="56" t="n">
        <v>1008</v>
      </c>
      <c r="O190" s="79" t="n">
        <v>3204</v>
      </c>
      <c r="P190" s="79" t="n">
        <v>3210</v>
      </c>
      <c r="Q190" s="79" t="n"/>
      <c r="R190" s="79" t="n"/>
      <c r="S190" s="80">
        <f>SUM(O190:R190)</f>
        <v/>
      </c>
      <c r="T190" s="77" t="n"/>
      <c r="U190" s="78" t="n">
        <v>2</v>
      </c>
      <c r="V190" s="79" t="n"/>
      <c r="W190" s="68" t="n">
        <v>300</v>
      </c>
      <c r="X190" s="79" t="n"/>
      <c r="Y190" s="77" t="n">
        <v>100</v>
      </c>
      <c r="Z190" s="79" t="n"/>
      <c r="AA190" s="79" t="n"/>
      <c r="AB190" s="79" t="n"/>
      <c r="AC190" s="69" t="n">
        <v>100</v>
      </c>
      <c r="AD190" s="78" t="n">
        <v>45</v>
      </c>
      <c r="AE190" s="81">
        <f>SUMIFS([1]инфо!$D$15:$D$28,[1]инфо!$A$15:$A$28,F190)</f>
        <v/>
      </c>
      <c r="AF190" s="62">
        <f>IF(H190=0,0,N190/H190)</f>
        <v/>
      </c>
      <c r="AG190" s="82">
        <f>AF190-AE190</f>
        <v/>
      </c>
      <c r="AH190" s="81">
        <f>SUMIFS([1]инфо!$E$15:$E$28,[1]инфо!$A$15:$A$28,F190)</f>
        <v/>
      </c>
      <c r="AI190" s="64">
        <f>IF(H190=0,0,S190/H190)</f>
        <v/>
      </c>
      <c r="AJ190" s="82">
        <f>AI190-AH190</f>
        <v/>
      </c>
      <c r="AK190" s="81">
        <f>SUMIFS([1]инфо!$F$15:$F$28,[1]инфо!$A$15:$A$28,F190)</f>
        <v/>
      </c>
      <c r="AL190" s="64">
        <f>IF(H190=0,0,Y190/H190)</f>
        <v/>
      </c>
      <c r="AM190" s="82">
        <f>AL190-AK190</f>
        <v/>
      </c>
      <c r="AN190" s="81">
        <f>SUMIFS([1]инфо!$G$15:$G$28,[1]инфо!$A$15:$A$28,F190)</f>
        <v/>
      </c>
      <c r="AO190" s="64">
        <f>IF(H190=0,0,AA190/H190)</f>
        <v/>
      </c>
      <c r="AP190" s="82">
        <f>AO190-AN190</f>
        <v/>
      </c>
      <c r="AQ190" s="81">
        <f>SUMIFS([1]инфо!$H$15:$H$28,[1]инфо!$A$15:$A$28,F190)</f>
        <v/>
      </c>
      <c r="AR190" s="85">
        <f>IF(H189=0,0,AC190/H189)</f>
        <v/>
      </c>
      <c r="AS190" s="82">
        <f>AR190-AQ190</f>
        <v/>
      </c>
      <c r="AT190" s="81">
        <f>SUMIFS([1]инфо!$I$15:$I$28,[1]инфо!$A$15:$A$28,F190)</f>
        <v/>
      </c>
      <c r="AU190" s="62">
        <f>IF(H190=0,0,AD190/H190)</f>
        <v/>
      </c>
      <c r="AV190" s="82">
        <f>AU190-AT190</f>
        <v/>
      </c>
      <c r="AX190" s="80">
        <f>SUMIFS([1]инфо!$C$15:$C$28,[1]инфо!$A$15:$A$28,F190)*H189</f>
        <v/>
      </c>
    </row>
    <row r="191">
      <c r="A191" s="71">
        <f>A189+1</f>
        <v/>
      </c>
      <c r="B191" s="86" t="inlineStr">
        <is>
          <t>0112</t>
        </is>
      </c>
      <c r="C191" s="72" t="inlineStr">
        <is>
          <t>Линия 1</t>
        </is>
      </c>
      <c r="D191" s="73" t="inlineStr">
        <is>
          <t>ночь</t>
        </is>
      </c>
      <c r="E191" s="66" t="inlineStr">
        <is>
          <t>Бекбосынов</t>
        </is>
      </c>
      <c r="F191" s="67" t="inlineStr">
        <is>
          <t>плоский 10</t>
        </is>
      </c>
      <c r="G191" s="68" t="n">
        <v>43</v>
      </c>
      <c r="H191" s="68" t="n">
        <v>1150</v>
      </c>
      <c r="I191" s="57">
        <f>IFERROR(H191*VLOOKUP(F191,[1]инфо!$A$15:$C$28,3,FALSE)/1000,0)</f>
        <v/>
      </c>
      <c r="J191" s="55" t="n">
        <v>850</v>
      </c>
      <c r="K191" s="68" t="n"/>
      <c r="L191" s="68" t="n"/>
      <c r="M191" s="55" t="n">
        <v>46</v>
      </c>
      <c r="N191" s="67" t="n">
        <v>4452</v>
      </c>
      <c r="O191" s="74" t="n">
        <v>13455</v>
      </c>
      <c r="P191" s="74" t="n">
        <v>14787</v>
      </c>
      <c r="Q191" s="74" t="n"/>
      <c r="R191" s="74" t="n"/>
      <c r="S191" s="70">
        <f>SUM(O191:R191)</f>
        <v/>
      </c>
      <c r="T191" s="72" t="n"/>
      <c r="U191" s="73" t="n"/>
      <c r="V191" s="74" t="n"/>
      <c r="W191" s="87" t="n">
        <v>1.29</v>
      </c>
      <c r="X191" s="74" t="n"/>
      <c r="Y191" s="72" t="n">
        <v>232</v>
      </c>
      <c r="Z191" s="74" t="n"/>
      <c r="AA191" s="74" t="n"/>
      <c r="AB191" s="74" t="n"/>
      <c r="AC191" s="69" t="n">
        <v>430</v>
      </c>
      <c r="AD191" s="73" t="n">
        <v>190</v>
      </c>
      <c r="AE191" s="75">
        <f>SUMIFS([1]инфо!$D$15:$D$28,[1]инфо!$A$15:$A$28,F191)</f>
        <v/>
      </c>
      <c r="AF191" s="62">
        <f>IF(H191=0,0,N191/H191)</f>
        <v/>
      </c>
      <c r="AG191" s="76">
        <f>AF191-AE191</f>
        <v/>
      </c>
      <c r="AH191" s="75">
        <f>SUMIFS([1]инфо!$E$15:$E$28,[1]инфо!$A$15:$A$28,F191)</f>
        <v/>
      </c>
      <c r="AI191" s="64">
        <f>IF(H191=0,0,S191/H191)</f>
        <v/>
      </c>
      <c r="AJ191" s="76">
        <f>AI191-AH191</f>
        <v/>
      </c>
      <c r="AK191" s="75">
        <f>SUMIFS([1]инфо!$F$15:$F$28,[1]инфо!$A$15:$A$28,F191)</f>
        <v/>
      </c>
      <c r="AL191" s="64">
        <f>IF(H191=0,0,Y191/H191)</f>
        <v/>
      </c>
      <c r="AM191" s="76">
        <f>AL191-AK191</f>
        <v/>
      </c>
      <c r="AN191" s="75">
        <f>SUMIFS([1]инфо!$G$15:$G$28,[1]инфо!$A$15:$A$28,F191)</f>
        <v/>
      </c>
      <c r="AO191" s="64">
        <f>IF(H191=0,0,AA191/H191)</f>
        <v/>
      </c>
      <c r="AP191" s="76">
        <f>AO191-AN191</f>
        <v/>
      </c>
      <c r="AQ191" s="75">
        <f>SUMIFS([1]инфо!$H$15:$H$28,[1]инфо!$A$15:$A$28,F191)</f>
        <v/>
      </c>
      <c r="AR191" s="64">
        <f>IF(H190=0,0,AC191/H190)</f>
        <v/>
      </c>
      <c r="AS191" s="76">
        <f>AR191-AQ191</f>
        <v/>
      </c>
      <c r="AT191" s="75">
        <f>SUMIFS([1]инфо!$I$15:$I$28,[1]инфо!$A$15:$A$28,F191)</f>
        <v/>
      </c>
      <c r="AU191" s="62">
        <f>IF(H191=0,0,AD191/H191)</f>
        <v/>
      </c>
      <c r="AV191" s="76">
        <f>AU191-AT191</f>
        <v/>
      </c>
      <c r="AX191" s="70">
        <f>SUMIFS([1]инфо!$C$15:$C$28,[1]инфо!$A$15:$A$28,F191)*H190</f>
        <v/>
      </c>
    </row>
    <row r="192">
      <c r="A192" s="71">
        <f>A190+1</f>
        <v/>
      </c>
      <c r="B192" s="86" t="inlineStr">
        <is>
          <t>0113</t>
        </is>
      </c>
      <c r="C192" s="52" t="inlineStr">
        <is>
          <t>Линия 1</t>
        </is>
      </c>
      <c r="D192" s="53" t="inlineStr">
        <is>
          <t>день</t>
        </is>
      </c>
      <c r="E192" s="66" t="inlineStr">
        <is>
          <t>Дауылбай</t>
        </is>
      </c>
      <c r="F192" s="67" t="inlineStr">
        <is>
          <t>плоский 10</t>
        </is>
      </c>
      <c r="G192" s="68" t="n">
        <v>37</v>
      </c>
      <c r="H192" s="68" t="n">
        <v>850</v>
      </c>
      <c r="I192" s="57">
        <f>IFERROR(H192*VLOOKUP(F192,[1]инфо!$A$15:$C$28,3,FALSE)/1000,0)</f>
        <v/>
      </c>
      <c r="J192" s="55" t="n">
        <v>900</v>
      </c>
      <c r="K192" s="68" t="n">
        <v>1</v>
      </c>
      <c r="L192" s="68" t="n"/>
      <c r="M192" s="55" t="n">
        <v>78</v>
      </c>
      <c r="N192" s="55" t="n">
        <v>3754</v>
      </c>
      <c r="O192" s="58" t="n">
        <v>12233</v>
      </c>
      <c r="P192" s="58" t="n">
        <v>11535</v>
      </c>
      <c r="Q192" s="58" t="n"/>
      <c r="R192" s="58" t="n"/>
      <c r="S192" s="59">
        <f>SUM(O192:R192)</f>
        <v/>
      </c>
      <c r="T192" s="52" t="n"/>
      <c r="U192" s="53" t="n"/>
      <c r="V192" s="58" t="n"/>
      <c r="W192" s="87" t="n">
        <v>1.11</v>
      </c>
      <c r="X192" s="58" t="n"/>
      <c r="Y192" s="52" t="n">
        <v>370</v>
      </c>
      <c r="Z192" s="58" t="n"/>
      <c r="AA192" s="58" t="n"/>
      <c r="AB192" s="58" t="n"/>
      <c r="AC192" s="69" t="n">
        <v>370</v>
      </c>
      <c r="AD192" s="53" t="n">
        <v>185</v>
      </c>
      <c r="AE192" s="61">
        <f>SUMIFS([1]инфо!$D$15:$D$28,[1]инфо!$A$15:$A$28,F192)</f>
        <v/>
      </c>
      <c r="AF192" s="62">
        <f>IF(H192=0,0,N192/H192)</f>
        <v/>
      </c>
      <c r="AG192" s="63">
        <f>AF192-AE192</f>
        <v/>
      </c>
      <c r="AH192" s="61">
        <f>SUMIFS([1]инфо!$E$15:$E$28,[1]инфо!$A$15:$A$28,F192)</f>
        <v/>
      </c>
      <c r="AI192" s="64">
        <f>IF(H192=0,0,S192/H192)</f>
        <v/>
      </c>
      <c r="AJ192" s="63">
        <f>AI192-AH192</f>
        <v/>
      </c>
      <c r="AK192" s="61">
        <f>SUMIFS([1]инфо!$F$15:$F$28,[1]инфо!$A$15:$A$28,F192)</f>
        <v/>
      </c>
      <c r="AL192" s="64">
        <f>IF(H192=0,0,Y192/H192)</f>
        <v/>
      </c>
      <c r="AM192" s="63">
        <f>AL192-AK192</f>
        <v/>
      </c>
      <c r="AN192" s="61">
        <f>SUMIFS([1]инфо!$G$15:$G$28,[1]инфо!$A$15:$A$28,F192)</f>
        <v/>
      </c>
      <c r="AO192" s="64">
        <f>IF(H192=0,0,AA192/H192)</f>
        <v/>
      </c>
      <c r="AP192" s="63">
        <f>AO192-AN192</f>
        <v/>
      </c>
      <c r="AQ192" s="61">
        <f>SUMIFS([1]инфо!$H$15:$H$28,[1]инфо!$A$15:$A$28,F192)</f>
        <v/>
      </c>
      <c r="AR192" s="62">
        <f>IF(H191=0,0,AC192/H191)</f>
        <v/>
      </c>
      <c r="AS192" s="63">
        <f>AR192-AQ192</f>
        <v/>
      </c>
      <c r="AT192" s="61">
        <f>SUMIFS([1]инфо!$I$15:$I$28,[1]инфо!$A$15:$A$28,F192)</f>
        <v/>
      </c>
      <c r="AU192" s="62">
        <f>IF(H192=0,0,AD192/H192)</f>
        <v/>
      </c>
      <c r="AV192" s="63">
        <f>AU192-AT192</f>
        <v/>
      </c>
      <c r="AX192" s="59">
        <f>SUMIFS([1]инфо!$C$15:$C$28,[1]инфо!$A$15:$A$28,F192)*H191</f>
        <v/>
      </c>
    </row>
    <row r="193">
      <c r="A193" s="71">
        <f>A191+1</f>
        <v/>
      </c>
      <c r="B193" s="86" t="inlineStr">
        <is>
          <t>0114</t>
        </is>
      </c>
      <c r="C193" s="52" t="inlineStr">
        <is>
          <t>Линия 1</t>
        </is>
      </c>
      <c r="D193" s="53" t="inlineStr">
        <is>
          <t>ночь</t>
        </is>
      </c>
      <c r="E193" s="66" t="inlineStr">
        <is>
          <t>Султанулы</t>
        </is>
      </c>
      <c r="F193" s="67" t="inlineStr">
        <is>
          <t>плоский 10</t>
        </is>
      </c>
      <c r="G193" s="68" t="n">
        <v>48</v>
      </c>
      <c r="H193" s="68" t="n">
        <v>1150</v>
      </c>
      <c r="I193" s="57">
        <f>IFERROR(H193*VLOOKUP(F193,[1]инфо!$A$15:$C$28,3,FALSE)/1000,0)</f>
        <v/>
      </c>
      <c r="J193" s="55" t="n">
        <v>1150</v>
      </c>
      <c r="K193" s="68" t="n"/>
      <c r="L193" s="68" t="n"/>
      <c r="M193" s="55" t="n">
        <v>48</v>
      </c>
      <c r="N193" s="55" t="n">
        <v>4829</v>
      </c>
      <c r="O193" s="58" t="n">
        <v>16003</v>
      </c>
      <c r="P193" s="58" t="n">
        <v>14756</v>
      </c>
      <c r="Q193" s="58" t="n"/>
      <c r="R193" s="58" t="n"/>
      <c r="S193" s="59">
        <f>SUM(O193:R193)</f>
        <v/>
      </c>
      <c r="T193" s="52" t="n"/>
      <c r="U193" s="53" t="n"/>
      <c r="V193" s="58" t="n"/>
      <c r="W193" s="68" t="n">
        <v>1440</v>
      </c>
      <c r="X193" s="58" t="n"/>
      <c r="Y193" s="52" t="n">
        <v>480</v>
      </c>
      <c r="Z193" s="58" t="n"/>
      <c r="AA193" s="58" t="n"/>
      <c r="AB193" s="58" t="n"/>
      <c r="AC193" s="69" t="n">
        <v>480</v>
      </c>
      <c r="AD193" s="53" t="n">
        <v>240</v>
      </c>
      <c r="AE193" s="61">
        <f>SUMIFS([1]инфо!$D$15:$D$28,[1]инфо!$A$15:$A$28,F193)</f>
        <v/>
      </c>
      <c r="AF193" s="62">
        <f>IF(H193=0,0,N193/H193)</f>
        <v/>
      </c>
      <c r="AG193" s="63">
        <f>AF193-AE193</f>
        <v/>
      </c>
      <c r="AH193" s="61">
        <f>SUMIFS([1]инфо!$E$15:$E$28,[1]инфо!$A$15:$A$28,F193)</f>
        <v/>
      </c>
      <c r="AI193" s="64">
        <f>IF(H193=0,0,S193/H193)</f>
        <v/>
      </c>
      <c r="AJ193" s="63">
        <f>AI193-AH193</f>
        <v/>
      </c>
      <c r="AK193" s="61">
        <f>SUMIFS([1]инфо!$F$15:$F$28,[1]инфо!$A$15:$A$28,F193)</f>
        <v/>
      </c>
      <c r="AL193" s="64">
        <f>IF(H193=0,0,Y193/H193)</f>
        <v/>
      </c>
      <c r="AM193" s="63">
        <f>AL193-AK193</f>
        <v/>
      </c>
      <c r="AN193" s="61">
        <f>SUMIFS([1]инфо!$G$15:$G$28,[1]инфо!$A$15:$A$28,F193)</f>
        <v/>
      </c>
      <c r="AO193" s="64">
        <f>IF(H193=0,0,AA193/H193)</f>
        <v/>
      </c>
      <c r="AP193" s="63">
        <f>AO193-AN193</f>
        <v/>
      </c>
      <c r="AQ193" s="61">
        <f>SUMIFS([1]инфо!$H$15:$H$28,[1]инфо!$A$15:$A$28,F193)</f>
        <v/>
      </c>
      <c r="AR193" s="62">
        <f>IF(H192=0,0,AC193/H192)</f>
        <v/>
      </c>
      <c r="AS193" s="63">
        <f>AR193-AQ193</f>
        <v/>
      </c>
      <c r="AT193" s="61">
        <f>SUMIFS([1]инфо!$I$15:$I$28,[1]инфо!$A$15:$A$28,F193)</f>
        <v/>
      </c>
      <c r="AU193" s="62">
        <f>IF(H193=0,0,AD193/H193)</f>
        <v/>
      </c>
      <c r="AV193" s="63">
        <f>AU193-AT193</f>
        <v/>
      </c>
      <c r="AX193" s="59">
        <f>SUMIFS([1]инфо!$C$15:$C$28,[1]инфо!$A$15:$A$28,F193)*H192</f>
        <v/>
      </c>
    </row>
    <row r="194">
      <c r="A194" s="71">
        <f>A192+1</f>
        <v/>
      </c>
      <c r="B194" s="86" t="inlineStr">
        <is>
          <t>0115</t>
        </is>
      </c>
      <c r="C194" s="77" t="inlineStr">
        <is>
          <t>Линия 1</t>
        </is>
      </c>
      <c r="D194" s="78" t="inlineStr">
        <is>
          <t>день</t>
        </is>
      </c>
      <c r="E194" s="66" t="inlineStr">
        <is>
          <t>Монаев</t>
        </is>
      </c>
      <c r="F194" s="67" t="inlineStr">
        <is>
          <t>плоский 10</t>
        </is>
      </c>
      <c r="G194" s="68" t="n">
        <v>33</v>
      </c>
      <c r="H194" s="68" t="n">
        <v>900</v>
      </c>
      <c r="I194" s="57">
        <f>IFERROR(H194*VLOOKUP(F194,[1]инфо!$A$15:$C$28,3,FALSE)/1000,0)</f>
        <v/>
      </c>
      <c r="J194" s="55" t="n">
        <v>900</v>
      </c>
      <c r="K194" s="55" t="n">
        <v>2</v>
      </c>
      <c r="L194" s="68" t="n"/>
      <c r="M194" s="55" t="n">
        <v>95</v>
      </c>
      <c r="N194" s="56" t="n">
        <v>3328</v>
      </c>
      <c r="O194" s="79" t="n">
        <v>10893</v>
      </c>
      <c r="P194" s="79" t="n">
        <v>10301</v>
      </c>
      <c r="Q194" s="79" t="n"/>
      <c r="R194" s="79" t="n"/>
      <c r="S194" s="80">
        <f>SUM(O194:R194)</f>
        <v/>
      </c>
      <c r="T194" s="77" t="n"/>
      <c r="U194" s="78" t="n"/>
      <c r="V194" s="79" t="n"/>
      <c r="W194" s="68" t="n">
        <v>990</v>
      </c>
      <c r="X194" s="79" t="n"/>
      <c r="Y194" s="77" t="n">
        <v>330</v>
      </c>
      <c r="Z194" s="79" t="n"/>
      <c r="AA194" s="79" t="n"/>
      <c r="AB194" s="79" t="n"/>
      <c r="AC194" s="69" t="n">
        <v>330</v>
      </c>
      <c r="AD194" s="78" t="n">
        <v>110</v>
      </c>
      <c r="AE194" s="81">
        <f>SUMIFS([1]инфо!$D$15:$D$28,[1]инфо!$A$15:$A$28,F194)</f>
        <v/>
      </c>
      <c r="AF194" s="62">
        <f>IF(H194=0,0,N194/H194)</f>
        <v/>
      </c>
      <c r="AG194" s="82">
        <f>AF194-AE194</f>
        <v/>
      </c>
      <c r="AH194" s="81">
        <f>SUMIFS([1]инфо!$E$15:$E$28,[1]инфо!$A$15:$A$28,F194)</f>
        <v/>
      </c>
      <c r="AI194" s="64">
        <f>IF(H194=0,0,S194/H194)</f>
        <v/>
      </c>
      <c r="AJ194" s="82">
        <f>AI194-AH194</f>
        <v/>
      </c>
      <c r="AK194" s="81">
        <f>SUMIFS([1]инфо!$F$15:$F$28,[1]инфо!$A$15:$A$28,F194)</f>
        <v/>
      </c>
      <c r="AL194" s="64">
        <f>IF(H194=0,0,Y194/H194)</f>
        <v/>
      </c>
      <c r="AM194" s="82">
        <f>AL194-AK194</f>
        <v/>
      </c>
      <c r="AN194" s="81">
        <f>SUMIFS([1]инфо!$G$15:$G$28,[1]инфо!$A$15:$A$28,F194)</f>
        <v/>
      </c>
      <c r="AO194" s="64">
        <f>IF(H194=0,0,AA194/H194)</f>
        <v/>
      </c>
      <c r="AP194" s="82">
        <f>AO194-AN194</f>
        <v/>
      </c>
      <c r="AQ194" s="81">
        <f>SUMIFS([1]инфо!$H$15:$H$28,[1]инфо!$A$15:$A$28,F194)</f>
        <v/>
      </c>
      <c r="AR194" s="85">
        <f>IF(H193=0,0,AC194/H193)</f>
        <v/>
      </c>
      <c r="AS194" s="82">
        <f>AR194-AQ194</f>
        <v/>
      </c>
      <c r="AT194" s="81">
        <f>SUMIFS([1]инфо!$I$15:$I$28,[1]инфо!$A$15:$A$28,F194)</f>
        <v/>
      </c>
      <c r="AU194" s="62">
        <f>IF(H194=0,0,AD194/H194)</f>
        <v/>
      </c>
      <c r="AV194" s="82">
        <f>AU194-AT194</f>
        <v/>
      </c>
      <c r="AX194" s="80">
        <f>SUMIFS([1]инфо!$C$15:$C$28,[1]инфо!$A$15:$A$28,F194)*H193</f>
        <v/>
      </c>
    </row>
    <row r="195">
      <c r="A195" s="71">
        <f>A193+1</f>
        <v/>
      </c>
      <c r="B195" s="86" t="inlineStr">
        <is>
          <t>0116</t>
        </is>
      </c>
      <c r="C195" s="72" t="inlineStr">
        <is>
          <t>Линия 1</t>
        </is>
      </c>
      <c r="D195" s="73" t="inlineStr">
        <is>
          <t>ночь</t>
        </is>
      </c>
      <c r="E195" s="66" t="inlineStr">
        <is>
          <t>Султанулы</t>
        </is>
      </c>
      <c r="F195" s="67" t="inlineStr">
        <is>
          <t>плоский 10</t>
        </is>
      </c>
      <c r="G195" s="68" t="n">
        <v>38</v>
      </c>
      <c r="H195" s="68" t="n">
        <v>1000</v>
      </c>
      <c r="I195" s="57">
        <f>IFERROR(H195*VLOOKUP(F195,[1]инфо!$A$15:$C$28,3,FALSE)/1000,0)</f>
        <v/>
      </c>
      <c r="J195" s="55" t="n">
        <v>950</v>
      </c>
      <c r="K195" s="55" t="n"/>
      <c r="L195" s="68" t="n"/>
      <c r="M195" s="55" t="n">
        <v>173</v>
      </c>
      <c r="N195" s="67" t="n">
        <v>3841</v>
      </c>
      <c r="O195" s="74" t="n">
        <v>13463</v>
      </c>
      <c r="P195" s="74" t="n">
        <v>10926</v>
      </c>
      <c r="Q195" s="74" t="n"/>
      <c r="R195" s="74" t="n"/>
      <c r="S195" s="70">
        <f>SUM(O195:R195)</f>
        <v/>
      </c>
      <c r="T195" s="72" t="n"/>
      <c r="U195" s="73" t="n"/>
      <c r="V195" s="74" t="n"/>
      <c r="W195" s="68" t="n">
        <v>1140</v>
      </c>
      <c r="X195" s="74" t="n"/>
      <c r="Y195" s="72" t="n">
        <v>380</v>
      </c>
      <c r="Z195" s="74" t="n"/>
      <c r="AA195" s="74" t="n"/>
      <c r="AB195" s="74" t="n"/>
      <c r="AC195" s="69" t="n">
        <v>380</v>
      </c>
      <c r="AD195" s="73" t="n">
        <v>190</v>
      </c>
      <c r="AE195" s="75">
        <f>SUMIFS([1]инфо!$D$15:$D$28,[1]инфо!$A$15:$A$28,F195)</f>
        <v/>
      </c>
      <c r="AF195" s="62">
        <f>IF(H195=0,0,N195/H195)</f>
        <v/>
      </c>
      <c r="AG195" s="76">
        <f>AF195-AE195</f>
        <v/>
      </c>
      <c r="AH195" s="75">
        <f>SUMIFS([1]инфо!$E$15:$E$28,[1]инфо!$A$15:$A$28,F195)</f>
        <v/>
      </c>
      <c r="AI195" s="64">
        <f>IF(H195=0,0,S195/H195)</f>
        <v/>
      </c>
      <c r="AJ195" s="76">
        <f>AI195-AH195</f>
        <v/>
      </c>
      <c r="AK195" s="75">
        <f>SUMIFS([1]инфо!$F$15:$F$28,[1]инфо!$A$15:$A$28,F195)</f>
        <v/>
      </c>
      <c r="AL195" s="64">
        <f>IF(H195=0,0,Y195/H195)</f>
        <v/>
      </c>
      <c r="AM195" s="76">
        <f>AL195-AK195</f>
        <v/>
      </c>
      <c r="AN195" s="75">
        <f>SUMIFS([1]инфо!$G$15:$G$28,[1]инфо!$A$15:$A$28,F195)</f>
        <v/>
      </c>
      <c r="AO195" s="64">
        <f>IF(H195=0,0,AA195/H195)</f>
        <v/>
      </c>
      <c r="AP195" s="76">
        <f>AO195-AN195</f>
        <v/>
      </c>
      <c r="AQ195" s="75">
        <f>SUMIFS([1]инфо!$H$15:$H$28,[1]инфо!$A$15:$A$28,F195)</f>
        <v/>
      </c>
      <c r="AR195" s="64">
        <f>IF(H194=0,0,AC195/H194)</f>
        <v/>
      </c>
      <c r="AS195" s="76">
        <f>AR195-AQ195</f>
        <v/>
      </c>
      <c r="AT195" s="75">
        <f>SUMIFS([1]инфо!$I$15:$I$28,[1]инфо!$A$15:$A$28,F195)</f>
        <v/>
      </c>
      <c r="AU195" s="62">
        <f>IF(H195=0,0,AD195/H195)</f>
        <v/>
      </c>
      <c r="AV195" s="76">
        <f>AU195-AT195</f>
        <v/>
      </c>
      <c r="AX195" s="70">
        <f>SUMIFS([1]инфо!$C$15:$C$28,[1]инфо!$A$15:$A$28,F195)*H194</f>
        <v/>
      </c>
    </row>
    <row r="196">
      <c r="A196" s="71">
        <f>A194+1</f>
        <v/>
      </c>
      <c r="B196" s="86" t="inlineStr">
        <is>
          <t>0117</t>
        </is>
      </c>
      <c r="C196" s="52" t="inlineStr">
        <is>
          <t>Линия 1</t>
        </is>
      </c>
      <c r="D196" s="53" t="inlineStr">
        <is>
          <t>день</t>
        </is>
      </c>
      <c r="E196" s="66" t="inlineStr">
        <is>
          <t>Бекбосынов</t>
        </is>
      </c>
      <c r="F196" s="67" t="inlineStr">
        <is>
          <t>плоский 10</t>
        </is>
      </c>
      <c r="G196" s="68" t="n">
        <v>32</v>
      </c>
      <c r="H196" s="68" t="n">
        <v>770</v>
      </c>
      <c r="I196" s="57">
        <f>IFERROR(H196*VLOOKUP(F196,[1]инфо!$A$15:$C$28,3,FALSE)/1000,0)</f>
        <v/>
      </c>
      <c r="J196" s="55" t="n">
        <v>1000</v>
      </c>
      <c r="K196" s="55" t="n"/>
      <c r="L196" s="68" t="n"/>
      <c r="M196" s="55" t="n">
        <v>54</v>
      </c>
      <c r="N196" s="55" t="n">
        <v>3235</v>
      </c>
      <c r="O196" s="58" t="n">
        <v>9650</v>
      </c>
      <c r="P196" s="58" t="n">
        <v>10885</v>
      </c>
      <c r="Q196" s="58" t="n"/>
      <c r="R196" s="58" t="n"/>
      <c r="S196" s="59">
        <f>SUM(O196:R196)</f>
        <v/>
      </c>
      <c r="T196" s="52" t="n"/>
      <c r="U196" s="53" t="n"/>
      <c r="V196" s="58" t="n"/>
      <c r="W196" s="68" t="n">
        <v>960</v>
      </c>
      <c r="X196" s="58" t="n"/>
      <c r="Y196" s="52" t="n">
        <v>320</v>
      </c>
      <c r="Z196" s="58" t="n"/>
      <c r="AA196" s="58" t="n"/>
      <c r="AB196" s="58" t="n"/>
      <c r="AC196" s="69" t="n">
        <v>320</v>
      </c>
      <c r="AD196" s="53" t="n">
        <v>160</v>
      </c>
      <c r="AE196" s="61">
        <f>SUMIFS([1]инфо!$D$15:$D$28,[1]инфо!$A$15:$A$28,F196)</f>
        <v/>
      </c>
      <c r="AF196" s="62">
        <f>IF(H196=0,0,N196/H196)</f>
        <v/>
      </c>
      <c r="AG196" s="63">
        <f>AF196-AE196</f>
        <v/>
      </c>
      <c r="AH196" s="61">
        <f>SUMIFS([1]инфо!$E$15:$E$28,[1]инфо!$A$15:$A$28,F196)</f>
        <v/>
      </c>
      <c r="AI196" s="64">
        <f>IF(H196=0,0,S196/H196)</f>
        <v/>
      </c>
      <c r="AJ196" s="63">
        <f>AI196-AH196</f>
        <v/>
      </c>
      <c r="AK196" s="61">
        <f>SUMIFS([1]инфо!$F$15:$F$28,[1]инфо!$A$15:$A$28,F196)</f>
        <v/>
      </c>
      <c r="AL196" s="64">
        <f>IF(H196=0,0,Y196/H196)</f>
        <v/>
      </c>
      <c r="AM196" s="63">
        <f>AL196-AK196</f>
        <v/>
      </c>
      <c r="AN196" s="61">
        <f>SUMIFS([1]инфо!$G$15:$G$28,[1]инфо!$A$15:$A$28,F196)</f>
        <v/>
      </c>
      <c r="AO196" s="64">
        <f>IF(H196=0,0,AA196/H196)</f>
        <v/>
      </c>
      <c r="AP196" s="63">
        <f>AO196-AN196</f>
        <v/>
      </c>
      <c r="AQ196" s="61">
        <f>SUMIFS([1]инфо!$H$15:$H$28,[1]инфо!$A$15:$A$28,F196)</f>
        <v/>
      </c>
      <c r="AR196" s="62">
        <f>IF(H195=0,0,AC196/H195)</f>
        <v/>
      </c>
      <c r="AS196" s="63">
        <f>AR196-AQ196</f>
        <v/>
      </c>
      <c r="AT196" s="61">
        <f>SUMIFS([1]инфо!$I$15:$I$28,[1]инфо!$A$15:$A$28,F196)</f>
        <v/>
      </c>
      <c r="AU196" s="62">
        <f>IF(H196=0,0,AD196/H196)</f>
        <v/>
      </c>
      <c r="AV196" s="63">
        <f>AU196-AT196</f>
        <v/>
      </c>
      <c r="AX196" s="59">
        <f>SUMIFS([1]инфо!$C$15:$C$28,[1]инфо!$A$15:$A$28,F196)*H195</f>
        <v/>
      </c>
    </row>
    <row r="197">
      <c r="A197" s="71">
        <f>A195+1</f>
        <v/>
      </c>
      <c r="B197" s="86" t="inlineStr">
        <is>
          <t>0118</t>
        </is>
      </c>
      <c r="C197" s="52" t="inlineStr">
        <is>
          <t>Линия 1</t>
        </is>
      </c>
      <c r="D197" s="53" t="inlineStr">
        <is>
          <t>ночь</t>
        </is>
      </c>
      <c r="E197" s="66" t="inlineStr">
        <is>
          <t>Монаев</t>
        </is>
      </c>
      <c r="F197" s="67" t="inlineStr">
        <is>
          <t>плоский 10</t>
        </is>
      </c>
      <c r="G197" s="68" t="n">
        <v>32</v>
      </c>
      <c r="H197" s="68" t="n">
        <v>950</v>
      </c>
      <c r="I197" s="57">
        <f>IFERROR(H197*VLOOKUP(F197,[1]инфо!$A$15:$C$28,3,FALSE)/1000,0)</f>
        <v/>
      </c>
      <c r="J197" s="55" t="n">
        <v>750</v>
      </c>
      <c r="K197" s="55" t="n"/>
      <c r="L197" s="68" t="n"/>
      <c r="M197" s="55" t="n">
        <v>60</v>
      </c>
      <c r="N197" s="55" t="n">
        <v>3230</v>
      </c>
      <c r="O197" s="58" t="n">
        <v>10883</v>
      </c>
      <c r="P197" s="58" t="n">
        <v>9656</v>
      </c>
      <c r="Q197" s="58" t="n"/>
      <c r="R197" s="58" t="n"/>
      <c r="S197" s="59">
        <f>SUM(O197:R197)</f>
        <v/>
      </c>
      <c r="T197" s="52" t="n"/>
      <c r="U197" s="53" t="n"/>
      <c r="V197" s="58" t="n"/>
      <c r="W197" s="68" t="n">
        <v>960</v>
      </c>
      <c r="X197" s="58" t="n"/>
      <c r="Y197" s="52" t="n">
        <v>320</v>
      </c>
      <c r="Z197" s="58" t="n"/>
      <c r="AA197" s="58" t="n"/>
      <c r="AB197" s="58" t="n"/>
      <c r="AC197" s="69" t="n">
        <v>320</v>
      </c>
      <c r="AD197" s="53" t="n">
        <v>160</v>
      </c>
      <c r="AE197" s="61">
        <f>SUMIFS([1]инфо!$D$15:$D$28,[1]инфо!$A$15:$A$28,F197)</f>
        <v/>
      </c>
      <c r="AF197" s="62">
        <f>IF(H197=0,0,N197/H197)</f>
        <v/>
      </c>
      <c r="AG197" s="63">
        <f>AF197-AE197</f>
        <v/>
      </c>
      <c r="AH197" s="61">
        <f>SUMIFS([1]инфо!$E$15:$E$28,[1]инфо!$A$15:$A$28,F197)</f>
        <v/>
      </c>
      <c r="AI197" s="64">
        <f>IF(H197=0,0,S197/H197)</f>
        <v/>
      </c>
      <c r="AJ197" s="63">
        <f>AI197-AH197</f>
        <v/>
      </c>
      <c r="AK197" s="61">
        <f>SUMIFS([1]инфо!$F$15:$F$28,[1]инфо!$A$15:$A$28,F197)</f>
        <v/>
      </c>
      <c r="AL197" s="64">
        <f>IF(H197=0,0,Y197/H197)</f>
        <v/>
      </c>
      <c r="AM197" s="63">
        <f>AL197-AK197</f>
        <v/>
      </c>
      <c r="AN197" s="61">
        <f>SUMIFS([1]инфо!$G$15:$G$28,[1]инфо!$A$15:$A$28,F197)</f>
        <v/>
      </c>
      <c r="AO197" s="64">
        <f>IF(H197=0,0,AA197/H197)</f>
        <v/>
      </c>
      <c r="AP197" s="63">
        <f>AO197-AN197</f>
        <v/>
      </c>
      <c r="AQ197" s="61">
        <f>SUMIFS([1]инфо!$H$15:$H$28,[1]инфо!$A$15:$A$28,F197)</f>
        <v/>
      </c>
      <c r="AR197" s="62">
        <f>IF(H196=0,0,AC197/H196)</f>
        <v/>
      </c>
      <c r="AS197" s="63">
        <f>AR197-AQ197</f>
        <v/>
      </c>
      <c r="AT197" s="61">
        <f>SUMIFS([1]инфо!$I$15:$I$28,[1]инфо!$A$15:$A$28,F197)</f>
        <v/>
      </c>
      <c r="AU197" s="62">
        <f>IF(H197=0,0,AD197/H197)</f>
        <v/>
      </c>
      <c r="AV197" s="63">
        <f>AU197-AT197</f>
        <v/>
      </c>
      <c r="AX197" s="59">
        <f>SUMIFS([1]инфо!$C$15:$C$28,[1]инфо!$A$15:$A$28,F197)*H196</f>
        <v/>
      </c>
    </row>
    <row r="198">
      <c r="A198" s="71">
        <f>A196+1</f>
        <v/>
      </c>
      <c r="B198" s="86" t="inlineStr">
        <is>
          <t>0119</t>
        </is>
      </c>
      <c r="C198" s="77" t="inlineStr">
        <is>
          <t>Линия 1</t>
        </is>
      </c>
      <c r="D198" s="78" t="inlineStr">
        <is>
          <t>день</t>
        </is>
      </c>
      <c r="E198" s="66" t="inlineStr">
        <is>
          <t>Султанулы</t>
        </is>
      </c>
      <c r="F198" s="67" t="inlineStr">
        <is>
          <t>плоский 10</t>
        </is>
      </c>
      <c r="G198" s="68" t="n">
        <v>36</v>
      </c>
      <c r="H198" s="68" t="n">
        <v>950</v>
      </c>
      <c r="I198" s="57">
        <f>IFERROR(H198*VLOOKUP(F198,[1]инфо!$A$15:$C$28,3,FALSE)/1000,0)</f>
        <v/>
      </c>
      <c r="J198" s="55" t="n">
        <v>900</v>
      </c>
      <c r="K198" s="55" t="n"/>
      <c r="L198" s="68" t="n"/>
      <c r="M198" s="55" t="n">
        <v>54</v>
      </c>
      <c r="N198" s="56" t="n">
        <v>4626</v>
      </c>
      <c r="O198" s="79" t="n">
        <v>12806</v>
      </c>
      <c r="P198" s="79" t="n">
        <v>10292</v>
      </c>
      <c r="Q198" s="79" t="n"/>
      <c r="R198" s="79" t="n"/>
      <c r="S198" s="80">
        <f>SUM(O198:R198)</f>
        <v/>
      </c>
      <c r="T198" s="77" t="n"/>
      <c r="U198" s="78" t="n"/>
      <c r="V198" s="79" t="n"/>
      <c r="W198" s="68" t="n">
        <v>1080</v>
      </c>
      <c r="X198" s="79" t="n"/>
      <c r="Y198" s="77" t="n">
        <v>360</v>
      </c>
      <c r="Z198" s="79" t="n"/>
      <c r="AA198" s="79" t="n"/>
      <c r="AB198" s="79" t="n"/>
      <c r="AC198" s="69" t="n"/>
      <c r="AD198" s="78" t="n">
        <v>180</v>
      </c>
      <c r="AE198" s="81">
        <f>SUMIFS([1]инфо!$D$15:$D$28,[1]инфо!$A$15:$A$28,F198)</f>
        <v/>
      </c>
      <c r="AF198" s="62">
        <f>IF(H198=0,0,N198/H198)</f>
        <v/>
      </c>
      <c r="AG198" s="82">
        <f>AF198-AE198</f>
        <v/>
      </c>
      <c r="AH198" s="81">
        <f>SUMIFS([1]инфо!$E$15:$E$28,[1]инфо!$A$15:$A$28,F198)</f>
        <v/>
      </c>
      <c r="AI198" s="64">
        <f>IF(H198=0,0,S198/H198)</f>
        <v/>
      </c>
      <c r="AJ198" s="82">
        <f>AI198-AH198</f>
        <v/>
      </c>
      <c r="AK198" s="81">
        <f>SUMIFS([1]инфо!$F$15:$F$28,[1]инфо!$A$15:$A$28,F198)</f>
        <v/>
      </c>
      <c r="AL198" s="64">
        <f>IF(H198=0,0,Y198/H198)</f>
        <v/>
      </c>
      <c r="AM198" s="82">
        <f>AL198-AK198</f>
        <v/>
      </c>
      <c r="AN198" s="81">
        <f>SUMIFS([1]инфо!$G$15:$G$28,[1]инфо!$A$15:$A$28,F198)</f>
        <v/>
      </c>
      <c r="AO198" s="64">
        <f>IF(H198=0,0,AA198/H198)</f>
        <v/>
      </c>
      <c r="AP198" s="82">
        <f>AO198-AN198</f>
        <v/>
      </c>
      <c r="AQ198" s="81">
        <f>SUMIFS([1]инфо!$H$15:$H$28,[1]инфо!$A$15:$A$28,F198)</f>
        <v/>
      </c>
      <c r="AR198" s="85">
        <f>IF(H197=0,0,AC198/H197)</f>
        <v/>
      </c>
      <c r="AS198" s="82">
        <f>AR198-AQ198</f>
        <v/>
      </c>
      <c r="AT198" s="81">
        <f>SUMIFS([1]инфо!$I$15:$I$28,[1]инфо!$A$15:$A$28,F198)</f>
        <v/>
      </c>
      <c r="AU198" s="62">
        <f>IF(H198=0,0,AD198/H198)</f>
        <v/>
      </c>
      <c r="AV198" s="82">
        <f>AU198-AT198</f>
        <v/>
      </c>
      <c r="AX198" s="80">
        <f>SUMIFS([1]инфо!$C$15:$C$28,[1]инфо!$A$15:$A$28,F198)*H197</f>
        <v/>
      </c>
    </row>
    <row r="199">
      <c r="A199" s="71">
        <f>A197+1</f>
        <v/>
      </c>
      <c r="B199" s="86" t="inlineStr">
        <is>
          <t>0120</t>
        </is>
      </c>
      <c r="C199" s="72" t="inlineStr">
        <is>
          <t>Линия 1</t>
        </is>
      </c>
      <c r="D199" s="53" t="inlineStr">
        <is>
          <t>ночь</t>
        </is>
      </c>
      <c r="E199" s="66" t="inlineStr">
        <is>
          <t>Бекбосынов</t>
        </is>
      </c>
      <c r="F199" s="67" t="inlineStr">
        <is>
          <t>плоский 10</t>
        </is>
      </c>
      <c r="G199" s="68" t="n">
        <v>43</v>
      </c>
      <c r="H199" s="68" t="n">
        <v>1100</v>
      </c>
      <c r="I199" s="57">
        <f>IFERROR(H199*VLOOKUP(F199,[1]инфо!$A$15:$C$28,3,FALSE)/1000,0)</f>
        <v/>
      </c>
      <c r="J199" s="55" t="n">
        <v>1200</v>
      </c>
      <c r="K199" s="55" t="n"/>
      <c r="L199" s="68" t="n"/>
      <c r="M199" s="55" t="n">
        <v>122</v>
      </c>
      <c r="N199" s="67" t="n">
        <v>4352</v>
      </c>
      <c r="O199" s="74" t="n">
        <v>14058</v>
      </c>
      <c r="P199" s="74" t="n">
        <v>14157</v>
      </c>
      <c r="Q199" s="74" t="n"/>
      <c r="R199" s="74" t="n"/>
      <c r="S199" s="70">
        <f>SUM(O199:R199)</f>
        <v/>
      </c>
      <c r="T199" s="72" t="n"/>
      <c r="U199" s="73" t="n"/>
      <c r="V199" s="74" t="n"/>
      <c r="W199" s="68" t="n">
        <v>1290</v>
      </c>
      <c r="X199" s="74" t="n"/>
      <c r="Y199" s="72" t="n">
        <v>430</v>
      </c>
      <c r="Z199" s="74" t="n"/>
      <c r="AA199" s="74" t="n"/>
      <c r="AB199" s="74" t="n"/>
      <c r="AC199" s="69" t="n">
        <v>430</v>
      </c>
      <c r="AD199" s="73" t="n">
        <v>215</v>
      </c>
      <c r="AE199" s="75">
        <f>SUMIFS([1]инфо!$D$15:$D$28,[1]инфо!$A$15:$A$28,F199)</f>
        <v/>
      </c>
      <c r="AF199" s="62">
        <f>IF(H199=0,0,N199/H199)</f>
        <v/>
      </c>
      <c r="AG199" s="76">
        <f>AF199-AE199</f>
        <v/>
      </c>
      <c r="AH199" s="75">
        <f>SUMIFS([1]инфо!$E$15:$E$28,[1]инфо!$A$15:$A$28,F199)</f>
        <v/>
      </c>
      <c r="AI199" s="64">
        <f>IF(H199=0,0,S199/H199)</f>
        <v/>
      </c>
      <c r="AJ199" s="76">
        <f>AI199-AH199</f>
        <v/>
      </c>
      <c r="AK199" s="75">
        <f>SUMIFS([1]инфо!$F$15:$F$28,[1]инфо!$A$15:$A$28,F199)</f>
        <v/>
      </c>
      <c r="AL199" s="64">
        <f>IF(H199=0,0,Y199/H199)</f>
        <v/>
      </c>
      <c r="AM199" s="76">
        <f>AL199-AK199</f>
        <v/>
      </c>
      <c r="AN199" s="75">
        <f>SUMIFS([1]инфо!$G$15:$G$28,[1]инфо!$A$15:$A$28,F199)</f>
        <v/>
      </c>
      <c r="AO199" s="64">
        <f>IF(H199=0,0,AA199/H199)</f>
        <v/>
      </c>
      <c r="AP199" s="76">
        <f>AO199-AN199</f>
        <v/>
      </c>
      <c r="AQ199" s="75">
        <f>SUMIFS([1]инфо!$H$15:$H$28,[1]инфо!$A$15:$A$28,F199)</f>
        <v/>
      </c>
      <c r="AR199" s="64">
        <f>IF(H198=0,0,AC199/H198)</f>
        <v/>
      </c>
      <c r="AS199" s="76">
        <f>AR199-AQ199</f>
        <v/>
      </c>
      <c r="AT199" s="75">
        <f>SUMIFS([1]инфо!$I$15:$I$28,[1]инфо!$A$15:$A$28,F199)</f>
        <v/>
      </c>
      <c r="AU199" s="62">
        <f>IF(H199=0,0,AD199/H199)</f>
        <v/>
      </c>
      <c r="AV199" s="76">
        <f>AU199-AT199</f>
        <v/>
      </c>
      <c r="AX199" s="70">
        <f>SUMIFS([1]инфо!$C$15:$C$28,[1]инфо!$A$15:$A$28,F199)*H198</f>
        <v/>
      </c>
    </row>
    <row r="200">
      <c r="A200" s="71">
        <f>A198+1</f>
        <v/>
      </c>
      <c r="B200" s="86" t="inlineStr">
        <is>
          <t>0121</t>
        </is>
      </c>
      <c r="C200" s="52" t="inlineStr">
        <is>
          <t>Линия 1</t>
        </is>
      </c>
      <c r="D200" s="53" t="inlineStr">
        <is>
          <t>день</t>
        </is>
      </c>
      <c r="E200" s="66" t="inlineStr">
        <is>
          <t>Дауылбай</t>
        </is>
      </c>
      <c r="F200" s="67" t="inlineStr">
        <is>
          <t>плоский 10</t>
        </is>
      </c>
      <c r="G200" s="68" t="n">
        <v>2</v>
      </c>
      <c r="H200" s="68" t="n">
        <v>150</v>
      </c>
      <c r="I200" s="57">
        <f>IFERROR(H200*VLOOKUP(F200,[1]инфо!$A$15:$C$28,3,FALSE)/1000,0)</f>
        <v/>
      </c>
      <c r="J200" s="55" t="n">
        <v>500</v>
      </c>
      <c r="K200" s="55" t="n"/>
      <c r="L200" s="68" t="n"/>
      <c r="M200" s="55" t="n"/>
      <c r="N200" s="55" t="n">
        <v>201</v>
      </c>
      <c r="O200" s="58" t="n">
        <v>640</v>
      </c>
      <c r="P200" s="58" t="n">
        <v>643</v>
      </c>
      <c r="Q200" s="58" t="n"/>
      <c r="R200" s="58" t="n"/>
      <c r="S200" s="59">
        <f>SUM(O200:R200)</f>
        <v/>
      </c>
      <c r="T200" s="52" t="n"/>
      <c r="U200" s="53" t="n"/>
      <c r="V200" s="58" t="n"/>
      <c r="W200" s="68" t="n"/>
      <c r="X200" s="58" t="n"/>
      <c r="Y200" s="52" t="n">
        <v>20</v>
      </c>
      <c r="Z200" s="58" t="n"/>
      <c r="AA200" s="58" t="n"/>
      <c r="AB200" s="58" t="n"/>
      <c r="AC200" s="69" t="n"/>
      <c r="AD200" s="53" t="n">
        <v>10</v>
      </c>
      <c r="AE200" s="61">
        <f>SUMIFS([1]инфо!$D$15:$D$28,[1]инфо!$A$15:$A$28,F200)</f>
        <v/>
      </c>
      <c r="AF200" s="62">
        <f>IF(H200=0,0,N200/H200)</f>
        <v/>
      </c>
      <c r="AG200" s="63">
        <f>AF200-AE200</f>
        <v/>
      </c>
      <c r="AH200" s="61">
        <f>SUMIFS([1]инфо!$E$15:$E$28,[1]инфо!$A$15:$A$28,F200)</f>
        <v/>
      </c>
      <c r="AI200" s="64">
        <f>IF(H200=0,0,S200/H200)</f>
        <v/>
      </c>
      <c r="AJ200" s="63">
        <f>AI200-AH200</f>
        <v/>
      </c>
      <c r="AK200" s="61">
        <f>SUMIFS([1]инфо!$F$15:$F$28,[1]инфо!$A$15:$A$28,F200)</f>
        <v/>
      </c>
      <c r="AL200" s="64">
        <f>IF(H200=0,0,Y200/H200)</f>
        <v/>
      </c>
      <c r="AM200" s="63">
        <f>AL200-AK200</f>
        <v/>
      </c>
      <c r="AN200" s="61">
        <f>SUMIFS([1]инфо!$G$15:$G$28,[1]инфо!$A$15:$A$28,F200)</f>
        <v/>
      </c>
      <c r="AO200" s="64">
        <f>IF(H200=0,0,AA200/H200)</f>
        <v/>
      </c>
      <c r="AP200" s="63">
        <f>AO200-AN200</f>
        <v/>
      </c>
      <c r="AQ200" s="61">
        <f>SUMIFS([1]инфо!$H$15:$H$28,[1]инфо!$A$15:$A$28,F200)</f>
        <v/>
      </c>
      <c r="AR200" s="62">
        <f>IF(H199=0,0,AC200/H199)</f>
        <v/>
      </c>
      <c r="AS200" s="63">
        <f>AR200-AQ200</f>
        <v/>
      </c>
      <c r="AT200" s="61">
        <f>SUMIFS([1]инфо!$I$15:$I$28,[1]инфо!$A$15:$A$28,F200)</f>
        <v/>
      </c>
      <c r="AU200" s="62">
        <f>IF(H200=0,0,AD200/H200)</f>
        <v/>
      </c>
      <c r="AV200" s="63">
        <f>AU200-AT200</f>
        <v/>
      </c>
      <c r="AX200" s="59">
        <f>SUMIFS([1]инфо!$C$15:$C$28,[1]инфо!$A$15:$A$28,F200)*H199</f>
        <v/>
      </c>
    </row>
    <row r="201">
      <c r="A201" s="71">
        <f>A199+1</f>
        <v/>
      </c>
      <c r="B201" s="86" t="n"/>
      <c r="C201" s="52" t="inlineStr">
        <is>
          <t>Линия 1</t>
        </is>
      </c>
      <c r="D201" s="53" t="inlineStr">
        <is>
          <t>день</t>
        </is>
      </c>
      <c r="E201" s="66" t="inlineStr">
        <is>
          <t>Дауылбай</t>
        </is>
      </c>
      <c r="F201" s="67" t="inlineStr">
        <is>
          <t>плоский 8</t>
        </is>
      </c>
      <c r="G201" s="68" t="n">
        <v>16</v>
      </c>
      <c r="H201" s="68" t="n">
        <v>450</v>
      </c>
      <c r="I201" s="57">
        <f>IFERROR(H201*VLOOKUP(F201,[1]инфо!$A$15:$C$28,3,FALSE)/1000,0)</f>
        <v/>
      </c>
      <c r="J201" s="55" t="n"/>
      <c r="K201" s="55" t="n"/>
      <c r="L201" s="68" t="n">
        <v>3</v>
      </c>
      <c r="M201" s="55" t="n">
        <v>77</v>
      </c>
      <c r="N201" s="55" t="n">
        <v>1613</v>
      </c>
      <c r="O201" s="58" t="n">
        <v>5129</v>
      </c>
      <c r="P201" s="58" t="n">
        <v>5150</v>
      </c>
      <c r="Q201" s="58" t="n"/>
      <c r="R201" s="58" t="n"/>
      <c r="S201" s="59">
        <f>SUM(O201:R201)</f>
        <v/>
      </c>
      <c r="T201" s="52" t="n"/>
      <c r="U201" s="53" t="n"/>
      <c r="V201" s="58" t="n"/>
      <c r="W201" s="68" t="n">
        <v>540</v>
      </c>
      <c r="X201" s="58" t="n"/>
      <c r="Y201" s="52" t="n">
        <v>160</v>
      </c>
      <c r="Z201" s="58" t="n"/>
      <c r="AA201" s="58" t="n"/>
      <c r="AB201" s="58" t="n"/>
      <c r="AC201" s="69" t="n"/>
      <c r="AD201" s="53" t="n">
        <v>80</v>
      </c>
      <c r="AE201" s="61" t="n"/>
      <c r="AF201" s="62">
        <f>IF(H201=0,0,N201/H201)</f>
        <v/>
      </c>
      <c r="AG201" s="63" t="n"/>
      <c r="AH201" s="61" t="n"/>
      <c r="AI201" s="64">
        <f>IF(H201=0,0,S201/H201)</f>
        <v/>
      </c>
      <c r="AJ201" s="63" t="n"/>
      <c r="AK201" s="61" t="n"/>
      <c r="AL201" s="64">
        <f>IF(H201=0,0,Y201/H201)</f>
        <v/>
      </c>
      <c r="AM201" s="63" t="n"/>
      <c r="AN201" s="61" t="n"/>
      <c r="AO201" s="64">
        <f>IF(H201=0,0,AA201/H201)</f>
        <v/>
      </c>
      <c r="AP201" s="63" t="n"/>
      <c r="AQ201" s="61" t="n"/>
      <c r="AR201" s="62" t="n"/>
      <c r="AS201" s="63" t="n"/>
      <c r="AT201" s="61" t="n"/>
      <c r="AU201" s="62">
        <f>IF(H201=0,0,AD201/H201)</f>
        <v/>
      </c>
      <c r="AV201" s="63" t="n"/>
      <c r="AX201" s="59" t="n"/>
    </row>
    <row r="202">
      <c r="A202" s="71">
        <f>A199+1</f>
        <v/>
      </c>
      <c r="B202" s="86" t="inlineStr">
        <is>
          <t>0122</t>
        </is>
      </c>
      <c r="C202" s="52" t="inlineStr">
        <is>
          <t>Линия 1</t>
        </is>
      </c>
      <c r="D202" s="53" t="inlineStr">
        <is>
          <t>ночь</t>
        </is>
      </c>
      <c r="E202" s="66" t="inlineStr">
        <is>
          <t>Бекбосынов</t>
        </is>
      </c>
      <c r="F202" s="67" t="inlineStr">
        <is>
          <t>плоский 8</t>
        </is>
      </c>
      <c r="G202" s="68" t="n">
        <v>42</v>
      </c>
      <c r="H202" s="68" t="n">
        <v>1250</v>
      </c>
      <c r="I202" s="57">
        <f>IFERROR(H202*VLOOKUP(F202,[1]инфо!$A$15:$C$28,3,FALSE)/1000,0)</f>
        <v/>
      </c>
      <c r="J202" s="55" t="n">
        <v>1250</v>
      </c>
      <c r="K202" s="55" t="n"/>
      <c r="L202" s="68" t="n">
        <v>3</v>
      </c>
      <c r="M202" s="55" t="n">
        <v>98</v>
      </c>
      <c r="N202" s="55" t="n">
        <v>4237</v>
      </c>
      <c r="O202" s="79" t="n">
        <v>1283</v>
      </c>
      <c r="P202" s="58" t="n">
        <v>14151</v>
      </c>
      <c r="Q202" s="58" t="n"/>
      <c r="R202" s="58" t="n"/>
      <c r="S202" s="59">
        <f>SUM(O202:R202)</f>
        <v/>
      </c>
      <c r="T202" s="52" t="n"/>
      <c r="U202" s="53" t="n"/>
      <c r="V202" s="58" t="n"/>
      <c r="W202" s="68" t="n">
        <v>1260</v>
      </c>
      <c r="X202" s="58" t="n"/>
      <c r="Y202" s="52" t="n">
        <v>420</v>
      </c>
      <c r="Z202" s="58" t="n"/>
      <c r="AA202" s="58" t="n"/>
      <c r="AB202" s="58" t="n"/>
      <c r="AC202" s="69" t="n">
        <v>420</v>
      </c>
      <c r="AD202" s="53" t="n">
        <v>210</v>
      </c>
      <c r="AE202" s="61">
        <f>SUMIFS([1]инфо!$D$15:$D$28,[1]инфо!$A$15:$A$28,F202)</f>
        <v/>
      </c>
      <c r="AF202" s="62">
        <f>IF(H202=0,0,N202/H202)</f>
        <v/>
      </c>
      <c r="AG202" s="63">
        <f>AF202-AE202</f>
        <v/>
      </c>
      <c r="AH202" s="61">
        <f>SUMIFS([1]инфо!$E$15:$E$28,[1]инфо!$A$15:$A$28,F202)</f>
        <v/>
      </c>
      <c r="AI202" s="64">
        <f>IF(H202=0,0,S202/H202)</f>
        <v/>
      </c>
      <c r="AJ202" s="63">
        <f>AI202-AH202</f>
        <v/>
      </c>
      <c r="AK202" s="61">
        <f>SUMIFS([1]инфо!$F$15:$F$28,[1]инфо!$A$15:$A$28,F202)</f>
        <v/>
      </c>
      <c r="AL202" s="64">
        <f>IF(H202=0,0,Y202/H202)</f>
        <v/>
      </c>
      <c r="AM202" s="63">
        <f>AL202-AK202</f>
        <v/>
      </c>
      <c r="AN202" s="61">
        <f>SUMIFS([1]инфо!$G$15:$G$28,[1]инфо!$A$15:$A$28,F202)</f>
        <v/>
      </c>
      <c r="AO202" s="64">
        <f>IF(H202=0,0,AA202/H202)</f>
        <v/>
      </c>
      <c r="AP202" s="63">
        <f>AO202-AN202</f>
        <v/>
      </c>
      <c r="AQ202" s="61">
        <f>SUMIFS([1]инфо!$H$15:$H$28,[1]инфо!$A$15:$A$28,F202)</f>
        <v/>
      </c>
      <c r="AR202" s="62">
        <f>IF(H200=0,0,AC202/H200)</f>
        <v/>
      </c>
      <c r="AS202" s="63">
        <f>AR202-AQ202</f>
        <v/>
      </c>
      <c r="AT202" s="61">
        <f>SUMIFS([1]инфо!$I$15:$I$28,[1]инфо!$A$15:$A$28,F202)</f>
        <v/>
      </c>
      <c r="AU202" s="62">
        <f>IF(H202=0,0,AD202/H202)</f>
        <v/>
      </c>
      <c r="AV202" s="63">
        <f>AU202-AT202</f>
        <v/>
      </c>
      <c r="AX202" s="59">
        <f>SUMIFS([1]инфо!$C$15:$C$28,[1]инфо!$A$15:$A$28,F202)*H200</f>
        <v/>
      </c>
    </row>
    <row r="203">
      <c r="A203" s="71">
        <f>A200+1</f>
        <v/>
      </c>
      <c r="B203" s="86" t="inlineStr">
        <is>
          <t>0123</t>
        </is>
      </c>
      <c r="C203" s="77" t="inlineStr">
        <is>
          <t>Линия 1</t>
        </is>
      </c>
      <c r="D203" s="78" t="inlineStr">
        <is>
          <t>день</t>
        </is>
      </c>
      <c r="E203" s="66" t="inlineStr">
        <is>
          <t>Монаев</t>
        </is>
      </c>
      <c r="F203" s="67" t="inlineStr">
        <is>
          <t>плоский 8</t>
        </is>
      </c>
      <c r="G203" s="68" t="n">
        <v>23</v>
      </c>
      <c r="H203" s="68" t="n">
        <v>800</v>
      </c>
      <c r="I203" s="57">
        <f>IFERROR(H203*VLOOKUP(F203,[1]инфо!$A$15:$C$28,3,FALSE)/1000,0)</f>
        <v/>
      </c>
      <c r="J203" s="55" t="n">
        <v>750</v>
      </c>
      <c r="K203" s="55" t="n"/>
      <c r="L203" s="68" t="n"/>
      <c r="M203" s="55" t="n">
        <v>98</v>
      </c>
      <c r="N203" s="56" t="n">
        <v>2318</v>
      </c>
      <c r="O203" s="79" t="n">
        <v>6408</v>
      </c>
      <c r="P203" s="79" t="n">
        <v>8322</v>
      </c>
      <c r="Q203" s="79" t="n"/>
      <c r="R203" s="79" t="n"/>
      <c r="S203" s="80">
        <f>SUM(O203:R203)</f>
        <v/>
      </c>
      <c r="T203" s="77" t="n"/>
      <c r="U203" s="78" t="n"/>
      <c r="V203" s="79" t="n"/>
      <c r="W203" s="68" t="n">
        <v>690</v>
      </c>
      <c r="X203" s="79" t="n"/>
      <c r="Y203" s="77" t="n">
        <v>230</v>
      </c>
      <c r="Z203" s="79" t="n"/>
      <c r="AA203" s="79" t="n"/>
      <c r="AB203" s="79" t="n"/>
      <c r="AC203" s="69" t="n">
        <v>230</v>
      </c>
      <c r="AD203" s="78" t="n">
        <v>115</v>
      </c>
      <c r="AE203" s="81">
        <f>SUMIFS([1]инфо!$D$15:$D$28,[1]инфо!$A$15:$A$28,F203)</f>
        <v/>
      </c>
      <c r="AF203" s="62">
        <f>IF(H203=0,0,N203/H203)</f>
        <v/>
      </c>
      <c r="AG203" s="82">
        <f>AF203-AE203</f>
        <v/>
      </c>
      <c r="AH203" s="81">
        <f>SUMIFS([1]инфо!$E$15:$E$28,[1]инфо!$A$15:$A$28,F203)</f>
        <v/>
      </c>
      <c r="AI203" s="64">
        <f>IF(H203=0,0,S203/H203)</f>
        <v/>
      </c>
      <c r="AJ203" s="82">
        <f>AI203-AH203</f>
        <v/>
      </c>
      <c r="AK203" s="81">
        <f>SUMIFS([1]инфо!$F$15:$F$28,[1]инфо!$A$15:$A$28,F203)</f>
        <v/>
      </c>
      <c r="AL203" s="64">
        <f>IF(H203=0,0,Y203/H203)</f>
        <v/>
      </c>
      <c r="AM203" s="82">
        <f>AL203-AK203</f>
        <v/>
      </c>
      <c r="AN203" s="81">
        <f>SUMIFS([1]инфо!$G$15:$G$28,[1]инфо!$A$15:$A$28,F203)</f>
        <v/>
      </c>
      <c r="AO203" s="64">
        <f>IF(H203=0,0,AA203/H203)</f>
        <v/>
      </c>
      <c r="AP203" s="82">
        <f>AO203-AN203</f>
        <v/>
      </c>
      <c r="AQ203" s="81">
        <f>SUMIFS([1]инфо!$H$15:$H$28,[1]инфо!$A$15:$A$28,F203)</f>
        <v/>
      </c>
      <c r="AR203" s="85">
        <f>IF(H202=0,0,AC203/H202)</f>
        <v/>
      </c>
      <c r="AS203" s="82">
        <f>AR203-AQ203</f>
        <v/>
      </c>
      <c r="AT203" s="81">
        <f>SUMIFS([1]инфо!$I$15:$I$28,[1]инфо!$A$15:$A$28,F203)</f>
        <v/>
      </c>
      <c r="AU203" s="62">
        <f>IF(H203=0,0,AD203/H203)</f>
        <v/>
      </c>
      <c r="AV203" s="82">
        <f>AU203-AT203</f>
        <v/>
      </c>
      <c r="AX203" s="80">
        <f>SUMIFS([1]инфо!$C$15:$C$28,[1]инфо!$A$15:$A$28,F203)*H202</f>
        <v/>
      </c>
    </row>
    <row r="204">
      <c r="A204" s="71">
        <f>A202+1</f>
        <v/>
      </c>
      <c r="B204" s="86" t="inlineStr">
        <is>
          <t>0124</t>
        </is>
      </c>
      <c r="C204" s="72" t="inlineStr">
        <is>
          <t>Линия 1</t>
        </is>
      </c>
      <c r="D204" s="73" t="inlineStr">
        <is>
          <t>ночь</t>
        </is>
      </c>
      <c r="E204" s="66" t="inlineStr">
        <is>
          <t>Дауылбай</t>
        </is>
      </c>
      <c r="F204" s="67" t="inlineStr">
        <is>
          <t>плоский 8</t>
        </is>
      </c>
      <c r="G204" s="68" t="n">
        <v>43</v>
      </c>
      <c r="H204" s="68" t="n">
        <v>1200</v>
      </c>
      <c r="I204" s="57">
        <f>IFERROR(H204*VLOOKUP(F204,[1]инфо!$A$15:$C$28,3,FALSE)/1000,0)</f>
        <v/>
      </c>
      <c r="J204" s="55" t="n">
        <v>1150</v>
      </c>
      <c r="K204" s="55" t="n"/>
      <c r="L204" s="68" t="n"/>
      <c r="M204" s="55" t="n">
        <v>275</v>
      </c>
      <c r="N204" s="67" t="n">
        <v>4358</v>
      </c>
      <c r="O204" s="74" t="n">
        <v>13452</v>
      </c>
      <c r="P204" s="74" t="n">
        <v>14064</v>
      </c>
      <c r="Q204" s="74" t="n"/>
      <c r="R204" s="74" t="n"/>
      <c r="S204" s="70">
        <f>SUM(O204:R204)</f>
        <v/>
      </c>
      <c r="T204" s="72" t="n"/>
      <c r="U204" s="73" t="n"/>
      <c r="V204" s="74" t="n"/>
      <c r="W204" s="68" t="n">
        <v>1290</v>
      </c>
      <c r="X204" s="74" t="n"/>
      <c r="Y204" s="72" t="n">
        <v>430</v>
      </c>
      <c r="Z204" s="74" t="n"/>
      <c r="AA204" s="74" t="n"/>
      <c r="AB204" s="74" t="n"/>
      <c r="AC204" s="69" t="n">
        <v>430</v>
      </c>
      <c r="AD204" s="73" t="n">
        <v>215</v>
      </c>
      <c r="AE204" s="75">
        <f>SUMIFS([1]инфо!$D$15:$D$28,[1]инфо!$A$15:$A$28,F204)</f>
        <v/>
      </c>
      <c r="AF204" s="62">
        <f>IF(H204=0,0,N204/H204)</f>
        <v/>
      </c>
      <c r="AG204" s="76">
        <f>AF204-AE204</f>
        <v/>
      </c>
      <c r="AH204" s="75">
        <f>SUMIFS([1]инфо!$E$15:$E$28,[1]инфо!$A$15:$A$28,F204)</f>
        <v/>
      </c>
      <c r="AI204" s="64">
        <f>IF(H204=0,0,S204/H204)</f>
        <v/>
      </c>
      <c r="AJ204" s="76">
        <f>AI204-AH204</f>
        <v/>
      </c>
      <c r="AK204" s="75">
        <f>SUMIFS([1]инфо!$F$15:$F$28,[1]инфо!$A$15:$A$28,F204)</f>
        <v/>
      </c>
      <c r="AL204" s="64">
        <f>IF(H204=0,0,Y204/H204)</f>
        <v/>
      </c>
      <c r="AM204" s="76">
        <f>AL204-AK204</f>
        <v/>
      </c>
      <c r="AN204" s="75">
        <f>SUMIFS([1]инфо!$G$15:$G$28,[1]инфо!$A$15:$A$28,F204)</f>
        <v/>
      </c>
      <c r="AO204" s="64">
        <f>IF(H204=0,0,AA204/H204)</f>
        <v/>
      </c>
      <c r="AP204" s="76">
        <f>AO204-AN204</f>
        <v/>
      </c>
      <c r="AQ204" s="75">
        <f>SUMIFS([1]инфо!$H$15:$H$28,[1]инфо!$A$15:$A$28,F204)</f>
        <v/>
      </c>
      <c r="AR204" s="64">
        <f>IF(H203=0,0,AC204/H203)</f>
        <v/>
      </c>
      <c r="AS204" s="76">
        <f>AR204-AQ204</f>
        <v/>
      </c>
      <c r="AT204" s="75">
        <f>SUMIFS([1]инфо!$I$15:$I$28,[1]инфо!$A$15:$A$28,F204)</f>
        <v/>
      </c>
      <c r="AU204" s="62">
        <f>IF(H204=0,0,AD204/H204)</f>
        <v/>
      </c>
      <c r="AV204" s="76">
        <f>AU204-AT204</f>
        <v/>
      </c>
      <c r="AX204" s="70">
        <f>SUMIFS([1]инфо!$C$15:$C$28,[1]инфо!$A$15:$A$28,F204)*H203</f>
        <v/>
      </c>
    </row>
    <row r="205">
      <c r="A205" s="71">
        <f>A203+1</f>
        <v/>
      </c>
      <c r="B205" s="86" t="inlineStr">
        <is>
          <t>0125</t>
        </is>
      </c>
      <c r="C205" s="52" t="inlineStr">
        <is>
          <t>Линия 1</t>
        </is>
      </c>
      <c r="D205" s="53" t="inlineStr">
        <is>
          <t>день</t>
        </is>
      </c>
      <c r="E205" s="66" t="inlineStr">
        <is>
          <t>Бекбосынов</t>
        </is>
      </c>
      <c r="F205" s="67" t="inlineStr">
        <is>
          <t>плоский 8</t>
        </is>
      </c>
      <c r="G205" s="68" t="n">
        <v>19</v>
      </c>
      <c r="H205" s="68" t="n">
        <v>550</v>
      </c>
      <c r="I205" s="57">
        <f>IFERROR(H205*VLOOKUP(F205,[1]инфо!$A$15:$C$28,3,FALSE)/1000,0)</f>
        <v/>
      </c>
      <c r="J205" s="55" t="n">
        <v>850</v>
      </c>
      <c r="K205" s="55" t="n"/>
      <c r="L205" s="68" t="n"/>
      <c r="M205" s="55" t="n">
        <v>100</v>
      </c>
      <c r="N205" s="55" t="n">
        <v>1926</v>
      </c>
      <c r="O205" s="58" t="n">
        <v>5767</v>
      </c>
      <c r="P205" s="58" t="n">
        <v>6401</v>
      </c>
      <c r="Q205" s="58" t="n"/>
      <c r="R205" s="58" t="n"/>
      <c r="S205" s="59">
        <f>SUM(O205:R205)</f>
        <v/>
      </c>
      <c r="T205" s="52" t="n"/>
      <c r="U205" s="53" t="n"/>
      <c r="V205" s="58" t="n"/>
      <c r="W205" s="68" t="n">
        <v>570</v>
      </c>
      <c r="X205" s="58" t="n"/>
      <c r="Y205" s="52" t="n">
        <v>190</v>
      </c>
      <c r="Z205" s="58" t="n"/>
      <c r="AA205" s="58" t="n"/>
      <c r="AB205" s="58" t="n"/>
      <c r="AC205" s="69" t="n">
        <v>190</v>
      </c>
      <c r="AD205" s="53" t="n">
        <v>95</v>
      </c>
      <c r="AE205" s="61">
        <f>SUMIFS([1]инфо!$D$15:$D$28,[1]инфо!$A$15:$A$28,F205)</f>
        <v/>
      </c>
      <c r="AF205" s="62">
        <f>IF(H205=0,0,N205/H205)</f>
        <v/>
      </c>
      <c r="AG205" s="63">
        <f>AF205-AE205</f>
        <v/>
      </c>
      <c r="AH205" s="61">
        <f>SUMIFS([1]инфо!$E$15:$E$28,[1]инфо!$A$15:$A$28,F205)</f>
        <v/>
      </c>
      <c r="AI205" s="64">
        <f>IF(H205=0,0,S205/H205)</f>
        <v/>
      </c>
      <c r="AJ205" s="63">
        <f>AI205-AH205</f>
        <v/>
      </c>
      <c r="AK205" s="61">
        <f>SUMIFS([1]инфо!$F$15:$F$28,[1]инфо!$A$15:$A$28,F205)</f>
        <v/>
      </c>
      <c r="AL205" s="64">
        <f>IF(H205=0,0,Y205/H205)</f>
        <v/>
      </c>
      <c r="AM205" s="63">
        <f>AL205-AK205</f>
        <v/>
      </c>
      <c r="AN205" s="61">
        <f>SUMIFS([1]инфо!$G$15:$G$28,[1]инфо!$A$15:$A$28,F205)</f>
        <v/>
      </c>
      <c r="AO205" s="64">
        <f>IF(H205=0,0,AA205/H205)</f>
        <v/>
      </c>
      <c r="AP205" s="63">
        <f>AO205-AN205</f>
        <v/>
      </c>
      <c r="AQ205" s="61">
        <f>SUMIFS([1]инфо!$H$15:$H$28,[1]инфо!$A$15:$A$28,F205)</f>
        <v/>
      </c>
      <c r="AR205" s="62">
        <f>IF(H204=0,0,AC205/H204)</f>
        <v/>
      </c>
      <c r="AS205" s="63">
        <f>AR205-AQ205</f>
        <v/>
      </c>
      <c r="AT205" s="61">
        <f>SUMIFS([1]инфо!$I$15:$I$28,[1]инфо!$A$15:$A$28,F205)</f>
        <v/>
      </c>
      <c r="AU205" s="62">
        <f>IF(H205=0,0,AD205/H205)</f>
        <v/>
      </c>
      <c r="AV205" s="63">
        <f>AU205-AT205</f>
        <v/>
      </c>
      <c r="AX205" s="59">
        <f>SUMIFS([1]инфо!$C$15:$C$28,[1]инфо!$A$15:$A$28,F205)*H204</f>
        <v/>
      </c>
    </row>
    <row r="206">
      <c r="A206" s="71">
        <f>A204+1</f>
        <v/>
      </c>
      <c r="B206" s="86" t="inlineStr">
        <is>
          <t>0126</t>
        </is>
      </c>
      <c r="C206" s="52" t="inlineStr">
        <is>
          <t>Линия 1</t>
        </is>
      </c>
      <c r="D206" s="53" t="inlineStr">
        <is>
          <t>ночь</t>
        </is>
      </c>
      <c r="E206" s="66" t="inlineStr">
        <is>
          <t>Монаев</t>
        </is>
      </c>
      <c r="F206" s="67" t="inlineStr">
        <is>
          <t>плоский 8</t>
        </is>
      </c>
      <c r="G206" s="68" t="n">
        <v>40</v>
      </c>
      <c r="H206" s="68" t="n">
        <v>1200</v>
      </c>
      <c r="I206" s="57">
        <f>IFERROR(H206*VLOOKUP(F206,[1]инфо!$A$15:$C$28,3,FALSE)/1000,0)</f>
        <v/>
      </c>
      <c r="J206" s="55" t="n">
        <v>850</v>
      </c>
      <c r="K206" s="55" t="n"/>
      <c r="L206" s="68" t="n"/>
      <c r="M206" s="55" t="n">
        <v>46</v>
      </c>
      <c r="N206" s="55" t="n">
        <v>4037</v>
      </c>
      <c r="O206" s="58" t="n">
        <v>12157</v>
      </c>
      <c r="P206" s="58" t="n">
        <v>13413</v>
      </c>
      <c r="Q206" s="58" t="n"/>
      <c r="R206" s="58" t="n"/>
      <c r="S206" s="59">
        <f>SUM(O206:R206)</f>
        <v/>
      </c>
      <c r="T206" s="52" t="n">
        <v>150</v>
      </c>
      <c r="U206" s="53" t="n">
        <v>960</v>
      </c>
      <c r="V206" s="58" t="n"/>
      <c r="W206" s="68" t="n">
        <v>1200</v>
      </c>
      <c r="X206" s="58" t="n"/>
      <c r="Y206" s="52" t="n">
        <v>295</v>
      </c>
      <c r="Z206" s="58" t="n"/>
      <c r="AA206" s="58" t="n"/>
      <c r="AB206" s="58" t="n"/>
      <c r="AC206" s="69" t="n">
        <v>400</v>
      </c>
      <c r="AD206" s="53" t="n">
        <v>305</v>
      </c>
      <c r="AE206" s="61">
        <f>SUMIFS([1]инфо!$D$15:$D$28,[1]инфо!$A$15:$A$28,F206)</f>
        <v/>
      </c>
      <c r="AF206" s="62">
        <f>IF(H206=0,0,N206/H206)</f>
        <v/>
      </c>
      <c r="AG206" s="63">
        <f>AF206-AE206</f>
        <v/>
      </c>
      <c r="AH206" s="61">
        <f>SUMIFS([1]инфо!$E$15:$E$28,[1]инфо!$A$15:$A$28,F206)</f>
        <v/>
      </c>
      <c r="AI206" s="64">
        <f>IF(H206=0,0,S206/H206)</f>
        <v/>
      </c>
      <c r="AJ206" s="63">
        <f>AI206-AH206</f>
        <v/>
      </c>
      <c r="AK206" s="61">
        <f>SUMIFS([1]инфо!$F$15:$F$28,[1]инфо!$A$15:$A$28,F206)</f>
        <v/>
      </c>
      <c r="AL206" s="64">
        <f>IF(H206=0,0,Y206/H206)</f>
        <v/>
      </c>
      <c r="AM206" s="63">
        <f>AL206-AK206</f>
        <v/>
      </c>
      <c r="AN206" s="61">
        <f>SUMIFS([1]инфо!$G$15:$G$28,[1]инфо!$A$15:$A$28,F206)</f>
        <v/>
      </c>
      <c r="AO206" s="64">
        <f>IF(H206=0,0,AA206/H206)</f>
        <v/>
      </c>
      <c r="AP206" s="63">
        <f>AO206-AN206</f>
        <v/>
      </c>
      <c r="AQ206" s="61">
        <f>SUMIFS([1]инфо!$H$15:$H$28,[1]инфо!$A$15:$A$28,F206)</f>
        <v/>
      </c>
      <c r="AR206" s="62">
        <f>IF(H205=0,0,AC206/H205)</f>
        <v/>
      </c>
      <c r="AS206" s="63">
        <f>AR206-AQ206</f>
        <v/>
      </c>
      <c r="AT206" s="61">
        <f>SUMIFS([1]инфо!$I$15:$I$28,[1]инфо!$A$15:$A$28,F206)</f>
        <v/>
      </c>
      <c r="AU206" s="62">
        <f>IF(H206=0,0,AD206/H206)</f>
        <v/>
      </c>
      <c r="AV206" s="63">
        <f>AU206-AT206</f>
        <v/>
      </c>
      <c r="AX206" s="59">
        <f>SUMIFS([1]инфо!$C$15:$C$28,[1]инфо!$A$15:$A$28,F206)*H205</f>
        <v/>
      </c>
    </row>
    <row r="207">
      <c r="A207" s="71">
        <f>A205+1</f>
        <v/>
      </c>
      <c r="B207" s="86" t="inlineStr">
        <is>
          <t>0127</t>
        </is>
      </c>
      <c r="C207" s="77" t="inlineStr">
        <is>
          <t>Линия 1</t>
        </is>
      </c>
      <c r="D207" s="78" t="inlineStr">
        <is>
          <t>день</t>
        </is>
      </c>
      <c r="E207" s="66" t="inlineStr">
        <is>
          <t>Султанулы</t>
        </is>
      </c>
      <c r="F207" s="67" t="inlineStr">
        <is>
          <t>плоский 8</t>
        </is>
      </c>
      <c r="G207" s="68" t="n">
        <v>40</v>
      </c>
      <c r="H207" s="68" t="n">
        <v>1220</v>
      </c>
      <c r="I207" s="57">
        <f>IFERROR(H207*VLOOKUP(F207,[1]инфо!$A$15:$C$28,3,FALSE)/1000,0)</f>
        <v/>
      </c>
      <c r="J207" s="55" t="n">
        <v>1100</v>
      </c>
      <c r="K207" s="55" t="n">
        <v>1</v>
      </c>
      <c r="L207" s="68" t="n">
        <v>1</v>
      </c>
      <c r="M207" s="55" t="n">
        <v>78</v>
      </c>
      <c r="N207" s="56" t="n">
        <v>4036</v>
      </c>
      <c r="O207" s="79" t="n">
        <v>18562</v>
      </c>
      <c r="P207" s="79" t="n">
        <v>7034</v>
      </c>
      <c r="Q207" s="79" t="n"/>
      <c r="R207" s="79" t="n"/>
      <c r="S207" s="80">
        <f>SUM(O207:R207)</f>
        <v/>
      </c>
      <c r="T207" s="77" t="n"/>
      <c r="U207" s="78" t="n"/>
      <c r="V207" s="79" t="n"/>
      <c r="W207" s="68" t="n">
        <v>1200</v>
      </c>
      <c r="X207" s="79" t="n"/>
      <c r="Y207" s="77" t="n">
        <v>287</v>
      </c>
      <c r="Z207" s="79" t="n"/>
      <c r="AA207" s="79" t="n"/>
      <c r="AB207" s="79" t="n"/>
      <c r="AC207" s="69" t="n">
        <v>400</v>
      </c>
      <c r="AD207" s="78" t="n">
        <v>200</v>
      </c>
      <c r="AE207" s="81">
        <f>SUMIFS([1]инфо!$D$15:$D$28,[1]инфо!$A$15:$A$28,F207)</f>
        <v/>
      </c>
      <c r="AF207" s="62">
        <f>IF(H207=0,0,N207/H207)</f>
        <v/>
      </c>
      <c r="AG207" s="82">
        <f>AF207-AE207</f>
        <v/>
      </c>
      <c r="AH207" s="81">
        <f>SUMIFS([1]инфо!$E$15:$E$28,[1]инфо!$A$15:$A$28,F207)</f>
        <v/>
      </c>
      <c r="AI207" s="64">
        <f>IF(H207=0,0,S207/H207)</f>
        <v/>
      </c>
      <c r="AJ207" s="82">
        <f>AI207-AH207</f>
        <v/>
      </c>
      <c r="AK207" s="81">
        <f>SUMIFS([1]инфо!$F$15:$F$28,[1]инфо!$A$15:$A$28,F207)</f>
        <v/>
      </c>
      <c r="AL207" s="64">
        <f>IF(H207=0,0,Y207/H207)</f>
        <v/>
      </c>
      <c r="AM207" s="82">
        <f>AL207-AK207</f>
        <v/>
      </c>
      <c r="AN207" s="81">
        <f>SUMIFS([1]инфо!$G$15:$G$28,[1]инфо!$A$15:$A$28,F207)</f>
        <v/>
      </c>
      <c r="AO207" s="64">
        <f>IF(H207=0,0,AA207/H207)</f>
        <v/>
      </c>
      <c r="AP207" s="82">
        <f>AO207-AN207</f>
        <v/>
      </c>
      <c r="AQ207" s="81">
        <f>SUMIFS([1]инфо!$H$15:$H$28,[1]инфо!$A$15:$A$28,F207)</f>
        <v/>
      </c>
      <c r="AR207" s="85">
        <f>IF(H206=0,0,AC207/H206)</f>
        <v/>
      </c>
      <c r="AS207" s="82">
        <f>AR207-AQ207</f>
        <v/>
      </c>
      <c r="AT207" s="81">
        <f>SUMIFS([1]инфо!$I$15:$I$28,[1]инфо!$A$15:$A$28,F207)</f>
        <v/>
      </c>
      <c r="AU207" s="62">
        <f>IF(H207=0,0,AD207/H207)</f>
        <v/>
      </c>
      <c r="AV207" s="82">
        <f>AU207-AT207</f>
        <v/>
      </c>
      <c r="AX207" s="80">
        <f>SUMIFS([1]инфо!$C$15:$C$28,[1]инфо!$A$15:$A$28,F207)*H206</f>
        <v/>
      </c>
    </row>
    <row r="208">
      <c r="A208" s="71">
        <f>A206+1</f>
        <v/>
      </c>
      <c r="B208" s="86" t="inlineStr">
        <is>
          <t>0128</t>
        </is>
      </c>
      <c r="C208" s="72" t="inlineStr">
        <is>
          <t>Линия 1</t>
        </is>
      </c>
      <c r="D208" s="73" t="inlineStr">
        <is>
          <t>ночь</t>
        </is>
      </c>
      <c r="E208" s="66" t="inlineStr">
        <is>
          <t>Бекбосынов</t>
        </is>
      </c>
      <c r="F208" s="67" t="inlineStr">
        <is>
          <t>плоский 8</t>
        </is>
      </c>
      <c r="G208" s="68" t="n">
        <v>40</v>
      </c>
      <c r="H208" s="68" t="n">
        <v>1200</v>
      </c>
      <c r="I208" s="57">
        <f>IFERROR(H208*VLOOKUP(F208,[1]инфо!$A$15:$C$28,3,FALSE)/1000,0)</f>
        <v/>
      </c>
      <c r="J208" s="55" t="n">
        <v>1300</v>
      </c>
      <c r="K208" s="55" t="n">
        <v>1</v>
      </c>
      <c r="L208" s="68" t="n"/>
      <c r="M208" s="55" t="n">
        <v>81</v>
      </c>
      <c r="N208" s="67" t="n">
        <v>4046</v>
      </c>
      <c r="O208" s="74" t="n">
        <v>12814</v>
      </c>
      <c r="P208" s="74" t="n">
        <v>12803</v>
      </c>
      <c r="Q208" s="74" t="n"/>
      <c r="R208" s="74" t="n"/>
      <c r="S208" s="70">
        <f>SUM(O208:R208)</f>
        <v/>
      </c>
      <c r="T208" s="72" t="n"/>
      <c r="U208" s="73" t="n"/>
      <c r="V208" s="74" t="n"/>
      <c r="W208" s="68" t="n">
        <v>1200</v>
      </c>
      <c r="X208" s="74" t="n"/>
      <c r="Y208" s="72" t="n">
        <v>400</v>
      </c>
      <c r="Z208" s="74" t="n"/>
      <c r="AA208" s="74" t="n"/>
      <c r="AB208" s="74" t="n"/>
      <c r="AC208" s="69" t="n">
        <v>400</v>
      </c>
      <c r="AD208" s="73" t="n">
        <v>200</v>
      </c>
      <c r="AE208" s="75">
        <f>SUMIFS([1]инфо!$D$15:$D$28,[1]инфо!$A$15:$A$28,F208)</f>
        <v/>
      </c>
      <c r="AF208" s="62">
        <f>IF(H208=0,0,N208/H208)</f>
        <v/>
      </c>
      <c r="AG208" s="76">
        <f>AF208-AE208</f>
        <v/>
      </c>
      <c r="AH208" s="75">
        <f>SUMIFS([1]инфо!$E$15:$E$28,[1]инфо!$A$15:$A$28,F208)</f>
        <v/>
      </c>
      <c r="AI208" s="64">
        <f>IF(H208=0,0,S208/H208)</f>
        <v/>
      </c>
      <c r="AJ208" s="76">
        <f>AI208-AH208</f>
        <v/>
      </c>
      <c r="AK208" s="75">
        <f>SUMIFS([1]инфо!$F$15:$F$28,[1]инфо!$A$15:$A$28,F208)</f>
        <v/>
      </c>
      <c r="AL208" s="64">
        <f>IF(H208=0,0,Y208/H208)</f>
        <v/>
      </c>
      <c r="AM208" s="76">
        <f>AL208-AK208</f>
        <v/>
      </c>
      <c r="AN208" s="75">
        <f>SUMIFS([1]инфо!$G$15:$G$28,[1]инфо!$A$15:$A$28,F208)</f>
        <v/>
      </c>
      <c r="AO208" s="64">
        <f>IF(H208=0,0,AA208/H208)</f>
        <v/>
      </c>
      <c r="AP208" s="76">
        <f>AO208-AN208</f>
        <v/>
      </c>
      <c r="AQ208" s="75">
        <f>SUMIFS([1]инфо!$H$15:$H$28,[1]инфо!$A$15:$A$28,F208)</f>
        <v/>
      </c>
      <c r="AR208" s="64">
        <f>IF(H207=0,0,AC208/H207)</f>
        <v/>
      </c>
      <c r="AS208" s="76">
        <f>AR208-AQ208</f>
        <v/>
      </c>
      <c r="AT208" s="75">
        <f>SUMIFS([1]инфо!$I$15:$I$28,[1]инфо!$A$15:$A$28,F208)</f>
        <v/>
      </c>
      <c r="AU208" s="62">
        <f>IF(H208=0,0,AD208/H208)</f>
        <v/>
      </c>
      <c r="AV208" s="76">
        <f>AU208-AT208</f>
        <v/>
      </c>
      <c r="AX208" s="70">
        <f>SUMIFS([1]инфо!$C$15:$C$28,[1]инфо!$A$15:$A$28,F208)*H207</f>
        <v/>
      </c>
    </row>
    <row r="209">
      <c r="A209" s="71">
        <f>A207+1</f>
        <v/>
      </c>
      <c r="B209" s="86" t="inlineStr">
        <is>
          <t>0129</t>
        </is>
      </c>
      <c r="C209" s="52" t="inlineStr">
        <is>
          <t>Линия 1</t>
        </is>
      </c>
      <c r="D209" s="53" t="inlineStr">
        <is>
          <t>день</t>
        </is>
      </c>
      <c r="E209" s="66" t="inlineStr">
        <is>
          <t>Дауылбай</t>
        </is>
      </c>
      <c r="F209" s="67" t="inlineStr">
        <is>
          <t>плоский 8</t>
        </is>
      </c>
      <c r="G209" s="68" t="n">
        <v>31</v>
      </c>
      <c r="H209" s="68" t="n">
        <v>950</v>
      </c>
      <c r="I209" s="57">
        <f>IFERROR(H209*VLOOKUP(F209,[1]инфо!$A$15:$C$28,3,FALSE)/1000,0)</f>
        <v/>
      </c>
      <c r="J209" s="55" t="n">
        <v>900</v>
      </c>
      <c r="K209" s="55" t="n"/>
      <c r="L209" s="68" t="n"/>
      <c r="M209" s="55" t="n">
        <v>80</v>
      </c>
      <c r="N209" s="55" t="n">
        <v>3134</v>
      </c>
      <c r="O209" s="58" t="n">
        <v>9622</v>
      </c>
      <c r="P209" s="58" t="n">
        <v>10243</v>
      </c>
      <c r="Q209" s="58" t="n"/>
      <c r="R209" s="58" t="n"/>
      <c r="S209" s="59">
        <f>SUM(O209:R209)</f>
        <v/>
      </c>
      <c r="T209" s="52" t="n"/>
      <c r="U209" s="53" t="n"/>
      <c r="V209" s="58" t="n"/>
      <c r="W209" s="68" t="n">
        <v>930</v>
      </c>
      <c r="X209" s="58" t="n"/>
      <c r="Y209" s="52" t="n">
        <v>310</v>
      </c>
      <c r="Z209" s="58" t="n"/>
      <c r="AA209" s="58" t="n"/>
      <c r="AB209" s="58" t="n"/>
      <c r="AC209" s="69" t="n">
        <v>310</v>
      </c>
      <c r="AD209" s="53" t="n">
        <v>155</v>
      </c>
      <c r="AE209" s="61">
        <f>SUMIFS([1]инфо!$D$15:$D$28,[1]инфо!$A$15:$A$28,F209)</f>
        <v/>
      </c>
      <c r="AF209" s="62">
        <f>IF(H209=0,0,N209/H209)</f>
        <v/>
      </c>
      <c r="AG209" s="63">
        <f>AF209-AE209</f>
        <v/>
      </c>
      <c r="AH209" s="61">
        <f>SUMIFS([1]инфо!$E$15:$E$28,[1]инфо!$A$15:$A$28,F209)</f>
        <v/>
      </c>
      <c r="AI209" s="64">
        <f>IF(H209=0,0,S209/H209)</f>
        <v/>
      </c>
      <c r="AJ209" s="63">
        <f>AI209-AH209</f>
        <v/>
      </c>
      <c r="AK209" s="61">
        <f>SUMIFS([1]инфо!$F$15:$F$28,[1]инфо!$A$15:$A$28,F209)</f>
        <v/>
      </c>
      <c r="AL209" s="64">
        <f>IF(H209=0,0,Y209/H209)</f>
        <v/>
      </c>
      <c r="AM209" s="63">
        <f>AL209-AK209</f>
        <v/>
      </c>
      <c r="AN209" s="61">
        <f>SUMIFS([1]инфо!$G$15:$G$28,[1]инфо!$A$15:$A$28,F209)</f>
        <v/>
      </c>
      <c r="AO209" s="64">
        <f>IF(H209=0,0,AA209/H209)</f>
        <v/>
      </c>
      <c r="AP209" s="63">
        <f>AO209-AN209</f>
        <v/>
      </c>
      <c r="AQ209" s="61">
        <f>SUMIFS([1]инфо!$H$15:$H$28,[1]инфо!$A$15:$A$28,F209)</f>
        <v/>
      </c>
      <c r="AR209" s="62">
        <f>IF(H208=0,0,AC209/H208)</f>
        <v/>
      </c>
      <c r="AS209" s="63">
        <f>AR209-AQ209</f>
        <v/>
      </c>
      <c r="AT209" s="61">
        <f>SUMIFS([1]инфо!$I$15:$I$28,[1]инфо!$A$15:$A$28,F209)</f>
        <v/>
      </c>
      <c r="AU209" s="62">
        <f>IF(H209=0,0,AD209/H209)</f>
        <v/>
      </c>
      <c r="AV209" s="63">
        <f>AU209-AT209</f>
        <v/>
      </c>
      <c r="AX209" s="59">
        <f>SUMIFS([1]инфо!$C$15:$C$28,[1]инфо!$A$15:$A$28,F209)*H208</f>
        <v/>
      </c>
    </row>
    <row r="210">
      <c r="A210" s="71">
        <f>A208+1</f>
        <v/>
      </c>
      <c r="B210" s="86" t="inlineStr">
        <is>
          <t>0130</t>
        </is>
      </c>
      <c r="C210" s="52" t="inlineStr">
        <is>
          <t>Линия 1</t>
        </is>
      </c>
      <c r="D210" s="53" t="inlineStr">
        <is>
          <t>ночь</t>
        </is>
      </c>
      <c r="E210" s="66" t="inlineStr">
        <is>
          <t>Султанулы</t>
        </is>
      </c>
      <c r="F210" s="67" t="inlineStr">
        <is>
          <t>плоский 8</t>
        </is>
      </c>
      <c r="G210" s="68" t="n">
        <v>54</v>
      </c>
      <c r="H210" s="68" t="n">
        <v>1670</v>
      </c>
      <c r="I210" s="57">
        <f>IFERROR(H210*VLOOKUP(F210,[1]инфо!$A$15:$C$28,3,FALSE)/1000,0)</f>
        <v/>
      </c>
      <c r="J210" s="55" t="n">
        <v>1550</v>
      </c>
      <c r="K210" s="55" t="n"/>
      <c r="L210" s="68" t="n">
        <v>3</v>
      </c>
      <c r="M210" s="55" t="n">
        <v>100</v>
      </c>
      <c r="N210" s="55" t="n">
        <v>5461</v>
      </c>
      <c r="O210" s="58" t="n">
        <v>17290</v>
      </c>
      <c r="P210" s="58" t="n">
        <v>17283</v>
      </c>
      <c r="Q210" s="58" t="n"/>
      <c r="R210" s="58" t="n"/>
      <c r="S210" s="59">
        <f>SUM(O210:R210)</f>
        <v/>
      </c>
      <c r="T210" s="52" t="n"/>
      <c r="U210" s="53" t="n"/>
      <c r="V210" s="58" t="n"/>
      <c r="W210" s="68" t="n">
        <v>1620</v>
      </c>
      <c r="X210" s="58" t="n"/>
      <c r="Y210" s="52" t="n">
        <v>540</v>
      </c>
      <c r="Z210" s="58" t="n"/>
      <c r="AA210" s="58" t="n"/>
      <c r="AB210" s="58" t="n"/>
      <c r="AC210" s="69" t="n">
        <v>540</v>
      </c>
      <c r="AD210" s="53" t="n">
        <v>270</v>
      </c>
      <c r="AE210" s="61">
        <f>SUMIFS([1]инфо!$D$15:$D$28,[1]инфо!$A$15:$A$28,F210)</f>
        <v/>
      </c>
      <c r="AF210" s="62">
        <f>IF(H210=0,0,N210/H210)</f>
        <v/>
      </c>
      <c r="AG210" s="63">
        <f>AF210-AE210</f>
        <v/>
      </c>
      <c r="AH210" s="61">
        <f>SUMIFS([1]инфо!$E$15:$E$28,[1]инфо!$A$15:$A$28,F210)</f>
        <v/>
      </c>
      <c r="AI210" s="64">
        <f>IF(H210=0,0,S210/H210)</f>
        <v/>
      </c>
      <c r="AJ210" s="63">
        <f>AI210-AH210</f>
        <v/>
      </c>
      <c r="AK210" s="61">
        <f>SUMIFS([1]инфо!$F$15:$F$28,[1]инфо!$A$15:$A$28,F210)</f>
        <v/>
      </c>
      <c r="AL210" s="64">
        <f>IF(H210=0,0,Y210/H210)</f>
        <v/>
      </c>
      <c r="AM210" s="63">
        <f>AL210-AK210</f>
        <v/>
      </c>
      <c r="AN210" s="61">
        <f>SUMIFS([1]инфо!$G$15:$G$28,[1]инфо!$A$15:$A$28,F210)</f>
        <v/>
      </c>
      <c r="AO210" s="64">
        <f>IF(H210=0,0,AA210/H210)</f>
        <v/>
      </c>
      <c r="AP210" s="63">
        <f>AO210-AN210</f>
        <v/>
      </c>
      <c r="AQ210" s="61">
        <f>SUMIFS([1]инфо!$H$15:$H$28,[1]инфо!$A$15:$A$28,F210)</f>
        <v/>
      </c>
      <c r="AR210" s="62">
        <f>IF(H209=0,0,AC210/H209)</f>
        <v/>
      </c>
      <c r="AS210" s="63">
        <f>AR210-AQ210</f>
        <v/>
      </c>
      <c r="AT210" s="61">
        <f>SUMIFS([1]инфо!$I$15:$I$28,[1]инфо!$A$15:$A$28,F210)</f>
        <v/>
      </c>
      <c r="AU210" s="62">
        <f>IF(H210=0,0,AD210/H210)</f>
        <v/>
      </c>
      <c r="AV210" s="63">
        <f>AU210-AT210</f>
        <v/>
      </c>
      <c r="AX210" s="59">
        <f>SUMIFS([1]инфо!$C$15:$C$28,[1]инфо!$A$15:$A$28,F210)*H209</f>
        <v/>
      </c>
    </row>
    <row r="211">
      <c r="A211" s="71">
        <f>A209+1</f>
        <v/>
      </c>
      <c r="B211" s="86" t="inlineStr">
        <is>
          <t>0131</t>
        </is>
      </c>
      <c r="C211" s="77" t="inlineStr">
        <is>
          <t>Линия 1</t>
        </is>
      </c>
      <c r="D211" s="78" t="inlineStr">
        <is>
          <t>день</t>
        </is>
      </c>
      <c r="E211" s="66" t="inlineStr">
        <is>
          <t>Монаев</t>
        </is>
      </c>
      <c r="F211" s="67" t="inlineStr">
        <is>
          <t>плоский 8</t>
        </is>
      </c>
      <c r="G211" s="68" t="n">
        <v>36</v>
      </c>
      <c r="H211" s="68" t="n">
        <v>1040</v>
      </c>
      <c r="I211" s="57">
        <f>IFERROR(H211*VLOOKUP(F211,[1]инфо!$A$15:$C$28,3,FALSE)/1000,0)</f>
        <v/>
      </c>
      <c r="J211" s="55" t="n">
        <v>1250</v>
      </c>
      <c r="K211" s="55" t="n">
        <v>1</v>
      </c>
      <c r="L211" s="68" t="n"/>
      <c r="M211" s="55" t="n">
        <v>192</v>
      </c>
      <c r="N211" s="56" t="n">
        <v>3639</v>
      </c>
      <c r="O211" s="79" t="n">
        <v>13438</v>
      </c>
      <c r="P211" s="79" t="n">
        <v>9584</v>
      </c>
      <c r="Q211" s="79" t="n"/>
      <c r="R211" s="79" t="n"/>
      <c r="S211" s="80">
        <f>SUM(O211:R211)</f>
        <v/>
      </c>
      <c r="T211" s="77" t="n"/>
      <c r="U211" s="78" t="n"/>
      <c r="V211" s="79" t="n"/>
      <c r="W211" s="68" t="n">
        <v>1080</v>
      </c>
      <c r="X211" s="79" t="n"/>
      <c r="Y211" s="77" t="n">
        <v>360</v>
      </c>
      <c r="Z211" s="79" t="n"/>
      <c r="AA211" s="79" t="n"/>
      <c r="AB211" s="79" t="n"/>
      <c r="AC211" s="69" t="n">
        <v>360</v>
      </c>
      <c r="AD211" s="78" t="n">
        <v>180</v>
      </c>
      <c r="AE211" s="81">
        <f>SUMIFS([1]инфо!$D$15:$D$28,[1]инфо!$A$15:$A$28,F211)</f>
        <v/>
      </c>
      <c r="AF211" s="62">
        <f>IF(H211=0,0,N211/H211)</f>
        <v/>
      </c>
      <c r="AG211" s="82">
        <f>AF211-AE211</f>
        <v/>
      </c>
      <c r="AH211" s="81">
        <f>SUMIFS([1]инфо!$E$15:$E$28,[1]инфо!$A$15:$A$28,F211)</f>
        <v/>
      </c>
      <c r="AI211" s="64">
        <f>IF(H211=0,0,S211/H211)</f>
        <v/>
      </c>
      <c r="AJ211" s="82">
        <f>AI211-AH211</f>
        <v/>
      </c>
      <c r="AK211" s="81">
        <f>SUMIFS([1]инфо!$F$15:$F$28,[1]инфо!$A$15:$A$28,F211)</f>
        <v/>
      </c>
      <c r="AL211" s="64">
        <f>IF(H211=0,0,Y211/H211)</f>
        <v/>
      </c>
      <c r="AM211" s="82">
        <f>AL211-AK211</f>
        <v/>
      </c>
      <c r="AN211" s="81">
        <f>SUMIFS([1]инфо!$G$15:$G$28,[1]инфо!$A$15:$A$28,F211)</f>
        <v/>
      </c>
      <c r="AO211" s="64">
        <f>IF(H211=0,0,AA211/H211)</f>
        <v/>
      </c>
      <c r="AP211" s="82">
        <f>AO211-AN211</f>
        <v/>
      </c>
      <c r="AQ211" s="81">
        <f>SUMIFS([1]инфо!$H$15:$H$28,[1]инфо!$A$15:$A$28,F211)</f>
        <v/>
      </c>
      <c r="AR211" s="85">
        <f>IF(H210=0,0,AC211/H210)</f>
        <v/>
      </c>
      <c r="AS211" s="82">
        <f>AR211-AQ211</f>
        <v/>
      </c>
      <c r="AT211" s="81">
        <f>SUMIFS([1]инфо!$I$15:$I$28,[1]инфо!$A$15:$A$28,F211)</f>
        <v/>
      </c>
      <c r="AU211" s="62">
        <f>IF(H211=0,0,AD211/H211)</f>
        <v/>
      </c>
      <c r="AV211" s="82">
        <f>AU211-AT211</f>
        <v/>
      </c>
      <c r="AX211" s="80">
        <f>SUMIFS([1]инфо!$C$15:$C$28,[1]инфо!$A$15:$A$28,F211)*H210</f>
        <v/>
      </c>
    </row>
    <row r="212">
      <c r="A212" s="71">
        <f>A210+1</f>
        <v/>
      </c>
      <c r="B212" s="86" t="n"/>
      <c r="C212" s="72" t="inlineStr">
        <is>
          <t>Линия 1</t>
        </is>
      </c>
      <c r="D212" s="73" t="inlineStr">
        <is>
          <t>день</t>
        </is>
      </c>
      <c r="E212" s="66" t="inlineStr">
        <is>
          <t>Монаев</t>
        </is>
      </c>
      <c r="F212" s="67" t="inlineStr">
        <is>
          <t>плоский 10</t>
        </is>
      </c>
      <c r="G212" s="68" t="n"/>
      <c r="H212" s="68" t="n">
        <v>45</v>
      </c>
      <c r="I212" s="57">
        <f>IFERROR(H212*VLOOKUP(F212,[1]инфо!$A$15:$C$28,3,FALSE)/1000,0)</f>
        <v/>
      </c>
      <c r="J212" s="55" t="n"/>
      <c r="K212" s="55" t="n"/>
      <c r="L212" s="55" t="n"/>
      <c r="M212" s="55" t="n"/>
      <c r="N212" s="67" t="n"/>
      <c r="O212" s="74" t="n"/>
      <c r="P212" s="74" t="n"/>
      <c r="Q212" s="74" t="n"/>
      <c r="R212" s="74" t="n"/>
      <c r="S212" s="70">
        <f>SUM(O212:R212)</f>
        <v/>
      </c>
      <c r="T212" s="72" t="n"/>
      <c r="U212" s="73" t="n"/>
      <c r="V212" s="74" t="n"/>
      <c r="W212" s="68" t="n"/>
      <c r="X212" s="74" t="n"/>
      <c r="Y212" s="72" t="n"/>
      <c r="Z212" s="74" t="n"/>
      <c r="AA212" s="74" t="n"/>
      <c r="AB212" s="74" t="n"/>
      <c r="AC212" s="69" t="n"/>
      <c r="AD212" s="73" t="n"/>
      <c r="AE212" s="75">
        <f>SUMIFS([1]инфо!$D$15:$D$28,[1]инфо!$A$15:$A$28,F212)</f>
        <v/>
      </c>
      <c r="AF212" s="62">
        <f>IF(H212=0,0,N212/H212)</f>
        <v/>
      </c>
      <c r="AG212" s="76">
        <f>AF212-AE212</f>
        <v/>
      </c>
      <c r="AH212" s="75">
        <f>SUMIFS([1]инфо!$E$15:$E$28,[1]инфо!$A$15:$A$28,F212)</f>
        <v/>
      </c>
      <c r="AI212" s="64">
        <f>IF(H212=0,0,S212/H212)</f>
        <v/>
      </c>
      <c r="AJ212" s="76">
        <f>AI212-AH212</f>
        <v/>
      </c>
      <c r="AK212" s="75">
        <f>SUMIFS([1]инфо!$F$15:$F$28,[1]инфо!$A$15:$A$28,F212)</f>
        <v/>
      </c>
      <c r="AL212" s="64">
        <f>IF(H212=0,0,Y212/H212)</f>
        <v/>
      </c>
      <c r="AM212" s="76">
        <f>AL212-AK212</f>
        <v/>
      </c>
      <c r="AN212" s="75">
        <f>SUMIFS([1]инфо!$G$15:$G$28,[1]инфо!$A$15:$A$28,F212)</f>
        <v/>
      </c>
      <c r="AO212" s="64">
        <f>IF(H212=0,0,AA212/H212)</f>
        <v/>
      </c>
      <c r="AP212" s="76">
        <f>AO212-AN212</f>
        <v/>
      </c>
      <c r="AQ212" s="75">
        <f>SUMIFS([1]инфо!$H$15:$H$28,[1]инфо!$A$15:$A$28,F212)</f>
        <v/>
      </c>
      <c r="AR212" s="64">
        <f>IF(H211=0,0,AC212/H211)</f>
        <v/>
      </c>
      <c r="AS212" s="76">
        <f>AR212-AQ212</f>
        <v/>
      </c>
      <c r="AT212" s="75">
        <f>SUMIFS([1]инфо!$I$15:$I$28,[1]инфо!$A$15:$A$28,F212)</f>
        <v/>
      </c>
      <c r="AU212" s="62">
        <f>IF(H212=0,0,AD212/H212)</f>
        <v/>
      </c>
      <c r="AV212" s="76">
        <f>AU212-AT212</f>
        <v/>
      </c>
      <c r="AX212" s="70">
        <f>SUMIFS([1]инфо!$C$15:$C$28,[1]инфо!$A$15:$A$28,F212)*H211</f>
        <v/>
      </c>
    </row>
    <row r="213">
      <c r="A213" s="71" t="n">
        <v>46172</v>
      </c>
      <c r="B213" s="86" t="inlineStr">
        <is>
          <t>0132</t>
        </is>
      </c>
      <c r="C213" s="52" t="inlineStr">
        <is>
          <t>Линия 1</t>
        </is>
      </c>
      <c r="D213" s="53" t="inlineStr">
        <is>
          <t>ночь</t>
        </is>
      </c>
      <c r="E213" s="66" t="inlineStr">
        <is>
          <t>Дауылбай</t>
        </is>
      </c>
      <c r="F213" s="67" t="inlineStr">
        <is>
          <t>плоский 10</t>
        </is>
      </c>
      <c r="G213" s="68" t="n">
        <v>45</v>
      </c>
      <c r="H213" s="68" t="n">
        <v>1200</v>
      </c>
      <c r="I213" s="57">
        <f>IFERROR(H213*VLOOKUP(F213,[1]инфо!$A$15:$C$28,3,FALSE)/1000,0)</f>
        <v/>
      </c>
      <c r="J213" s="55" t="n">
        <v>1200</v>
      </c>
      <c r="K213" s="55" t="n"/>
      <c r="L213" s="55" t="n"/>
      <c r="M213" s="55" t="n">
        <v>81</v>
      </c>
      <c r="N213" s="55" t="n">
        <v>4574</v>
      </c>
      <c r="O213" s="58" t="n">
        <v>14735</v>
      </c>
      <c r="P213" s="58" t="n">
        <v>14062</v>
      </c>
      <c r="Q213" s="58" t="n"/>
      <c r="R213" s="58" t="n"/>
      <c r="S213" s="59">
        <f>SUM(O213:R213)</f>
        <v/>
      </c>
      <c r="T213" s="52" t="n"/>
      <c r="U213" s="53" t="n"/>
      <c r="V213" s="58" t="n"/>
      <c r="W213" s="68" t="n">
        <v>1350</v>
      </c>
      <c r="X213" s="58" t="n"/>
      <c r="Y213" s="52" t="n">
        <v>450</v>
      </c>
      <c r="Z213" s="58" t="n"/>
      <c r="AA213" s="58" t="n"/>
      <c r="AB213" s="58" t="n"/>
      <c r="AC213" s="69" t="n">
        <v>450</v>
      </c>
      <c r="AD213" s="53" t="n">
        <v>225</v>
      </c>
      <c r="AE213" s="61">
        <f>SUMIFS([1]инфо!$D$15:$D$28,[1]инфо!$A$15:$A$28,F213)</f>
        <v/>
      </c>
      <c r="AF213" s="62">
        <f>IF(H213=0,0,N213/H213)</f>
        <v/>
      </c>
      <c r="AG213" s="63">
        <f>AF213-AE213</f>
        <v/>
      </c>
      <c r="AH213" s="61">
        <f>SUMIFS([1]инфо!$E$15:$E$28,[1]инфо!$A$15:$A$28,F213)</f>
        <v/>
      </c>
      <c r="AI213" s="64">
        <f>IF(H213=0,0,S213/H213)</f>
        <v/>
      </c>
      <c r="AJ213" s="63">
        <f>AI213-AH213</f>
        <v/>
      </c>
      <c r="AK213" s="61">
        <f>SUMIFS([1]инфо!$F$15:$F$28,[1]инфо!$A$15:$A$28,F213)</f>
        <v/>
      </c>
      <c r="AL213" s="64">
        <f>IF(H213=0,0,Y213/H213)</f>
        <v/>
      </c>
      <c r="AM213" s="63">
        <f>AL213-AK213</f>
        <v/>
      </c>
      <c r="AN213" s="61">
        <f>SUMIFS([1]инфо!$G$15:$G$28,[1]инфо!$A$15:$A$28,F213)</f>
        <v/>
      </c>
      <c r="AO213" s="64">
        <f>IF(H213=0,0,AA213/H213)</f>
        <v/>
      </c>
      <c r="AP213" s="63">
        <f>AO213-AN213</f>
        <v/>
      </c>
      <c r="AQ213" s="61">
        <f>SUMIFS([1]инфо!$H$15:$H$28,[1]инфо!$A$15:$A$28,F213)</f>
        <v/>
      </c>
      <c r="AR213" s="62">
        <f>IF(H212=0,0,AC213/H212)</f>
        <v/>
      </c>
      <c r="AS213" s="63">
        <f>AR213-AQ213</f>
        <v/>
      </c>
      <c r="AT213" s="61">
        <f>SUMIFS([1]инфо!$I$15:$I$28,[1]инфо!$A$15:$A$28,F213)</f>
        <v/>
      </c>
      <c r="AU213" s="62">
        <f>IF(H213=0,0,AD213/H213)</f>
        <v/>
      </c>
      <c r="AV213" s="63">
        <f>AU213-AT213</f>
        <v/>
      </c>
      <c r="AX213" s="59">
        <f>SUMIFS([1]инфо!$C$15:$C$28,[1]инфо!$A$15:$A$28,F213)*H212</f>
        <v/>
      </c>
    </row>
    <row r="214">
      <c r="A214" s="71">
        <f>A212+1</f>
        <v/>
      </c>
      <c r="B214" s="86" t="inlineStr">
        <is>
          <t>0133</t>
        </is>
      </c>
      <c r="C214" s="52" t="inlineStr">
        <is>
          <t>Линия 1</t>
        </is>
      </c>
      <c r="D214" s="53" t="inlineStr">
        <is>
          <t>день</t>
        </is>
      </c>
      <c r="E214" s="66" t="inlineStr">
        <is>
          <t>Бекбосынов</t>
        </is>
      </c>
      <c r="F214" s="67" t="inlineStr">
        <is>
          <t>плоский 10</t>
        </is>
      </c>
      <c r="G214" s="68" t="n">
        <v>30</v>
      </c>
      <c r="H214" s="68" t="n">
        <v>800</v>
      </c>
      <c r="I214" s="57">
        <f>IFERROR(H214*VLOOKUP(F214,[1]инфо!$A$15:$C$28,3,FALSE)/1000,0)</f>
        <v/>
      </c>
      <c r="J214" s="55" t="n">
        <v>950</v>
      </c>
      <c r="K214" s="55" t="n"/>
      <c r="L214" s="55" t="n"/>
      <c r="M214" s="55" t="n">
        <v>116</v>
      </c>
      <c r="N214" s="55" t="n">
        <v>3051</v>
      </c>
      <c r="O214" s="58" t="n">
        <v>9606</v>
      </c>
      <c r="P214" s="58" t="n">
        <v>9596</v>
      </c>
      <c r="Q214" s="58" t="n"/>
      <c r="R214" s="58" t="n"/>
      <c r="S214" s="59">
        <f>SUM(O214:R214)</f>
        <v/>
      </c>
      <c r="T214" s="52" t="n"/>
      <c r="U214" s="53" t="n"/>
      <c r="V214" s="58" t="n"/>
      <c r="W214" s="68" t="n">
        <v>900</v>
      </c>
      <c r="X214" s="58" t="n"/>
      <c r="Y214" s="52" t="n">
        <v>300</v>
      </c>
      <c r="Z214" s="58" t="n"/>
      <c r="AA214" s="58" t="n"/>
      <c r="AB214" s="58" t="n"/>
      <c r="AC214" s="69" t="n">
        <v>300</v>
      </c>
      <c r="AD214" s="53" t="n">
        <v>150</v>
      </c>
      <c r="AE214" s="61">
        <f>SUMIFS([1]инфо!$D$15:$D$28,[1]инфо!$A$15:$A$28,F214)</f>
        <v/>
      </c>
      <c r="AF214" s="62">
        <f>IF(H214=0,0,N214/H214)</f>
        <v/>
      </c>
      <c r="AG214" s="63">
        <f>AF214-AE214</f>
        <v/>
      </c>
      <c r="AH214" s="61">
        <f>SUMIFS([1]инфо!$E$15:$E$28,[1]инфо!$A$15:$A$28,F214)</f>
        <v/>
      </c>
      <c r="AI214" s="64">
        <f>IF(H214=0,0,S214/H214)</f>
        <v/>
      </c>
      <c r="AJ214" s="63">
        <f>AI214-AH214</f>
        <v/>
      </c>
      <c r="AK214" s="61">
        <f>SUMIFS([1]инфо!$F$15:$F$28,[1]инфо!$A$15:$A$28,F214)</f>
        <v/>
      </c>
      <c r="AL214" s="64">
        <f>IF(H214=0,0,Y214/H214)</f>
        <v/>
      </c>
      <c r="AM214" s="63">
        <f>AL214-AK214</f>
        <v/>
      </c>
      <c r="AN214" s="61">
        <f>SUMIFS([1]инфо!$G$15:$G$28,[1]инфо!$A$15:$A$28,F214)</f>
        <v/>
      </c>
      <c r="AO214" s="64">
        <f>IF(H214=0,0,AA214/H214)</f>
        <v/>
      </c>
      <c r="AP214" s="63">
        <f>AO214-AN214</f>
        <v/>
      </c>
      <c r="AQ214" s="61">
        <f>SUMIFS([1]инфо!$H$15:$H$28,[1]инфо!$A$15:$A$28,F214)</f>
        <v/>
      </c>
      <c r="AR214" s="62">
        <f>IF(H213=0,0,AC214/H213)</f>
        <v/>
      </c>
      <c r="AS214" s="63">
        <f>AR214-AQ214</f>
        <v/>
      </c>
      <c r="AT214" s="61">
        <f>SUMIFS([1]инфо!$I$15:$I$28,[1]инфо!$A$15:$A$28,F214)</f>
        <v/>
      </c>
      <c r="AU214" s="62">
        <f>IF(H214=0,0,AD214/H214)</f>
        <v/>
      </c>
      <c r="AV214" s="63">
        <f>AU214-AT214</f>
        <v/>
      </c>
      <c r="AX214" s="59">
        <f>SUMIFS([1]инфо!$C$15:$C$28,[1]инфо!$A$15:$A$28,F214)*H213</f>
        <v/>
      </c>
    </row>
    <row r="215">
      <c r="A215" s="71">
        <f>A213+1</f>
        <v/>
      </c>
      <c r="B215" s="86" t="inlineStr">
        <is>
          <t>0134</t>
        </is>
      </c>
      <c r="C215" s="77" t="inlineStr">
        <is>
          <t>Линия 1</t>
        </is>
      </c>
      <c r="D215" s="78" t="inlineStr">
        <is>
          <t>ночь</t>
        </is>
      </c>
      <c r="E215" s="66" t="inlineStr">
        <is>
          <t>Монаев</t>
        </is>
      </c>
      <c r="F215" s="67" t="inlineStr">
        <is>
          <t>плоский 10</t>
        </is>
      </c>
      <c r="G215" s="68" t="n">
        <v>39</v>
      </c>
      <c r="H215" s="68" t="n">
        <v>1100</v>
      </c>
      <c r="I215" s="57">
        <f>IFERROR(H215*VLOOKUP(F215,[1]инфо!$A$15:$C$28,3,FALSE)/1000,0)</f>
        <v/>
      </c>
      <c r="J215" s="55" t="n">
        <v>1000</v>
      </c>
      <c r="K215" s="55" t="n">
        <v>1</v>
      </c>
      <c r="L215" s="55" t="n"/>
      <c r="M215" s="55" t="n">
        <v>96</v>
      </c>
      <c r="N215" s="56" t="n">
        <v>3939</v>
      </c>
      <c r="O215" s="79" t="n">
        <v>12797</v>
      </c>
      <c r="P215" s="79" t="n">
        <v>12137</v>
      </c>
      <c r="Q215" s="79" t="n"/>
      <c r="R215" s="79" t="n"/>
      <c r="S215" s="80">
        <f>SUM(O215:R215)</f>
        <v/>
      </c>
      <c r="T215" s="77" t="n"/>
      <c r="U215" s="78" t="n"/>
      <c r="V215" s="79" t="n"/>
      <c r="W215" s="68" t="n">
        <v>1170</v>
      </c>
      <c r="X215" s="79" t="n"/>
      <c r="Y215" s="77" t="n">
        <v>390</v>
      </c>
      <c r="Z215" s="79" t="n"/>
      <c r="AA215" s="79" t="n"/>
      <c r="AB215" s="79" t="n"/>
      <c r="AC215" s="69" t="n">
        <v>390</v>
      </c>
      <c r="AD215" s="78" t="n">
        <v>195</v>
      </c>
      <c r="AE215" s="81">
        <f>SUMIFS([1]инфо!$D$15:$D$28,[1]инфо!$A$15:$A$28,F215)</f>
        <v/>
      </c>
      <c r="AF215" s="62">
        <f>IF(H215=0,0,N215/H215)</f>
        <v/>
      </c>
      <c r="AG215" s="82">
        <f>AF215-AE215</f>
        <v/>
      </c>
      <c r="AH215" s="81">
        <f>SUMIFS([1]инфо!$E$15:$E$28,[1]инфо!$A$15:$A$28,F215)</f>
        <v/>
      </c>
      <c r="AI215" s="64">
        <f>IF(H215=0,0,S215/H215)</f>
        <v/>
      </c>
      <c r="AJ215" s="82">
        <f>AI215-AH215</f>
        <v/>
      </c>
      <c r="AK215" s="81">
        <f>SUMIFS([1]инфо!$F$15:$F$28,[1]инфо!$A$15:$A$28,F215)</f>
        <v/>
      </c>
      <c r="AL215" s="64">
        <f>IF(H215=0,0,Y215/H215)</f>
        <v/>
      </c>
      <c r="AM215" s="82">
        <f>AL215-AK215</f>
        <v/>
      </c>
      <c r="AN215" s="81">
        <f>SUMIFS([1]инфо!$G$15:$G$28,[1]инфо!$A$15:$A$28,F215)</f>
        <v/>
      </c>
      <c r="AO215" s="64">
        <f>IF(H215=0,0,AA215/H215)</f>
        <v/>
      </c>
      <c r="AP215" s="82">
        <f>AO215-AN215</f>
        <v/>
      </c>
      <c r="AQ215" s="81">
        <f>SUMIFS([1]инфо!$H$15:$H$28,[1]инфо!$A$15:$A$28,F215)</f>
        <v/>
      </c>
      <c r="AR215" s="85">
        <f>IF(H214=0,0,AC215/H214)</f>
        <v/>
      </c>
      <c r="AS215" s="82">
        <f>AR215-AQ215</f>
        <v/>
      </c>
      <c r="AT215" s="81">
        <f>SUMIFS([1]инфо!$I$15:$I$28,[1]инфо!$A$15:$A$28,F215)</f>
        <v/>
      </c>
      <c r="AU215" s="62">
        <f>IF(H215=0,0,AD215/H215)</f>
        <v/>
      </c>
      <c r="AV215" s="82">
        <f>AU215-AT215</f>
        <v/>
      </c>
      <c r="AX215" s="80">
        <f>SUMIFS([1]инфо!$C$15:$C$28,[1]инфо!$A$15:$A$28,F215)*H214</f>
        <v/>
      </c>
    </row>
    <row r="216">
      <c r="A216" s="71">
        <f>A214+1</f>
        <v/>
      </c>
      <c r="B216" s="86" t="inlineStr">
        <is>
          <t>0135</t>
        </is>
      </c>
      <c r="C216" s="72" t="inlineStr">
        <is>
          <t>Линия 1</t>
        </is>
      </c>
      <c r="D216" s="73" t="inlineStr">
        <is>
          <t>день</t>
        </is>
      </c>
      <c r="E216" s="66" t="inlineStr">
        <is>
          <t>Султанулы</t>
        </is>
      </c>
      <c r="F216" s="67" t="inlineStr">
        <is>
          <t>плоский 10</t>
        </is>
      </c>
      <c r="G216" s="68" t="n">
        <v>13</v>
      </c>
      <c r="H216" s="68" t="n">
        <v>400</v>
      </c>
      <c r="I216" s="57">
        <f>IFERROR(H216*VLOOKUP(F216,[1]инфо!$A$15:$C$28,3,FALSE)/1000,0)</f>
        <v/>
      </c>
      <c r="J216" s="55" t="n">
        <v>500</v>
      </c>
      <c r="K216" s="55" t="n"/>
      <c r="L216" s="55" t="n"/>
      <c r="M216" s="55" t="n">
        <v>104</v>
      </c>
      <c r="N216" s="67" t="n">
        <v>1321</v>
      </c>
      <c r="O216" s="74" t="n">
        <v>2561</v>
      </c>
      <c r="P216" s="74" t="n">
        <v>5743</v>
      </c>
      <c r="Q216" s="74" t="n"/>
      <c r="R216" s="74" t="n"/>
      <c r="S216" s="70">
        <f>SUM(O216:R216)</f>
        <v/>
      </c>
      <c r="T216" s="72" t="n"/>
      <c r="U216" s="73" t="n"/>
      <c r="V216" s="74" t="n"/>
      <c r="W216" s="68" t="n">
        <v>390</v>
      </c>
      <c r="X216" s="74" t="n"/>
      <c r="Y216" s="72" t="n">
        <v>130</v>
      </c>
      <c r="Z216" s="74" t="n"/>
      <c r="AA216" s="74" t="n"/>
      <c r="AB216" s="74" t="n"/>
      <c r="AC216" s="69" t="n">
        <v>130</v>
      </c>
      <c r="AD216" s="73" t="n">
        <v>65</v>
      </c>
      <c r="AE216" s="75">
        <f>SUMIFS([1]инфо!$D$15:$D$28,[1]инфо!$A$15:$A$28,F216)</f>
        <v/>
      </c>
      <c r="AF216" s="62">
        <f>IF(H216=0,0,N216/H216)</f>
        <v/>
      </c>
      <c r="AG216" s="76">
        <f>AF216-AE216</f>
        <v/>
      </c>
      <c r="AH216" s="75">
        <f>SUMIFS([1]инфо!$E$15:$E$28,[1]инфо!$A$15:$A$28,F216)</f>
        <v/>
      </c>
      <c r="AI216" s="64">
        <f>IF(H216=0,0,S216/H216)</f>
        <v/>
      </c>
      <c r="AJ216" s="76">
        <f>AI216-AH216</f>
        <v/>
      </c>
      <c r="AK216" s="75">
        <f>SUMIFS([1]инфо!$F$15:$F$28,[1]инфо!$A$15:$A$28,F216)</f>
        <v/>
      </c>
      <c r="AL216" s="64">
        <f>IF(H216=0,0,Y216/H216)</f>
        <v/>
      </c>
      <c r="AM216" s="76">
        <f>AL216-AK216</f>
        <v/>
      </c>
      <c r="AN216" s="75">
        <f>SUMIFS([1]инфо!$G$15:$G$28,[1]инфо!$A$15:$A$28,F216)</f>
        <v/>
      </c>
      <c r="AO216" s="64">
        <f>IF(H216=0,0,AA216/H216)</f>
        <v/>
      </c>
      <c r="AP216" s="76">
        <f>AO216-AN216</f>
        <v/>
      </c>
      <c r="AQ216" s="75">
        <f>SUMIFS([1]инфо!$H$15:$H$28,[1]инфо!$A$15:$A$28,F216)</f>
        <v/>
      </c>
      <c r="AR216" s="64">
        <f>IF(H215=0,0,AC216/H215)</f>
        <v/>
      </c>
      <c r="AS216" s="76">
        <f>AR216-AQ216</f>
        <v/>
      </c>
      <c r="AT216" s="75">
        <f>SUMIFS([1]инфо!$I$15:$I$28,[1]инфо!$A$15:$A$28,F216)</f>
        <v/>
      </c>
      <c r="AU216" s="62">
        <f>IF(H216=0,0,AD216/H216)</f>
        <v/>
      </c>
      <c r="AV216" s="76">
        <f>AU216-AT216</f>
        <v/>
      </c>
      <c r="AX216" s="70">
        <f>SUMIFS([1]инфо!$C$15:$C$28,[1]инфо!$A$15:$A$28,F216)*H215</f>
        <v/>
      </c>
    </row>
    <row r="217">
      <c r="A217" s="71">
        <f>A215+1</f>
        <v/>
      </c>
      <c r="B217" s="86" t="inlineStr">
        <is>
          <t>0136</t>
        </is>
      </c>
      <c r="C217" s="52" t="inlineStr">
        <is>
          <t>Линия 1</t>
        </is>
      </c>
      <c r="D217" s="53" t="inlineStr">
        <is>
          <t>ночь</t>
        </is>
      </c>
      <c r="E217" s="66" t="inlineStr">
        <is>
          <t>Бекбосынов</t>
        </is>
      </c>
      <c r="F217" s="67" t="inlineStr">
        <is>
          <t>плоский 10</t>
        </is>
      </c>
      <c r="G217" s="68" t="n">
        <v>31</v>
      </c>
      <c r="H217" s="68" t="n">
        <v>840</v>
      </c>
      <c r="I217" s="57">
        <f>IFERROR(H217*VLOOKUP(F217,[1]инфо!$A$15:$C$28,3,FALSE)/1000,0)</f>
        <v/>
      </c>
      <c r="J217" s="55" t="n">
        <v>800</v>
      </c>
      <c r="K217" s="55" t="n"/>
      <c r="L217" s="55" t="n"/>
      <c r="M217" s="55" t="n">
        <v>83</v>
      </c>
      <c r="N217" s="55" t="n">
        <v>3144</v>
      </c>
      <c r="O217" s="58" t="n">
        <v>8954</v>
      </c>
      <c r="P217" s="58" t="n">
        <v>10864</v>
      </c>
      <c r="Q217" s="58" t="n"/>
      <c r="R217" s="58" t="n"/>
      <c r="S217" s="59">
        <f>SUM(O217:R217)</f>
        <v/>
      </c>
      <c r="T217" s="52" t="n"/>
      <c r="U217" s="53" t="n"/>
      <c r="V217" s="58" t="n"/>
      <c r="W217" s="68" t="n">
        <v>930</v>
      </c>
      <c r="X217" s="58" t="n"/>
      <c r="Y217" s="52" t="n">
        <v>310</v>
      </c>
      <c r="Z217" s="58" t="n"/>
      <c r="AA217" s="58" t="n"/>
      <c r="AB217" s="58" t="n"/>
      <c r="AC217" s="69" t="n">
        <v>310</v>
      </c>
      <c r="AD217" s="53" t="n">
        <v>155</v>
      </c>
      <c r="AE217" s="61">
        <f>SUMIFS([1]инфо!$D$15:$D$28,[1]инфо!$A$15:$A$28,F217)</f>
        <v/>
      </c>
      <c r="AF217" s="62">
        <f>IF(H217=0,0,N217/H217)</f>
        <v/>
      </c>
      <c r="AG217" s="63">
        <f>AF217-AE217</f>
        <v/>
      </c>
      <c r="AH217" s="61">
        <f>SUMIFS([1]инфо!$E$15:$E$28,[1]инфо!$A$15:$A$28,F217)</f>
        <v/>
      </c>
      <c r="AI217" s="64">
        <f>IF(H217=0,0,S217/H217)</f>
        <v/>
      </c>
      <c r="AJ217" s="63">
        <f>AI217-AH217</f>
        <v/>
      </c>
      <c r="AK217" s="61">
        <f>SUMIFS([1]инфо!$F$15:$F$28,[1]инфо!$A$15:$A$28,F217)</f>
        <v/>
      </c>
      <c r="AL217" s="64">
        <f>IF(H217=0,0,Y217/H217)</f>
        <v/>
      </c>
      <c r="AM217" s="63">
        <f>AL217-AK217</f>
        <v/>
      </c>
      <c r="AN217" s="61">
        <f>SUMIFS([1]инфо!$G$15:$G$28,[1]инфо!$A$15:$A$28,F217)</f>
        <v/>
      </c>
      <c r="AO217" s="64">
        <f>IF(H217=0,0,AA217/H217)</f>
        <v/>
      </c>
      <c r="AP217" s="63">
        <f>AO217-AN217</f>
        <v/>
      </c>
      <c r="AQ217" s="61">
        <f>SUMIFS([1]инфо!$H$15:$H$28,[1]инфо!$A$15:$A$28,F217)</f>
        <v/>
      </c>
      <c r="AR217" s="62">
        <f>IF(H216=0,0,AC217/H216)</f>
        <v/>
      </c>
      <c r="AS217" s="63">
        <f>AR217-AQ217</f>
        <v/>
      </c>
      <c r="AT217" s="61">
        <f>SUMIFS([1]инфо!$I$15:$I$28,[1]инфо!$A$15:$A$28,F217)</f>
        <v/>
      </c>
      <c r="AU217" s="62">
        <f>IF(H217=0,0,AD217/H217)</f>
        <v/>
      </c>
      <c r="AV217" s="63">
        <f>AU217-AT217</f>
        <v/>
      </c>
      <c r="AX217" s="59">
        <f>SUMIFS([1]инфо!$C$15:$C$28,[1]инфо!$A$15:$A$28,F217)*H216</f>
        <v/>
      </c>
    </row>
    <row r="218">
      <c r="A218" s="71">
        <f>A216+1</f>
        <v/>
      </c>
      <c r="B218" s="86" t="inlineStr">
        <is>
          <t>0137</t>
        </is>
      </c>
      <c r="C218" s="52" t="inlineStr">
        <is>
          <t>Линия 1</t>
        </is>
      </c>
      <c r="D218" s="53" t="inlineStr">
        <is>
          <t>день</t>
        </is>
      </c>
      <c r="E218" s="66" t="inlineStr">
        <is>
          <t>Дауылбай</t>
        </is>
      </c>
      <c r="F218" s="67" t="inlineStr">
        <is>
          <t>плоский 10</t>
        </is>
      </c>
      <c r="G218" s="68" t="n"/>
      <c r="H218" s="68" t="n"/>
      <c r="I218" s="57">
        <f>IFERROR(H218*VLOOKUP(F218,[1]инфо!$A$15:$C$28,3,FALSE)/1000,0)</f>
        <v/>
      </c>
      <c r="J218" s="55" t="n">
        <v>413</v>
      </c>
      <c r="K218" s="55" t="n">
        <v>1</v>
      </c>
      <c r="L218" s="55" t="n"/>
      <c r="M218" s="55" t="n"/>
      <c r="N218" s="55" t="n"/>
      <c r="O218" s="58" t="n"/>
      <c r="P218" s="58" t="n"/>
      <c r="Q218" s="58" t="n"/>
      <c r="R218" s="58" t="n"/>
      <c r="S218" s="59">
        <f>SUM(O218:R218)</f>
        <v/>
      </c>
      <c r="T218" s="52" t="n"/>
      <c r="U218" s="53" t="n"/>
      <c r="V218" s="58" t="n"/>
      <c r="W218" s="68" t="n"/>
      <c r="X218" s="58" t="n"/>
      <c r="Y218" s="52" t="n"/>
      <c r="Z218" s="58" t="n"/>
      <c r="AA218" s="58" t="n"/>
      <c r="AB218" s="58" t="n"/>
      <c r="AC218" s="69" t="n"/>
      <c r="AD218" s="53" t="n"/>
      <c r="AE218" s="61">
        <f>SUMIFS([1]инфо!$D$15:$D$28,[1]инфо!$A$15:$A$28,F218)</f>
        <v/>
      </c>
      <c r="AF218" s="62">
        <f>IF(H218=0,0,N218/H218)</f>
        <v/>
      </c>
      <c r="AG218" s="63">
        <f>AF218-AE218</f>
        <v/>
      </c>
      <c r="AH218" s="61">
        <f>SUMIFS([1]инфо!$E$15:$E$28,[1]инфо!$A$15:$A$28,F218)</f>
        <v/>
      </c>
      <c r="AI218" s="64">
        <f>IF(H218=0,0,S218/H218)</f>
        <v/>
      </c>
      <c r="AJ218" s="63">
        <f>AI218-AH218</f>
        <v/>
      </c>
      <c r="AK218" s="61">
        <f>SUMIFS([1]инфо!$F$15:$F$28,[1]инфо!$A$15:$A$28,F218)</f>
        <v/>
      </c>
      <c r="AL218" s="64">
        <f>IF(H218=0,0,Y218/H218)</f>
        <v/>
      </c>
      <c r="AM218" s="63">
        <f>AL218-AK218</f>
        <v/>
      </c>
      <c r="AN218" s="61">
        <f>SUMIFS([1]инфо!$G$15:$G$28,[1]инфо!$A$15:$A$28,F218)</f>
        <v/>
      </c>
      <c r="AO218" s="64">
        <f>IF(H218=0,0,AA218/H218)</f>
        <v/>
      </c>
      <c r="AP218" s="63">
        <f>AO218-AN218</f>
        <v/>
      </c>
      <c r="AQ218" s="61">
        <f>SUMIFS([1]инфо!$H$15:$H$28,[1]инфо!$A$15:$A$28,F218)</f>
        <v/>
      </c>
      <c r="AR218" s="62">
        <f>IF(H217=0,0,AC218/H217)</f>
        <v/>
      </c>
      <c r="AS218" s="63">
        <f>AR218-AQ218</f>
        <v/>
      </c>
      <c r="AT218" s="61">
        <f>SUMIFS([1]инфо!$I$15:$I$28,[1]инфо!$A$15:$A$28,F218)</f>
        <v/>
      </c>
      <c r="AU218" s="62">
        <f>IF(H218=0,0,AD218/H218)</f>
        <v/>
      </c>
      <c r="AV218" s="63">
        <f>AU218-AT218</f>
        <v/>
      </c>
      <c r="AX218" s="59">
        <f>SUMIFS([1]инфо!$C$15:$C$28,[1]инфо!$A$15:$A$28,F218)*H217</f>
        <v/>
      </c>
    </row>
    <row r="219">
      <c r="A219" s="71" t="n"/>
      <c r="B219" s="86" t="n"/>
      <c r="C219" s="77" t="inlineStr">
        <is>
          <t>линия 2</t>
        </is>
      </c>
      <c r="D219" s="78" t="inlineStr">
        <is>
          <t>день</t>
        </is>
      </c>
      <c r="E219" s="66" t="inlineStr">
        <is>
          <t>Дауылбай</t>
        </is>
      </c>
      <c r="F219" s="67" t="inlineStr">
        <is>
          <t>7 волн 3500*980</t>
        </is>
      </c>
      <c r="G219" s="68" t="n">
        <v>11</v>
      </c>
      <c r="H219" s="68" t="n">
        <v>140</v>
      </c>
      <c r="I219" s="57">
        <f>IFERROR(H219*VLOOKUP(F219,[1]инфо!$A$15:$C$28,3,FALSE)/1000,0)</f>
        <v/>
      </c>
      <c r="J219" s="55" t="n"/>
      <c r="K219" s="55" t="n"/>
      <c r="L219" s="55" t="n"/>
      <c r="M219" s="55" t="n">
        <v>75</v>
      </c>
      <c r="N219" s="56" t="n">
        <v>1111</v>
      </c>
      <c r="O219" s="79" t="n"/>
      <c r="P219" s="79" t="n"/>
      <c r="Q219" s="79" t="n">
        <v>2971</v>
      </c>
      <c r="R219" s="79" t="n">
        <v>3830</v>
      </c>
      <c r="S219" s="80">
        <f>SUM(O219:R219)</f>
        <v/>
      </c>
      <c r="T219" s="77" t="n"/>
      <c r="U219" s="78" t="n"/>
      <c r="V219" s="79" t="n"/>
      <c r="W219" s="68" t="n">
        <v>330</v>
      </c>
      <c r="X219" s="79" t="n"/>
      <c r="Y219" s="77" t="n">
        <v>90</v>
      </c>
      <c r="Z219" s="79" t="n"/>
      <c r="AA219" s="79" t="n">
        <v>22</v>
      </c>
      <c r="AB219" s="79" t="n"/>
      <c r="AC219" s="69" t="n">
        <v>110</v>
      </c>
      <c r="AD219" s="78" t="n"/>
      <c r="AE219" s="81">
        <f>SUMIFS([1]инфо!$D$15:$D$28,[1]инфо!$A$15:$A$28,F219)</f>
        <v/>
      </c>
      <c r="AF219" s="62">
        <f>IF(H219=0,0,N219/H219)</f>
        <v/>
      </c>
      <c r="AG219" s="82">
        <f>AF219-AE219</f>
        <v/>
      </c>
      <c r="AH219" s="81">
        <f>SUMIFS([1]инфо!$E$15:$E$28,[1]инфо!$A$15:$A$28,F219)</f>
        <v/>
      </c>
      <c r="AI219" s="64">
        <f>IF(H219=0,0,S219/H219)</f>
        <v/>
      </c>
      <c r="AJ219" s="82">
        <f>AI219-AH219</f>
        <v/>
      </c>
      <c r="AK219" s="81">
        <f>SUMIFS([1]инфо!$F$15:$F$28,[1]инфо!$A$15:$A$28,F219)</f>
        <v/>
      </c>
      <c r="AL219" s="64">
        <f>IF(H219=0,0,Y219/H219)</f>
        <v/>
      </c>
      <c r="AM219" s="82">
        <f>AL219-AK219</f>
        <v/>
      </c>
      <c r="AN219" s="81">
        <f>SUMIFS([1]инфо!$G$15:$G$28,[1]инфо!$A$15:$A$28,F219)</f>
        <v/>
      </c>
      <c r="AO219" s="64">
        <f>IF(H219=0,0,AA219/H219)</f>
        <v/>
      </c>
      <c r="AP219" s="82">
        <f>AO219-AN219</f>
        <v/>
      </c>
      <c r="AQ219" s="81">
        <f>SUMIFS([1]инфо!$H$15:$H$28,[1]инфо!$A$15:$A$28,F219)</f>
        <v/>
      </c>
      <c r="AR219" s="85">
        <f>IF(H218=0,0,AC219/H218)</f>
        <v/>
      </c>
      <c r="AS219" s="82">
        <f>AR219-AQ219</f>
        <v/>
      </c>
      <c r="AT219" s="81">
        <f>SUMIFS([1]инфо!$I$15:$I$28,[1]инфо!$A$15:$A$28,F219)</f>
        <v/>
      </c>
      <c r="AU219" s="62">
        <f>IF(H219=0,0,AD219/H219)</f>
        <v/>
      </c>
      <c r="AV219" s="82">
        <f>AU219-AT219</f>
        <v/>
      </c>
      <c r="AX219" s="80">
        <f>SUMIFS([1]инфо!$C$15:$C$28,[1]инфо!$A$15:$A$28,F219)*H218</f>
        <v/>
      </c>
    </row>
    <row r="220">
      <c r="A220" s="71" t="n">
        <v>46175</v>
      </c>
      <c r="B220" s="86" t="inlineStr">
        <is>
          <t>0138</t>
        </is>
      </c>
      <c r="C220" s="72" t="inlineStr">
        <is>
          <t>линия 2</t>
        </is>
      </c>
      <c r="D220" s="73" t="inlineStr">
        <is>
          <t>ночь</t>
        </is>
      </c>
      <c r="E220" s="66" t="inlineStr">
        <is>
          <t>Султанулы</t>
        </is>
      </c>
      <c r="F220" s="67" t="inlineStr">
        <is>
          <t>7 волн 3500*980</t>
        </is>
      </c>
      <c r="G220" s="68" t="n">
        <v>35</v>
      </c>
      <c r="H220" s="68" t="n">
        <v>990</v>
      </c>
      <c r="I220" s="57">
        <f>IFERROR(H220*VLOOKUP(F220,[1]инфо!$A$15:$C$28,3,FALSE)/1000,0)</f>
        <v/>
      </c>
      <c r="J220" s="55" t="n">
        <v>540</v>
      </c>
      <c r="K220" s="55" t="n">
        <v>17</v>
      </c>
      <c r="L220" s="55" t="n">
        <v>11</v>
      </c>
      <c r="M220" s="55" t="n">
        <v>200</v>
      </c>
      <c r="N220" s="67" t="n">
        <v>3552</v>
      </c>
      <c r="O220" s="74" t="n"/>
      <c r="P220" s="74" t="n"/>
      <c r="Q220" s="74" t="n">
        <v>15273</v>
      </c>
      <c r="R220" s="74" t="n">
        <v>7012</v>
      </c>
      <c r="S220" s="70">
        <f>SUM(O220:R220)</f>
        <v/>
      </c>
      <c r="T220" s="72" t="n"/>
      <c r="U220" s="73" t="n"/>
      <c r="V220" s="74" t="n"/>
      <c r="W220" s="68" t="n">
        <v>1050</v>
      </c>
      <c r="X220" s="74" t="n"/>
      <c r="Y220" s="72" t="n">
        <v>350</v>
      </c>
      <c r="Z220" s="74" t="n"/>
      <c r="AA220" s="74" t="n">
        <v>70</v>
      </c>
      <c r="AB220" s="74" t="n"/>
      <c r="AC220" s="69" t="n">
        <v>350</v>
      </c>
      <c r="AD220" s="73" t="n">
        <v>175</v>
      </c>
      <c r="AE220" s="75">
        <f>SUMIFS([1]инфо!$D$15:$D$28,[1]инфо!$A$15:$A$28,F220)</f>
        <v/>
      </c>
      <c r="AF220" s="62">
        <f>IF(H220=0,0,N220/H220)</f>
        <v/>
      </c>
      <c r="AG220" s="76">
        <f>AF220-AE220</f>
        <v/>
      </c>
      <c r="AH220" s="75">
        <f>SUMIFS([1]инфо!$E$15:$E$28,[1]инфо!$A$15:$A$28,F220)</f>
        <v/>
      </c>
      <c r="AI220" s="64">
        <f>IF(H220=0,0,S220/H220)</f>
        <v/>
      </c>
      <c r="AJ220" s="76">
        <f>AI220-AH220</f>
        <v/>
      </c>
      <c r="AK220" s="75">
        <f>SUMIFS([1]инфо!$F$15:$F$28,[1]инфо!$A$15:$A$28,F220)</f>
        <v/>
      </c>
      <c r="AL220" s="64">
        <f>IF(H220=0,0,Y220/H220)</f>
        <v/>
      </c>
      <c r="AM220" s="76">
        <f>AL220-AK220</f>
        <v/>
      </c>
      <c r="AN220" s="75">
        <f>SUMIFS([1]инфо!$G$15:$G$28,[1]инфо!$A$15:$A$28,F220)</f>
        <v/>
      </c>
      <c r="AO220" s="64">
        <f>IF(H220=0,0,AA220/H220)</f>
        <v/>
      </c>
      <c r="AP220" s="76">
        <f>AO220-AN220</f>
        <v/>
      </c>
      <c r="AQ220" s="75">
        <f>SUMIFS([1]инфо!$H$15:$H$28,[1]инфо!$A$15:$A$28,F220)</f>
        <v/>
      </c>
      <c r="AR220" s="64">
        <f>IF(H219=0,0,AC220/H219)</f>
        <v/>
      </c>
      <c r="AS220" s="76">
        <f>AR220-AQ220</f>
        <v/>
      </c>
      <c r="AT220" s="75">
        <f>SUMIFS([1]инфо!$I$15:$I$28,[1]инфо!$A$15:$A$28,F220)</f>
        <v/>
      </c>
      <c r="AU220" s="62">
        <f>IF(H220=0,0,AD220/H220)</f>
        <v/>
      </c>
      <c r="AV220" s="76">
        <f>AU220-AT220</f>
        <v/>
      </c>
      <c r="AX220" s="70">
        <f>SUMIFS([1]инфо!$C$15:$C$28,[1]инфо!$A$15:$A$28,F220)*H219</f>
        <v/>
      </c>
    </row>
    <row r="221">
      <c r="A221" s="71" t="n">
        <v>46176</v>
      </c>
      <c r="B221" s="86" t="inlineStr">
        <is>
          <t>0139</t>
        </is>
      </c>
      <c r="C221" s="52" t="inlineStr">
        <is>
          <t>линия 2</t>
        </is>
      </c>
      <c r="D221" s="53" t="inlineStr">
        <is>
          <t>день</t>
        </is>
      </c>
      <c r="E221" s="66" t="inlineStr">
        <is>
          <t>Монаев</t>
        </is>
      </c>
      <c r="F221" s="67" t="inlineStr">
        <is>
          <t>7 волн 3500*980</t>
        </is>
      </c>
      <c r="G221" s="68" t="n">
        <v>31</v>
      </c>
      <c r="H221" s="68" t="n">
        <v>800</v>
      </c>
      <c r="I221" s="57">
        <f>IFERROR(H221*VLOOKUP(F221,[1]инфо!$A$15:$C$28,3,FALSE)/1000,0)</f>
        <v/>
      </c>
      <c r="J221" s="55" t="n">
        <v>610</v>
      </c>
      <c r="K221" s="55" t="n">
        <v>8</v>
      </c>
      <c r="L221" s="55" t="n">
        <v>5</v>
      </c>
      <c r="M221" s="55" t="n">
        <v>100</v>
      </c>
      <c r="N221" s="55" t="n">
        <v>3147</v>
      </c>
      <c r="O221" s="58" t="n"/>
      <c r="P221" s="58" t="n"/>
      <c r="Q221" s="58" t="n">
        <v>10271</v>
      </c>
      <c r="R221" s="58" t="n">
        <v>9576</v>
      </c>
      <c r="S221" s="59">
        <f>SUM(O221:R221)</f>
        <v/>
      </c>
      <c r="T221" s="52" t="n"/>
      <c r="U221" s="53" t="n"/>
      <c r="V221" s="58" t="n"/>
      <c r="W221" s="68" t="n">
        <v>930</v>
      </c>
      <c r="X221" s="58" t="n"/>
      <c r="Y221" s="52" t="n">
        <v>335</v>
      </c>
      <c r="Z221" s="58" t="n"/>
      <c r="AA221" s="58" t="n">
        <v>62</v>
      </c>
      <c r="AB221" s="58" t="n"/>
      <c r="AC221" s="69" t="n">
        <v>310</v>
      </c>
      <c r="AD221" s="53" t="n">
        <v>155</v>
      </c>
      <c r="AE221" s="61">
        <f>SUMIFS([1]инфо!$D$15:$D$28,[1]инфо!$A$15:$A$28,F221)</f>
        <v/>
      </c>
      <c r="AF221" s="62">
        <f>IF(H221=0,0,N221/H221)</f>
        <v/>
      </c>
      <c r="AG221" s="63">
        <f>AF221-AE221</f>
        <v/>
      </c>
      <c r="AH221" s="61">
        <f>SUMIFS([1]инфо!$E$15:$E$28,[1]инфо!$A$15:$A$28,F221)</f>
        <v/>
      </c>
      <c r="AI221" s="64">
        <f>IF(H221=0,0,S221/H221)</f>
        <v/>
      </c>
      <c r="AJ221" s="63">
        <f>AI221-AH221</f>
        <v/>
      </c>
      <c r="AK221" s="61">
        <f>SUMIFS([1]инфо!$F$15:$F$28,[1]инфо!$A$15:$A$28,F221)</f>
        <v/>
      </c>
      <c r="AL221" s="64">
        <f>IF(H221=0,0,Y221/H221)</f>
        <v/>
      </c>
      <c r="AM221" s="63">
        <f>AL221-AK221</f>
        <v/>
      </c>
      <c r="AN221" s="61">
        <f>SUMIFS([1]инфо!$G$15:$G$28,[1]инфо!$A$15:$A$28,F221)</f>
        <v/>
      </c>
      <c r="AO221" s="64">
        <f>IF(H221=0,0,AA221/H221)</f>
        <v/>
      </c>
      <c r="AP221" s="63">
        <f>AO221-AN221</f>
        <v/>
      </c>
      <c r="AQ221" s="61">
        <f>SUMIFS([1]инфо!$H$15:$H$28,[1]инфо!$A$15:$A$28,F221)</f>
        <v/>
      </c>
      <c r="AR221" s="62">
        <f>IF(H220=0,0,AC221/H220)</f>
        <v/>
      </c>
      <c r="AS221" s="63">
        <f>AR221-AQ221</f>
        <v/>
      </c>
      <c r="AT221" s="61">
        <f>SUMIFS([1]инфо!$I$15:$I$28,[1]инфо!$A$15:$A$28,F221)</f>
        <v/>
      </c>
      <c r="AU221" s="62">
        <f>IF(H221=0,0,AD221/H221)</f>
        <v/>
      </c>
      <c r="AV221" s="63">
        <f>AU221-AT221</f>
        <v/>
      </c>
      <c r="AX221" s="59">
        <f>SUMIFS([1]инфо!$C$15:$C$28,[1]инфо!$A$15:$A$28,F221)*H220</f>
        <v/>
      </c>
    </row>
    <row r="222">
      <c r="A222" s="71">
        <f>A220+1</f>
        <v/>
      </c>
      <c r="B222" s="86" t="inlineStr">
        <is>
          <t>0140</t>
        </is>
      </c>
      <c r="C222" s="52" t="inlineStr">
        <is>
          <t>линия 2</t>
        </is>
      </c>
      <c r="D222" s="53" t="inlineStr">
        <is>
          <t>ночь</t>
        </is>
      </c>
      <c r="E222" s="66" t="inlineStr">
        <is>
          <t>Дауылбай</t>
        </is>
      </c>
      <c r="F222" s="67" t="inlineStr">
        <is>
          <t>7 волн 3500*980</t>
        </is>
      </c>
      <c r="G222" s="68" t="n">
        <v>52</v>
      </c>
      <c r="H222" s="68" t="n">
        <v>1410</v>
      </c>
      <c r="I222" s="57">
        <f>IFERROR(H222*VLOOKUP(F222,[1]инфо!$A$15:$C$28,3,FALSE)/1000,0)</f>
        <v/>
      </c>
      <c r="J222" s="55" t="n">
        <v>1260</v>
      </c>
      <c r="K222" s="55" t="n"/>
      <c r="L222" s="55" t="n">
        <v>1</v>
      </c>
      <c r="M222" s="55" t="n">
        <v>206</v>
      </c>
      <c r="N222" s="55" t="n">
        <v>5287</v>
      </c>
      <c r="O222" s="58" t="n"/>
      <c r="P222" s="58" t="n"/>
      <c r="Q222" s="58" t="n">
        <v>16629</v>
      </c>
      <c r="R222" s="58" t="n">
        <v>16619</v>
      </c>
      <c r="S222" s="59">
        <f>SUM(O222:R222)</f>
        <v/>
      </c>
      <c r="T222" s="52" t="n"/>
      <c r="U222" s="53" t="n"/>
      <c r="V222" s="58" t="n"/>
      <c r="W222" s="68" t="n">
        <v>1560</v>
      </c>
      <c r="X222" s="58" t="n"/>
      <c r="Y222" s="52" t="n">
        <v>470</v>
      </c>
      <c r="Z222" s="58" t="n"/>
      <c r="AA222" s="58" t="n">
        <v>104</v>
      </c>
      <c r="AB222" s="58" t="n"/>
      <c r="AC222" s="69" t="n">
        <v>520</v>
      </c>
      <c r="AD222" s="53" t="n">
        <v>260</v>
      </c>
      <c r="AE222" s="61">
        <f>SUMIFS([1]инфо!$D$15:$D$28,[1]инфо!$A$15:$A$28,F222)</f>
        <v/>
      </c>
      <c r="AF222" s="62">
        <f>IF(H222=0,0,N222/H222)</f>
        <v/>
      </c>
      <c r="AG222" s="63">
        <f>AF222-AE222</f>
        <v/>
      </c>
      <c r="AH222" s="61">
        <f>SUMIFS([1]инфо!$E$15:$E$28,[1]инфо!$A$15:$A$28,F222)</f>
        <v/>
      </c>
      <c r="AI222" s="64">
        <f>IF(H222=0,0,S222/H222)</f>
        <v/>
      </c>
      <c r="AJ222" s="63">
        <f>AI222-AH222</f>
        <v/>
      </c>
      <c r="AK222" s="61">
        <f>SUMIFS([1]инфо!$F$15:$F$28,[1]инфо!$A$15:$A$28,F222)</f>
        <v/>
      </c>
      <c r="AL222" s="64">
        <f>IF(H222=0,0,Y222/H222)</f>
        <v/>
      </c>
      <c r="AM222" s="63">
        <f>AL222-AK222</f>
        <v/>
      </c>
      <c r="AN222" s="61">
        <f>SUMIFS([1]инфо!$G$15:$G$28,[1]инфо!$A$15:$A$28,F222)</f>
        <v/>
      </c>
      <c r="AO222" s="64">
        <f>IF(H222=0,0,AA222/H222)</f>
        <v/>
      </c>
      <c r="AP222" s="63">
        <f>AO222-AN222</f>
        <v/>
      </c>
      <c r="AQ222" s="61">
        <f>SUMIFS([1]инфо!$H$15:$H$28,[1]инфо!$A$15:$A$28,F222)</f>
        <v/>
      </c>
      <c r="AR222" s="62">
        <f>IF(H221=0,0,AC222/H221)</f>
        <v/>
      </c>
      <c r="AS222" s="63">
        <f>AR222-AQ222</f>
        <v/>
      </c>
      <c r="AT222" s="61">
        <f>SUMIFS([1]инфо!$I$15:$I$28,[1]инфо!$A$15:$A$28,F222)</f>
        <v/>
      </c>
      <c r="AU222" s="62">
        <f>IF(H222=0,0,AD222/H222)</f>
        <v/>
      </c>
      <c r="AV222" s="63">
        <f>AU222-AT222</f>
        <v/>
      </c>
      <c r="AX222" s="59">
        <f>SUMIFS([1]инфо!$C$15:$C$28,[1]инфо!$A$15:$A$28,F222)*H221</f>
        <v/>
      </c>
    </row>
    <row r="223">
      <c r="A223" s="71">
        <f>A221+1</f>
        <v/>
      </c>
      <c r="B223" s="86" t="inlineStr">
        <is>
          <t>0141</t>
        </is>
      </c>
      <c r="C223" s="77" t="inlineStr">
        <is>
          <t>линия 2</t>
        </is>
      </c>
      <c r="D223" s="78" t="inlineStr">
        <is>
          <t>день</t>
        </is>
      </c>
      <c r="E223" s="66" t="inlineStr">
        <is>
          <t>Бекбосынов</t>
        </is>
      </c>
      <c r="F223" s="67" t="inlineStr">
        <is>
          <t>7 волн</t>
        </is>
      </c>
      <c r="G223" s="68" t="n">
        <v>9</v>
      </c>
      <c r="H223" s="68" t="n">
        <v>390</v>
      </c>
      <c r="I223" s="57">
        <f>IFERROR(H223*VLOOKUP(F223,[1]инфо!$A$15:$C$28,3,FALSE)/1000,0)</f>
        <v/>
      </c>
      <c r="J223" s="55" t="n">
        <v>600</v>
      </c>
      <c r="K223" s="55" t="n"/>
      <c r="L223" s="55" t="n"/>
      <c r="M223" s="55" t="n">
        <v>178</v>
      </c>
      <c r="N223" s="56" t="n">
        <v>916</v>
      </c>
      <c r="O223" s="79" t="n"/>
      <c r="P223" s="79" t="n"/>
      <c r="Q223" s="79" t="n">
        <v>507</v>
      </c>
      <c r="R223" s="79" t="n">
        <v>409</v>
      </c>
      <c r="S223" s="80">
        <f>SUM(O223:R223)</f>
        <v/>
      </c>
      <c r="T223" s="77" t="n"/>
      <c r="U223" s="78" t="n"/>
      <c r="V223" s="79" t="n"/>
      <c r="W223" s="68" t="n">
        <v>270</v>
      </c>
      <c r="X223" s="79" t="n"/>
      <c r="Y223" s="77" t="n">
        <v>90</v>
      </c>
      <c r="Z223" s="79" t="n"/>
      <c r="AA223" s="79" t="n">
        <v>18</v>
      </c>
      <c r="AB223" s="79" t="n"/>
      <c r="AC223" s="69" t="n">
        <v>90</v>
      </c>
      <c r="AD223" s="78" t="n">
        <v>45</v>
      </c>
      <c r="AE223" s="81">
        <f>SUMIFS([1]инфо!$D$15:$D$28,[1]инфо!$A$15:$A$28,F223)</f>
        <v/>
      </c>
      <c r="AF223" s="62">
        <f>IF(H223=0,0,N223/H223)</f>
        <v/>
      </c>
      <c r="AG223" s="82">
        <f>AF223-AE223</f>
        <v/>
      </c>
      <c r="AH223" s="81">
        <f>SUMIFS([1]инфо!$E$15:$E$28,[1]инфо!$A$15:$A$28,F223)</f>
        <v/>
      </c>
      <c r="AI223" s="64">
        <f>IF(H223=0,0,S223/H223)</f>
        <v/>
      </c>
      <c r="AJ223" s="82">
        <f>AI223-AH223</f>
        <v/>
      </c>
      <c r="AK223" s="81">
        <f>SUMIFS([1]инфо!$F$15:$F$28,[1]инфо!$A$15:$A$28,F223)</f>
        <v/>
      </c>
      <c r="AL223" s="64">
        <f>IF(H223=0,0,Y223/H223)</f>
        <v/>
      </c>
      <c r="AM223" s="82">
        <f>AL223-AK223</f>
        <v/>
      </c>
      <c r="AN223" s="81">
        <f>SUMIFS([1]инфо!$G$15:$G$28,[1]инфо!$A$15:$A$28,F223)</f>
        <v/>
      </c>
      <c r="AO223" s="64">
        <f>IF(H223=0,0,AA223/H223)</f>
        <v/>
      </c>
      <c r="AP223" s="82">
        <f>AO223-AN223</f>
        <v/>
      </c>
      <c r="AQ223" s="81">
        <f>SUMIFS([1]инфо!$H$15:$H$28,[1]инфо!$A$15:$A$28,F223)</f>
        <v/>
      </c>
      <c r="AR223" s="85">
        <f>IF(H222=0,0,AC223/H222)</f>
        <v/>
      </c>
      <c r="AS223" s="82">
        <f>AR223-AQ223</f>
        <v/>
      </c>
      <c r="AT223" s="81">
        <f>SUMIFS([1]инфо!$I$15:$I$28,[1]инфо!$A$15:$A$28,F223)</f>
        <v/>
      </c>
      <c r="AU223" s="62">
        <f>IF(H223=0,0,AD223/H223)</f>
        <v/>
      </c>
      <c r="AV223" s="82">
        <f>AU223-AT223</f>
        <v/>
      </c>
      <c r="AX223" s="80">
        <f>SUMIFS([1]инфо!$C$15:$C$28,[1]инфо!$A$15:$A$28,F223)*H222</f>
        <v/>
      </c>
    </row>
    <row r="224">
      <c r="A224" s="71">
        <f>A222+1</f>
        <v/>
      </c>
      <c r="B224" s="86" t="inlineStr">
        <is>
          <t>0142</t>
        </is>
      </c>
      <c r="C224" s="72" t="inlineStr">
        <is>
          <t>линия 2</t>
        </is>
      </c>
      <c r="D224" s="73" t="inlineStr">
        <is>
          <t>ночь</t>
        </is>
      </c>
      <c r="E224" s="66" t="inlineStr">
        <is>
          <t>Монаев</t>
        </is>
      </c>
      <c r="F224" s="67" t="inlineStr">
        <is>
          <t>7 волн</t>
        </is>
      </c>
      <c r="G224" s="68" t="n">
        <v>47</v>
      </c>
      <c r="H224" s="68" t="n">
        <v>2280</v>
      </c>
      <c r="I224" s="57">
        <f>IFERROR(H224*VLOOKUP(F224,[1]инфо!$A$15:$C$28,3,FALSE)/1000,0)</f>
        <v/>
      </c>
      <c r="J224" s="55" t="n">
        <v>1500</v>
      </c>
      <c r="K224" s="55" t="n">
        <v>6</v>
      </c>
      <c r="L224" s="55" t="n">
        <v>1</v>
      </c>
      <c r="M224" s="55" t="n">
        <v>123</v>
      </c>
      <c r="N224" s="67" t="n">
        <v>4766</v>
      </c>
      <c r="O224" s="74" t="n"/>
      <c r="P224" s="74" t="n"/>
      <c r="Q224" s="74" t="n">
        <v>14090</v>
      </c>
      <c r="R224" s="74" t="n">
        <v>15958</v>
      </c>
      <c r="S224" s="70">
        <f>SUM(O224:R224)</f>
        <v/>
      </c>
      <c r="T224" s="72" t="n"/>
      <c r="U224" s="73" t="n"/>
      <c r="V224" s="74" t="n"/>
      <c r="W224" s="68" t="n">
        <v>1410</v>
      </c>
      <c r="X224" s="74" t="n"/>
      <c r="Y224" s="72" t="n">
        <v>705</v>
      </c>
      <c r="Z224" s="74" t="n"/>
      <c r="AA224" s="74" t="n">
        <v>94</v>
      </c>
      <c r="AB224" s="74" t="n"/>
      <c r="AC224" s="69" t="n">
        <v>470</v>
      </c>
      <c r="AD224" s="73" t="n">
        <v>235</v>
      </c>
      <c r="AE224" s="75">
        <f>SUMIFS([1]инфо!$D$15:$D$28,[1]инфо!$A$15:$A$28,F224)</f>
        <v/>
      </c>
      <c r="AF224" s="62">
        <f>IF(H224=0,0,N224/H224)</f>
        <v/>
      </c>
      <c r="AG224" s="76">
        <f>AF224-AE224</f>
        <v/>
      </c>
      <c r="AH224" s="75">
        <f>SUMIFS([1]инфо!$E$15:$E$28,[1]инфо!$A$15:$A$28,F224)</f>
        <v/>
      </c>
      <c r="AI224" s="64">
        <f>IF(H224=0,0,S224/H224)</f>
        <v/>
      </c>
      <c r="AJ224" s="76">
        <f>AI224-AH224</f>
        <v/>
      </c>
      <c r="AK224" s="75">
        <f>SUMIFS([1]инфо!$F$15:$F$28,[1]инфо!$A$15:$A$28,F224)</f>
        <v/>
      </c>
      <c r="AL224" s="64">
        <f>IF(H224=0,0,Y224/H224)</f>
        <v/>
      </c>
      <c r="AM224" s="76">
        <f>AL224-AK224</f>
        <v/>
      </c>
      <c r="AN224" s="75">
        <f>SUMIFS([1]инфо!$G$15:$G$28,[1]инфо!$A$15:$A$28,F224)</f>
        <v/>
      </c>
      <c r="AO224" s="64">
        <f>IF(H224=0,0,AA224/H224)</f>
        <v/>
      </c>
      <c r="AP224" s="76">
        <f>AO224-AN224</f>
        <v/>
      </c>
      <c r="AQ224" s="75">
        <f>SUMIFS([1]инфо!$H$15:$H$28,[1]инфо!$A$15:$A$28,F224)</f>
        <v/>
      </c>
      <c r="AR224" s="64">
        <f>IF(H223=0,0,AC224/H223)</f>
        <v/>
      </c>
      <c r="AS224" s="76">
        <f>AR224-AQ224</f>
        <v/>
      </c>
      <c r="AT224" s="75">
        <f>SUMIFS([1]инфо!$I$15:$I$28,[1]инфо!$A$15:$A$28,F224)</f>
        <v/>
      </c>
      <c r="AU224" s="62">
        <f>IF(H224=0,0,AD224/H224)</f>
        <v/>
      </c>
      <c r="AV224" s="76">
        <f>AU224-AT224</f>
        <v/>
      </c>
      <c r="AX224" s="70">
        <f>SUMIFS([1]инфо!$C$15:$C$28,[1]инфо!$A$15:$A$28,F224)*H223</f>
        <v/>
      </c>
    </row>
    <row r="225">
      <c r="A225" s="71" t="n">
        <v>46177</v>
      </c>
      <c r="B225" s="86" t="inlineStr">
        <is>
          <t>0140</t>
        </is>
      </c>
      <c r="C225" s="52" t="inlineStr">
        <is>
          <t>линия 2</t>
        </is>
      </c>
      <c r="D225" s="53" t="inlineStr">
        <is>
          <t>ночь</t>
        </is>
      </c>
      <c r="E225" s="66" t="inlineStr">
        <is>
          <t>Монаев</t>
        </is>
      </c>
      <c r="F225" s="67" t="inlineStr">
        <is>
          <t>7 волн 3500*980</t>
        </is>
      </c>
      <c r="G225" s="68" t="n"/>
      <c r="H225" s="68" t="n"/>
      <c r="I225" s="57">
        <f>IFERROR(H225*VLOOKUP(F225,[1]инфо!$A$15:$C$28,3,FALSE)/1000,0)</f>
        <v/>
      </c>
      <c r="J225" s="55" t="n">
        <v>120</v>
      </c>
      <c r="K225" s="55" t="n"/>
      <c r="L225" s="55" t="n"/>
      <c r="M225" s="55" t="n"/>
      <c r="N225" s="55" t="n"/>
      <c r="O225" s="58" t="n"/>
      <c r="P225" s="58" t="n"/>
      <c r="Q225" s="58" t="n"/>
      <c r="R225" s="58" t="n"/>
      <c r="S225" s="59" t="n"/>
      <c r="T225" s="52" t="n"/>
      <c r="U225" s="53" t="n"/>
      <c r="V225" s="58" t="n"/>
      <c r="W225" s="68" t="n"/>
      <c r="X225" s="58" t="n"/>
      <c r="Y225" s="52" t="n"/>
      <c r="Z225" s="58" t="n"/>
      <c r="AA225" s="58" t="n"/>
      <c r="AB225" s="58" t="n"/>
      <c r="AC225" s="69" t="n"/>
      <c r="AD225" s="53" t="n"/>
      <c r="AE225" s="61" t="n"/>
      <c r="AF225" s="62" t="n"/>
      <c r="AG225" s="63" t="n"/>
      <c r="AH225" s="61" t="n"/>
      <c r="AI225" s="64" t="n"/>
      <c r="AJ225" s="63" t="n"/>
      <c r="AK225" s="61" t="n"/>
      <c r="AL225" s="64" t="n"/>
      <c r="AM225" s="63" t="n"/>
      <c r="AN225" s="61" t="n"/>
      <c r="AO225" s="64" t="n"/>
      <c r="AP225" s="63" t="n"/>
      <c r="AQ225" s="61" t="n"/>
      <c r="AR225" s="62" t="n"/>
      <c r="AS225" s="63" t="n"/>
      <c r="AT225" s="61" t="n"/>
      <c r="AU225" s="62" t="n"/>
      <c r="AV225" s="63" t="n"/>
      <c r="AX225" s="59" t="n"/>
    </row>
    <row r="226">
      <c r="A226" s="71">
        <f>A223+1</f>
        <v/>
      </c>
      <c r="B226" s="86" t="inlineStr">
        <is>
          <t>0143</t>
        </is>
      </c>
      <c r="C226" s="52" t="inlineStr">
        <is>
          <t>линия 2</t>
        </is>
      </c>
      <c r="D226" s="53" t="inlineStr">
        <is>
          <t>день</t>
        </is>
      </c>
      <c r="E226" s="66" t="inlineStr">
        <is>
          <t>Султанулы</t>
        </is>
      </c>
      <c r="F226" s="67" t="inlineStr">
        <is>
          <t>7 волн</t>
        </is>
      </c>
      <c r="G226" s="68" t="n">
        <v>48</v>
      </c>
      <c r="H226" s="68" t="n">
        <v>2480</v>
      </c>
      <c r="I226" s="57">
        <f>IFERROR(H226*VLOOKUP(F226,[1]инфо!$A$15:$C$28,3,FALSE)/1000,0)</f>
        <v/>
      </c>
      <c r="J226" s="55" t="n">
        <v>2430</v>
      </c>
      <c r="K226" s="55" t="n">
        <v>3</v>
      </c>
      <c r="L226" s="55" t="n"/>
      <c r="M226" s="55" t="n">
        <v>151</v>
      </c>
      <c r="N226" s="55" t="n">
        <v>4866</v>
      </c>
      <c r="O226" s="58" t="n"/>
      <c r="P226" s="58" t="n"/>
      <c r="Q226" s="58" t="n">
        <v>18598</v>
      </c>
      <c r="R226" s="58" t="n">
        <v>12130</v>
      </c>
      <c r="S226" s="59">
        <f>SUM(O226:R226)</f>
        <v/>
      </c>
      <c r="T226" s="52" t="n"/>
      <c r="U226" s="53" t="n"/>
      <c r="V226" s="58" t="n"/>
      <c r="W226" s="68" t="n">
        <v>1440</v>
      </c>
      <c r="X226" s="58" t="n"/>
      <c r="Y226" s="52" t="n">
        <v>480</v>
      </c>
      <c r="Z226" s="58" t="n"/>
      <c r="AA226" s="58" t="n"/>
      <c r="AB226" s="58" t="n"/>
      <c r="AC226" s="69" t="n">
        <v>480</v>
      </c>
      <c r="AD226" s="53" t="n"/>
      <c r="AE226" s="61">
        <f>SUMIFS([1]инфо!$D$15:$D$28,[1]инфо!$A$15:$A$28,F226)</f>
        <v/>
      </c>
      <c r="AF226" s="62">
        <f>IF(H226=0,0,N226/H226)</f>
        <v/>
      </c>
      <c r="AG226" s="63">
        <f>AF226-AE226</f>
        <v/>
      </c>
      <c r="AH226" s="61">
        <f>SUMIFS([1]инфо!$E$15:$E$28,[1]инфо!$A$15:$A$28,F226)</f>
        <v/>
      </c>
      <c r="AI226" s="64">
        <f>IF(H226=0,0,S226/H226)</f>
        <v/>
      </c>
      <c r="AJ226" s="63">
        <f>AI226-AH226</f>
        <v/>
      </c>
      <c r="AK226" s="61">
        <f>SUMIFS([1]инфо!$F$15:$F$28,[1]инфо!$A$15:$A$28,F226)</f>
        <v/>
      </c>
      <c r="AL226" s="64">
        <f>IF(H226=0,0,Y226/H226)</f>
        <v/>
      </c>
      <c r="AM226" s="63">
        <f>AL226-AK226</f>
        <v/>
      </c>
      <c r="AN226" s="61">
        <f>SUMIFS([1]инфо!$G$15:$G$28,[1]инфо!$A$15:$A$28,F226)</f>
        <v/>
      </c>
      <c r="AO226" s="64">
        <f>IF(H226=0,0,AA226/H226)</f>
        <v/>
      </c>
      <c r="AP226" s="63">
        <f>AO226-AN226</f>
        <v/>
      </c>
      <c r="AQ226" s="61">
        <f>SUMIFS([1]инфо!$H$15:$H$28,[1]инфо!$A$15:$A$28,F226)</f>
        <v/>
      </c>
      <c r="AR226" s="62">
        <f>IF(H224=0,0,AC226/H224)</f>
        <v/>
      </c>
      <c r="AS226" s="63">
        <f>AR226-AQ226</f>
        <v/>
      </c>
      <c r="AT226" s="61">
        <f>SUMIFS([1]инфо!$I$15:$I$28,[1]инфо!$A$15:$A$28,F226)</f>
        <v/>
      </c>
      <c r="AU226" s="62">
        <f>IF(H226=0,0,AD226/H226)</f>
        <v/>
      </c>
      <c r="AV226" s="63">
        <f>AU226-AT226</f>
        <v/>
      </c>
      <c r="AX226" s="59">
        <f>SUMIFS([1]инфо!$C$15:$C$28,[1]инфо!$A$15:$A$28,F226)*H224</f>
        <v/>
      </c>
    </row>
    <row r="227">
      <c r="A227" s="71">
        <f>A224+1</f>
        <v/>
      </c>
      <c r="B227" s="86" t="inlineStr">
        <is>
          <t>0144</t>
        </is>
      </c>
      <c r="C227" s="52" t="inlineStr">
        <is>
          <t>линия 2</t>
        </is>
      </c>
      <c r="D227" s="53" t="inlineStr">
        <is>
          <t>ночь</t>
        </is>
      </c>
      <c r="E227" s="66" t="inlineStr">
        <is>
          <t>Бекбосынов</t>
        </is>
      </c>
      <c r="F227" s="67" t="inlineStr">
        <is>
          <t>7 волн</t>
        </is>
      </c>
      <c r="G227" s="68" t="n">
        <v>65</v>
      </c>
      <c r="H227" s="68" t="n">
        <v>3260</v>
      </c>
      <c r="I227" s="57">
        <f>IFERROR(H227*VLOOKUP(F227,[1]инфо!$A$15:$C$28,3,FALSE)/1000,0)</f>
        <v/>
      </c>
      <c r="J227" s="55" t="n">
        <v>2970</v>
      </c>
      <c r="K227" s="55" t="n">
        <v>5</v>
      </c>
      <c r="L227" s="55" t="n">
        <v>3</v>
      </c>
      <c r="M227" s="55" t="n">
        <v>227</v>
      </c>
      <c r="N227" s="55" t="n">
        <v>6627</v>
      </c>
      <c r="O227" s="58" t="n"/>
      <c r="P227" s="58" t="n"/>
      <c r="Q227" s="58" t="n">
        <v>19247</v>
      </c>
      <c r="R227" s="58" t="n">
        <v>22356</v>
      </c>
      <c r="S227" s="59">
        <f>SUM(O227:R227)</f>
        <v/>
      </c>
      <c r="T227" s="52" t="n"/>
      <c r="U227" s="53" t="n"/>
      <c r="V227" s="58" t="n"/>
      <c r="W227" s="68" t="n">
        <v>1950</v>
      </c>
      <c r="X227" s="58" t="n"/>
      <c r="Y227" s="52" t="n">
        <v>650</v>
      </c>
      <c r="Z227" s="58" t="n"/>
      <c r="AA227" s="58" t="n"/>
      <c r="AB227" s="58" t="n"/>
      <c r="AC227" s="69" t="n">
        <v>650</v>
      </c>
      <c r="AD227" s="53" t="n">
        <v>325</v>
      </c>
      <c r="AE227" s="61">
        <f>SUMIFS([1]инфо!$D$15:$D$28,[1]инфо!$A$15:$A$28,F227)</f>
        <v/>
      </c>
      <c r="AF227" s="62">
        <f>IF(H227=0,0,N227/H227)</f>
        <v/>
      </c>
      <c r="AG227" s="63">
        <f>AF227-AE227</f>
        <v/>
      </c>
      <c r="AH227" s="61">
        <f>SUMIFS([1]инфо!$E$15:$E$28,[1]инфо!$A$15:$A$28,F227)</f>
        <v/>
      </c>
      <c r="AI227" s="64">
        <f>IF(H227=0,0,S227/H227)</f>
        <v/>
      </c>
      <c r="AJ227" s="63">
        <f>AI227-AH227</f>
        <v/>
      </c>
      <c r="AK227" s="61">
        <f>SUMIFS([1]инфо!$F$15:$F$28,[1]инфо!$A$15:$A$28,F227)</f>
        <v/>
      </c>
      <c r="AL227" s="64">
        <f>IF(H227=0,0,Y227/H227)</f>
        <v/>
      </c>
      <c r="AM227" s="63">
        <f>AL227-AK227</f>
        <v/>
      </c>
      <c r="AN227" s="61">
        <f>SUMIFS([1]инфо!$G$15:$G$28,[1]инфо!$A$15:$A$28,F227)</f>
        <v/>
      </c>
      <c r="AO227" s="64">
        <f>IF(H227=0,0,AA227/H227)</f>
        <v/>
      </c>
      <c r="AP227" s="63">
        <f>AO227-AN227</f>
        <v/>
      </c>
      <c r="AQ227" s="61">
        <f>SUMIFS([1]инфо!$H$15:$H$28,[1]инфо!$A$15:$A$28,F227)</f>
        <v/>
      </c>
      <c r="AR227" s="62">
        <f>IF(H226=0,0,AC227/H226)</f>
        <v/>
      </c>
      <c r="AS227" s="63">
        <f>AR227-AQ227</f>
        <v/>
      </c>
      <c r="AT227" s="61">
        <f>SUMIFS([1]инфо!$I$15:$I$28,[1]инфо!$A$15:$A$28,F227)</f>
        <v/>
      </c>
      <c r="AU227" s="62">
        <f>IF(H227=0,0,AD227/H227)</f>
        <v/>
      </c>
      <c r="AV227" s="63">
        <f>AU227-AT227</f>
        <v/>
      </c>
      <c r="AX227" s="59">
        <f>SUMIFS([1]инфо!$C$15:$C$28,[1]инфо!$A$15:$A$28,F227)*H226</f>
        <v/>
      </c>
    </row>
    <row r="228">
      <c r="A228" s="71">
        <f>A226+1</f>
        <v/>
      </c>
      <c r="B228" s="86" t="inlineStr">
        <is>
          <t>0145</t>
        </is>
      </c>
      <c r="C228" s="77" t="inlineStr">
        <is>
          <t>линия 2</t>
        </is>
      </c>
      <c r="D228" s="78" t="inlineStr">
        <is>
          <t>день</t>
        </is>
      </c>
      <c r="E228" s="66" t="inlineStr">
        <is>
          <t>Дауылбай</t>
        </is>
      </c>
      <c r="F228" s="67" t="inlineStr">
        <is>
          <t>7 волн</t>
        </is>
      </c>
      <c r="G228" s="68" t="n">
        <v>56</v>
      </c>
      <c r="H228" s="68" t="n">
        <v>2800</v>
      </c>
      <c r="I228" s="57">
        <f>IFERROR(H228*VLOOKUP(F228,[1]инфо!$A$15:$C$28,3,FALSE)/1000,0)</f>
        <v/>
      </c>
      <c r="J228" s="55" t="n">
        <v>2700</v>
      </c>
      <c r="K228" s="55" t="n"/>
      <c r="L228" s="55" t="n"/>
      <c r="M228" s="55" t="n">
        <v>112</v>
      </c>
      <c r="N228" s="56" t="n">
        <v>5686</v>
      </c>
      <c r="O228" s="79" t="n"/>
      <c r="P228" s="79" t="n"/>
      <c r="Q228" s="79" t="n">
        <v>17972</v>
      </c>
      <c r="R228" s="79" t="n">
        <v>17870</v>
      </c>
      <c r="S228" s="80">
        <f>SUM(O228:R228)</f>
        <v/>
      </c>
      <c r="T228" s="77" t="n"/>
      <c r="U228" s="78" t="n"/>
      <c r="V228" s="79" t="n"/>
      <c r="W228" s="68" t="n">
        <v>1680</v>
      </c>
      <c r="X228" s="79" t="n"/>
      <c r="Y228" s="77" t="n">
        <v>560</v>
      </c>
      <c r="Z228" s="79" t="n"/>
      <c r="AA228" s="79" t="n"/>
      <c r="AB228" s="79" t="n"/>
      <c r="AC228" s="69" t="n">
        <v>560</v>
      </c>
      <c r="AD228" s="78" t="n">
        <v>165</v>
      </c>
      <c r="AE228" s="81">
        <f>SUMIFS([1]инфо!$D$15:$D$28,[1]инфо!$A$15:$A$28,F228)</f>
        <v/>
      </c>
      <c r="AF228" s="62">
        <f>IF(H228=0,0,N228/H228)</f>
        <v/>
      </c>
      <c r="AG228" s="82">
        <f>AF228-AE228</f>
        <v/>
      </c>
      <c r="AH228" s="81">
        <f>SUMIFS([1]инфо!$E$15:$E$28,[1]инфо!$A$15:$A$28,F228)</f>
        <v/>
      </c>
      <c r="AI228" s="64">
        <f>IF(H228=0,0,S228/H228)</f>
        <v/>
      </c>
      <c r="AJ228" s="82">
        <f>AI228-AH228</f>
        <v/>
      </c>
      <c r="AK228" s="81">
        <f>SUMIFS([1]инфо!$F$15:$F$28,[1]инфо!$A$15:$A$28,F228)</f>
        <v/>
      </c>
      <c r="AL228" s="64">
        <f>IF(H228=0,0,Y228/H228)</f>
        <v/>
      </c>
      <c r="AM228" s="82">
        <f>AL228-AK228</f>
        <v/>
      </c>
      <c r="AN228" s="81">
        <f>SUMIFS([1]инфо!$G$15:$G$28,[1]инфо!$A$15:$A$28,F228)</f>
        <v/>
      </c>
      <c r="AO228" s="64">
        <f>IF(H228=0,0,AA228/H228)</f>
        <v/>
      </c>
      <c r="AP228" s="82">
        <f>AO228-AN228</f>
        <v/>
      </c>
      <c r="AQ228" s="81">
        <f>SUMIFS([1]инфо!$H$15:$H$28,[1]инфо!$A$15:$A$28,F228)</f>
        <v/>
      </c>
      <c r="AR228" s="85">
        <f>IF(H227=0,0,AC228/H227)</f>
        <v/>
      </c>
      <c r="AS228" s="82">
        <f>AR228-AQ228</f>
        <v/>
      </c>
      <c r="AT228" s="81">
        <f>SUMIFS([1]инфо!$I$15:$I$28,[1]инфо!$A$15:$A$28,F228)</f>
        <v/>
      </c>
      <c r="AU228" s="62">
        <f>IF(H228=0,0,AD228/H228)</f>
        <v/>
      </c>
      <c r="AV228" s="82">
        <f>AU228-AT228</f>
        <v/>
      </c>
      <c r="AX228" s="80">
        <f>SUMIFS([1]инфо!$C$15:$C$28,[1]инфо!$A$15:$A$28,F228)*H227</f>
        <v/>
      </c>
    </row>
    <row r="229">
      <c r="A229" s="71">
        <f>A227+1</f>
        <v/>
      </c>
      <c r="B229" s="86" t="inlineStr">
        <is>
          <t>0146</t>
        </is>
      </c>
      <c r="C229" s="72" t="inlineStr">
        <is>
          <t>линия 2</t>
        </is>
      </c>
      <c r="D229" s="73" t="inlineStr">
        <is>
          <t>ночь</t>
        </is>
      </c>
      <c r="E229" s="66" t="inlineStr">
        <is>
          <t>Султанулы</t>
        </is>
      </c>
      <c r="F229" s="67" t="inlineStr">
        <is>
          <t>7 волн</t>
        </is>
      </c>
      <c r="G229" s="68" t="n">
        <v>64</v>
      </c>
      <c r="H229" s="68" t="n">
        <v>2850</v>
      </c>
      <c r="I229" s="57">
        <f>IFERROR(H229*VLOOKUP(F229,[1]инфо!$A$15:$C$28,3,FALSE)/1000,0)</f>
        <v/>
      </c>
      <c r="J229" s="55" t="n">
        <v>2970</v>
      </c>
      <c r="K229" s="55" t="n">
        <v>1</v>
      </c>
      <c r="L229" s="55" t="n">
        <v>2</v>
      </c>
      <c r="M229" s="55" t="n">
        <v>225</v>
      </c>
      <c r="N229" s="67" t="n">
        <v>6477</v>
      </c>
      <c r="O229" s="74" t="n"/>
      <c r="P229" s="74" t="n"/>
      <c r="Q229" s="74" t="n">
        <v>21810</v>
      </c>
      <c r="R229" s="74" t="n">
        <v>19253</v>
      </c>
      <c r="S229" s="70">
        <f>SUM(O229:R229)</f>
        <v/>
      </c>
      <c r="T229" s="72" t="n"/>
      <c r="U229" s="73" t="n"/>
      <c r="V229" s="74" t="n"/>
      <c r="W229" s="68" t="n">
        <v>1920</v>
      </c>
      <c r="X229" s="74" t="n"/>
      <c r="Y229" s="72" t="n">
        <v>640</v>
      </c>
      <c r="Z229" s="74" t="n"/>
      <c r="AA229" s="74" t="n"/>
      <c r="AB229" s="74" t="n"/>
      <c r="AC229" s="69" t="n">
        <v>640</v>
      </c>
      <c r="AD229" s="73" t="n">
        <v>305</v>
      </c>
      <c r="AE229" s="75">
        <f>SUMIFS([1]инфо!$D$15:$D$28,[1]инфо!$A$15:$A$28,F229)</f>
        <v/>
      </c>
      <c r="AF229" s="62">
        <f>IF(H229=0,0,N229/H229)</f>
        <v/>
      </c>
      <c r="AG229" s="76">
        <f>AF229-AE229</f>
        <v/>
      </c>
      <c r="AH229" s="75">
        <f>SUMIFS([1]инфо!$E$15:$E$28,[1]инфо!$A$15:$A$28,F229)</f>
        <v/>
      </c>
      <c r="AI229" s="64">
        <f>IF(H229=0,0,S229/H229)</f>
        <v/>
      </c>
      <c r="AJ229" s="76">
        <f>AI229-AH229</f>
        <v/>
      </c>
      <c r="AK229" s="75">
        <f>SUMIFS([1]инфо!$F$15:$F$28,[1]инфо!$A$15:$A$28,F229)</f>
        <v/>
      </c>
      <c r="AL229" s="64">
        <f>IF(H229=0,0,Y229/H229)</f>
        <v/>
      </c>
      <c r="AM229" s="76">
        <f>AL229-AK229</f>
        <v/>
      </c>
      <c r="AN229" s="75">
        <f>SUMIFS([1]инфо!$G$15:$G$28,[1]инфо!$A$15:$A$28,F229)</f>
        <v/>
      </c>
      <c r="AO229" s="64">
        <f>IF(H229=0,0,AA229/H229)</f>
        <v/>
      </c>
      <c r="AP229" s="76">
        <f>AO229-AN229</f>
        <v/>
      </c>
      <c r="AQ229" s="75">
        <f>SUMIFS([1]инфо!$H$15:$H$28,[1]инфо!$A$15:$A$28,F229)</f>
        <v/>
      </c>
      <c r="AR229" s="64">
        <f>IF(H228=0,0,AC229/H228)</f>
        <v/>
      </c>
      <c r="AS229" s="76">
        <f>AR229-AQ229</f>
        <v/>
      </c>
      <c r="AT229" s="75">
        <f>SUMIFS([1]инфо!$I$15:$I$28,[1]инфо!$A$15:$A$28,F229)</f>
        <v/>
      </c>
      <c r="AU229" s="62">
        <f>IF(H229=0,0,AD229/H229)</f>
        <v/>
      </c>
      <c r="AV229" s="76">
        <f>AU229-AT229</f>
        <v/>
      </c>
      <c r="AX229" s="70">
        <f>SUMIFS([1]инфо!$C$15:$C$28,[1]инфо!$A$15:$A$28,F229)*H228</f>
        <v/>
      </c>
    </row>
    <row r="230">
      <c r="A230" s="71">
        <f>A228+1</f>
        <v/>
      </c>
      <c r="B230" s="86" t="inlineStr">
        <is>
          <t>0147</t>
        </is>
      </c>
      <c r="C230" s="52" t="inlineStr">
        <is>
          <t>линия 2</t>
        </is>
      </c>
      <c r="D230" s="53" t="inlineStr">
        <is>
          <t>день</t>
        </is>
      </c>
      <c r="E230" s="66" t="inlineStr">
        <is>
          <t>Монаев</t>
        </is>
      </c>
      <c r="F230" s="67" t="inlineStr">
        <is>
          <t>7 волн</t>
        </is>
      </c>
      <c r="G230" s="68" t="n">
        <v>35</v>
      </c>
      <c r="H230" s="68" t="n">
        <v>1890</v>
      </c>
      <c r="I230" s="57">
        <f>IFERROR(H230*VLOOKUP(F230,[1]инфо!$A$15:$C$28,3,FALSE)/1000,0)</f>
        <v/>
      </c>
      <c r="J230" s="55" t="n">
        <v>2160</v>
      </c>
      <c r="K230" s="55" t="n">
        <v>3</v>
      </c>
      <c r="L230" s="55" t="n">
        <v>2</v>
      </c>
      <c r="M230" s="55" t="n">
        <v>143</v>
      </c>
      <c r="N230" s="55" t="n">
        <v>3534</v>
      </c>
      <c r="O230" s="58" t="n"/>
      <c r="P230" s="58" t="n"/>
      <c r="Q230" s="58" t="n">
        <v>10910</v>
      </c>
      <c r="R230" s="58" t="n">
        <v>11482</v>
      </c>
      <c r="S230" s="59">
        <f>SUM(O230:R230)</f>
        <v/>
      </c>
      <c r="T230" s="52" t="n"/>
      <c r="U230" s="53" t="n"/>
      <c r="V230" s="58" t="n"/>
      <c r="W230" s="68" t="n">
        <v>1050</v>
      </c>
      <c r="X230" s="58" t="n"/>
      <c r="Y230" s="52" t="n">
        <v>350</v>
      </c>
      <c r="Z230" s="58" t="n"/>
      <c r="AA230" s="58" t="n">
        <v>70</v>
      </c>
      <c r="AB230" s="58" t="n"/>
      <c r="AC230" s="69" t="n">
        <v>350</v>
      </c>
      <c r="AD230" s="53" t="n">
        <v>175</v>
      </c>
      <c r="AE230" s="61">
        <f>SUMIFS([1]инфо!$D$15:$D$28,[1]инфо!$A$15:$A$28,F230)</f>
        <v/>
      </c>
      <c r="AF230" s="62">
        <f>IF(H230=0,0,N230/H230)</f>
        <v/>
      </c>
      <c r="AG230" s="63">
        <f>AF230-AE230</f>
        <v/>
      </c>
      <c r="AH230" s="61">
        <f>SUMIFS([1]инфо!$E$15:$E$28,[1]инфо!$A$15:$A$28,F230)</f>
        <v/>
      </c>
      <c r="AI230" s="64">
        <f>IF(H230=0,0,S230/H230)</f>
        <v/>
      </c>
      <c r="AJ230" s="63">
        <f>AI230-AH230</f>
        <v/>
      </c>
      <c r="AK230" s="61">
        <f>SUMIFS([1]инфо!$F$15:$F$28,[1]инфо!$A$15:$A$28,F230)</f>
        <v/>
      </c>
      <c r="AL230" s="64">
        <f>IF(H230=0,0,Y230/H230)</f>
        <v/>
      </c>
      <c r="AM230" s="63">
        <f>AL230-AK230</f>
        <v/>
      </c>
      <c r="AN230" s="61">
        <f>SUMIFS([1]инфо!$G$15:$G$28,[1]инфо!$A$15:$A$28,F230)</f>
        <v/>
      </c>
      <c r="AO230" s="64">
        <f>IF(H230=0,0,AA230/H230)</f>
        <v/>
      </c>
      <c r="AP230" s="63">
        <f>AO230-AN230</f>
        <v/>
      </c>
      <c r="AQ230" s="61">
        <f>SUMIFS([1]инфо!$H$15:$H$28,[1]инфо!$A$15:$A$28,F230)</f>
        <v/>
      </c>
      <c r="AR230" s="62">
        <f>IF(H229=0,0,AC230/H229)</f>
        <v/>
      </c>
      <c r="AS230" s="63">
        <f>AR230-AQ230</f>
        <v/>
      </c>
      <c r="AT230" s="61">
        <f>SUMIFS([1]инфо!$I$15:$I$28,[1]инфо!$A$15:$A$28,F230)</f>
        <v/>
      </c>
      <c r="AU230" s="62">
        <f>IF(H230=0,0,AD230/H230)</f>
        <v/>
      </c>
      <c r="AV230" s="63">
        <f>AU230-AT230</f>
        <v/>
      </c>
      <c r="AX230" s="59">
        <f>SUMIFS([1]инфо!$C$15:$C$28,[1]инфо!$A$15:$A$28,F230)*H229</f>
        <v/>
      </c>
    </row>
    <row r="231">
      <c r="A231" s="71">
        <f>A229+1</f>
        <v/>
      </c>
      <c r="B231" s="86" t="inlineStr">
        <is>
          <t>0148</t>
        </is>
      </c>
      <c r="C231" s="52" t="inlineStr">
        <is>
          <t>линия 2</t>
        </is>
      </c>
      <c r="D231" s="53" t="inlineStr">
        <is>
          <t>ночь</t>
        </is>
      </c>
      <c r="E231" s="66" t="inlineStr">
        <is>
          <t>Дауылбай</t>
        </is>
      </c>
      <c r="F231" s="67" t="inlineStr">
        <is>
          <t>7 волн</t>
        </is>
      </c>
      <c r="G231" s="68" t="n">
        <v>62</v>
      </c>
      <c r="H231" s="68" t="n">
        <v>3070</v>
      </c>
      <c r="I231" s="57">
        <f>IFERROR(H231*VLOOKUP(F231,[1]инфо!$A$15:$C$28,3,FALSE)/1000,0)</f>
        <v/>
      </c>
      <c r="J231" s="55" t="n">
        <v>2970</v>
      </c>
      <c r="K231" s="55" t="n"/>
      <c r="L231" s="55" t="n">
        <v>3</v>
      </c>
      <c r="M231" s="55" t="n">
        <v>188</v>
      </c>
      <c r="N231" s="55" t="n">
        <v>6323</v>
      </c>
      <c r="O231" s="58" t="n"/>
      <c r="P231" s="58" t="n"/>
      <c r="Q231" s="58" t="n">
        <v>19260</v>
      </c>
      <c r="R231" s="58" t="n">
        <v>20436</v>
      </c>
      <c r="S231" s="59">
        <f>SUM(O231:R231)</f>
        <v/>
      </c>
      <c r="T231" s="52" t="n"/>
      <c r="U231" s="53" t="n"/>
      <c r="V231" s="58" t="n"/>
      <c r="W231" s="68" t="n">
        <v>1860</v>
      </c>
      <c r="X231" s="58" t="n"/>
      <c r="Y231" s="52" t="n">
        <v>620</v>
      </c>
      <c r="Z231" s="58" t="n"/>
      <c r="AA231" s="58" t="n">
        <v>124</v>
      </c>
      <c r="AB231" s="58" t="n"/>
      <c r="AC231" s="69" t="n">
        <v>540</v>
      </c>
      <c r="AD231" s="53" t="n">
        <v>310</v>
      </c>
      <c r="AE231" s="61">
        <f>SUMIFS([1]инфо!$D$15:$D$28,[1]инфо!$A$15:$A$28,F231)</f>
        <v/>
      </c>
      <c r="AF231" s="62">
        <f>IF(H231=0,0,N231/H231)</f>
        <v/>
      </c>
      <c r="AG231" s="63">
        <f>AF231-AE231</f>
        <v/>
      </c>
      <c r="AH231" s="61">
        <f>SUMIFS([1]инфо!$E$15:$E$28,[1]инфо!$A$15:$A$28,F231)</f>
        <v/>
      </c>
      <c r="AI231" s="64">
        <f>IF(H231=0,0,S231/H231)</f>
        <v/>
      </c>
      <c r="AJ231" s="63">
        <f>AI231-AH231</f>
        <v/>
      </c>
      <c r="AK231" s="61">
        <f>SUMIFS([1]инфо!$F$15:$F$28,[1]инфо!$A$15:$A$28,F231)</f>
        <v/>
      </c>
      <c r="AL231" s="64">
        <f>IF(H231=0,0,Y231/H231)</f>
        <v/>
      </c>
      <c r="AM231" s="63">
        <f>AL231-AK231</f>
        <v/>
      </c>
      <c r="AN231" s="61">
        <f>SUMIFS([1]инфо!$G$15:$G$28,[1]инфо!$A$15:$A$28,F231)</f>
        <v/>
      </c>
      <c r="AO231" s="64">
        <f>IF(H231=0,0,AA231/H231)</f>
        <v/>
      </c>
      <c r="AP231" s="63">
        <f>AO231-AN231</f>
        <v/>
      </c>
      <c r="AQ231" s="61">
        <f>SUMIFS([1]инфо!$H$15:$H$28,[1]инфо!$A$15:$A$28,F231)</f>
        <v/>
      </c>
      <c r="AR231" s="62">
        <f>IF(H230=0,0,AC231/H230)</f>
        <v/>
      </c>
      <c r="AS231" s="63">
        <f>AR231-AQ231</f>
        <v/>
      </c>
      <c r="AT231" s="61">
        <f>SUMIFS([1]инфо!$I$15:$I$28,[1]инфо!$A$15:$A$28,F231)</f>
        <v/>
      </c>
      <c r="AU231" s="62">
        <f>IF(H231=0,0,AD231/H231)</f>
        <v/>
      </c>
      <c r="AV231" s="63">
        <f>AU231-AT231</f>
        <v/>
      </c>
      <c r="AX231" s="59">
        <f>SUMIFS([1]инфо!$C$15:$C$28,[1]инфо!$A$15:$A$28,F231)*H230</f>
        <v/>
      </c>
    </row>
    <row r="232">
      <c r="A232" s="71">
        <f>A230+1</f>
        <v/>
      </c>
      <c r="B232" s="86" t="inlineStr">
        <is>
          <t>0149</t>
        </is>
      </c>
      <c r="C232" s="77" t="inlineStr">
        <is>
          <t>линия 2</t>
        </is>
      </c>
      <c r="D232" s="78" t="inlineStr">
        <is>
          <t>день</t>
        </is>
      </c>
      <c r="E232" s="66" t="inlineStr">
        <is>
          <t>Бекбосынов</t>
        </is>
      </c>
      <c r="F232" s="67" t="inlineStr">
        <is>
          <t>7 волн</t>
        </is>
      </c>
      <c r="G232" s="68" t="n">
        <v>53</v>
      </c>
      <c r="H232" s="68" t="n">
        <v>2690</v>
      </c>
      <c r="I232" s="57">
        <f>IFERROR(H232*VLOOKUP(F232,[1]инфо!$A$15:$C$28,3,FALSE)/1000,0)</f>
        <v/>
      </c>
      <c r="J232" s="55" t="n">
        <v>2430</v>
      </c>
      <c r="K232" s="55" t="n">
        <v>17</v>
      </c>
      <c r="L232" s="55" t="n"/>
      <c r="M232" s="55" t="n">
        <v>161</v>
      </c>
      <c r="N232" s="56" t="n">
        <v>5400</v>
      </c>
      <c r="O232" s="79" t="n"/>
      <c r="P232" s="79" t="n"/>
      <c r="Q232" s="79" t="n">
        <v>16059</v>
      </c>
      <c r="R232" s="79" t="n">
        <v>17882</v>
      </c>
      <c r="S232" s="80">
        <f>SUM(O232:R232)</f>
        <v/>
      </c>
      <c r="T232" s="77" t="n"/>
      <c r="U232" s="78" t="n"/>
      <c r="V232" s="79" t="n"/>
      <c r="W232" s="68" t="n">
        <v>1590</v>
      </c>
      <c r="X232" s="79" t="n"/>
      <c r="Y232" s="77" t="n">
        <v>530</v>
      </c>
      <c r="Z232" s="79" t="n"/>
      <c r="AA232" s="79" t="n">
        <v>106</v>
      </c>
      <c r="AB232" s="79" t="n"/>
      <c r="AC232" s="69" t="n">
        <v>530</v>
      </c>
      <c r="AD232" s="78" t="n">
        <v>265</v>
      </c>
      <c r="AE232" s="81">
        <f>SUMIFS([1]инфо!$D$15:$D$28,[1]инфо!$A$15:$A$28,F232)</f>
        <v/>
      </c>
      <c r="AF232" s="62">
        <f>IF(H232=0,0,N232/H232)</f>
        <v/>
      </c>
      <c r="AG232" s="82">
        <f>AF232-AE232</f>
        <v/>
      </c>
      <c r="AH232" s="81">
        <f>SUMIFS([1]инфо!$E$15:$E$28,[1]инфо!$A$15:$A$28,F232)</f>
        <v/>
      </c>
      <c r="AI232" s="64">
        <f>IF(H232=0,0,S232/H232)</f>
        <v/>
      </c>
      <c r="AJ232" s="82">
        <f>AI232-AH232</f>
        <v/>
      </c>
      <c r="AK232" s="81">
        <f>SUMIFS([1]инфо!$F$15:$F$28,[1]инфо!$A$15:$A$28,F232)</f>
        <v/>
      </c>
      <c r="AL232" s="64">
        <f>IF(H232=0,0,Y232/H232)</f>
        <v/>
      </c>
      <c r="AM232" s="82">
        <f>AL232-AK232</f>
        <v/>
      </c>
      <c r="AN232" s="81">
        <f>SUMIFS([1]инфо!$G$15:$G$28,[1]инфо!$A$15:$A$28,F232)</f>
        <v/>
      </c>
      <c r="AO232" s="64">
        <f>IF(H232=0,0,AA232/H232)</f>
        <v/>
      </c>
      <c r="AP232" s="82">
        <f>AO232-AN232</f>
        <v/>
      </c>
      <c r="AQ232" s="81">
        <f>SUMIFS([1]инфо!$H$15:$H$28,[1]инфо!$A$15:$A$28,F232)</f>
        <v/>
      </c>
      <c r="AR232" s="85">
        <f>IF(H231=0,0,AC232/H231)</f>
        <v/>
      </c>
      <c r="AS232" s="82">
        <f>AR232-AQ232</f>
        <v/>
      </c>
      <c r="AT232" s="81">
        <f>SUMIFS([1]инфо!$I$15:$I$28,[1]инфо!$A$15:$A$28,F232)</f>
        <v/>
      </c>
      <c r="AU232" s="62">
        <f>IF(H232=0,0,AD232/H232)</f>
        <v/>
      </c>
      <c r="AV232" s="82">
        <f>AU232-AT232</f>
        <v/>
      </c>
      <c r="AX232" s="80">
        <f>SUMIFS([1]инфо!$C$15:$C$28,[1]инфо!$A$15:$A$28,F232)*H231</f>
        <v/>
      </c>
    </row>
    <row r="233">
      <c r="A233" s="71">
        <f>A231+1</f>
        <v/>
      </c>
      <c r="B233" s="86" t="inlineStr">
        <is>
          <t>0150</t>
        </is>
      </c>
      <c r="C233" s="72" t="inlineStr">
        <is>
          <t>линия 2</t>
        </is>
      </c>
      <c r="D233" s="73" t="inlineStr">
        <is>
          <t>ночь</t>
        </is>
      </c>
      <c r="E233" s="66" t="inlineStr">
        <is>
          <t>Монаев</t>
        </is>
      </c>
      <c r="F233" s="67" t="inlineStr">
        <is>
          <t>7 волн</t>
        </is>
      </c>
      <c r="G233" s="68" t="n">
        <v>56</v>
      </c>
      <c r="H233" s="68" t="n">
        <v>2780</v>
      </c>
      <c r="I233" s="57">
        <f>IFERROR(H233*VLOOKUP(F233,[1]инфо!$A$15:$C$28,3,FALSE)/1000,0)</f>
        <v/>
      </c>
      <c r="J233" s="55" t="n">
        <v>2970</v>
      </c>
      <c r="K233" s="55" t="n">
        <v>3</v>
      </c>
      <c r="L233" s="55" t="n">
        <v>2</v>
      </c>
      <c r="M233" s="55" t="n">
        <v>237</v>
      </c>
      <c r="N233" s="67" t="n">
        <v>5576</v>
      </c>
      <c r="O233" s="74" t="n"/>
      <c r="P233" s="74" t="n"/>
      <c r="Q233" s="74" t="n">
        <v>17322</v>
      </c>
      <c r="R233" s="74" t="n">
        <v>17874</v>
      </c>
      <c r="S233" s="70">
        <f>SUM(O233:R233)</f>
        <v/>
      </c>
      <c r="T233" s="72" t="n"/>
      <c r="U233" s="73" t="n"/>
      <c r="V233" s="74" t="n"/>
      <c r="W233" s="68" t="n">
        <v>1680</v>
      </c>
      <c r="X233" s="74" t="n"/>
      <c r="Y233" s="72" t="n">
        <v>550</v>
      </c>
      <c r="Z233" s="74" t="n"/>
      <c r="AA233" s="74" t="n">
        <v>110</v>
      </c>
      <c r="AB233" s="74" t="n"/>
      <c r="AC233" s="69" t="n">
        <v>560</v>
      </c>
      <c r="AD233" s="73" t="n">
        <v>255</v>
      </c>
      <c r="AE233" s="75">
        <f>SUMIFS([1]инфо!$D$15:$D$28,[1]инфо!$A$15:$A$28,F233)</f>
        <v/>
      </c>
      <c r="AF233" s="62">
        <f>IF(H233=0,0,N233/H233)</f>
        <v/>
      </c>
      <c r="AG233" s="76">
        <f>AF233-AE233</f>
        <v/>
      </c>
      <c r="AH233" s="75">
        <f>SUMIFS([1]инфо!$E$15:$E$28,[1]инфо!$A$15:$A$28,F233)</f>
        <v/>
      </c>
      <c r="AI233" s="64">
        <f>IF(H233=0,0,S233/H233)</f>
        <v/>
      </c>
      <c r="AJ233" s="76">
        <f>AI233-AH233</f>
        <v/>
      </c>
      <c r="AK233" s="75">
        <f>SUMIFS([1]инфо!$F$15:$F$28,[1]инфо!$A$15:$A$28,F233)</f>
        <v/>
      </c>
      <c r="AL233" s="64">
        <f>IF(H233=0,0,Y233/H233)</f>
        <v/>
      </c>
      <c r="AM233" s="76">
        <f>AL233-AK233</f>
        <v/>
      </c>
      <c r="AN233" s="75">
        <f>SUMIFS([1]инфо!$G$15:$G$28,[1]инфо!$A$15:$A$28,F233)</f>
        <v/>
      </c>
      <c r="AO233" s="64">
        <f>IF(H233=0,0,AA233/H233)</f>
        <v/>
      </c>
      <c r="AP233" s="76">
        <f>AO233-AN233</f>
        <v/>
      </c>
      <c r="AQ233" s="75">
        <f>SUMIFS([1]инфо!$H$15:$H$28,[1]инфо!$A$15:$A$28,F233)</f>
        <v/>
      </c>
      <c r="AR233" s="64">
        <f>IF(H232=0,0,AC233/H232)</f>
        <v/>
      </c>
      <c r="AS233" s="76">
        <f>AR233-AQ233</f>
        <v/>
      </c>
      <c r="AT233" s="75">
        <f>SUMIFS([1]инфо!$I$15:$I$28,[1]инфо!$A$15:$A$28,F233)</f>
        <v/>
      </c>
      <c r="AU233" s="62">
        <f>IF(H233=0,0,AD233/H233)</f>
        <v/>
      </c>
      <c r="AV233" s="76">
        <f>AU233-AT233</f>
        <v/>
      </c>
      <c r="AX233" s="70">
        <f>SUMIFS([1]инфо!$C$15:$C$28,[1]инфо!$A$15:$A$28,F233)*H232</f>
        <v/>
      </c>
    </row>
    <row r="234">
      <c r="A234" s="71">
        <f>A232+1</f>
        <v/>
      </c>
      <c r="B234" s="86" t="inlineStr">
        <is>
          <t>0151</t>
        </is>
      </c>
      <c r="C234" s="52" t="inlineStr">
        <is>
          <t>линия 2</t>
        </is>
      </c>
      <c r="D234" s="53" t="inlineStr">
        <is>
          <t>день</t>
        </is>
      </c>
      <c r="E234" s="66" t="inlineStr">
        <is>
          <t>Султанулы</t>
        </is>
      </c>
      <c r="F234" s="67" t="inlineStr">
        <is>
          <t>7 волн</t>
        </is>
      </c>
      <c r="G234" s="68" t="n">
        <v>43</v>
      </c>
      <c r="H234" s="68" t="n">
        <v>2150</v>
      </c>
      <c r="I234" s="57">
        <f>IFERROR(H234*VLOOKUP(F234,[1]инфо!$A$15:$C$28,3,FALSE)/1000,0)</f>
        <v/>
      </c>
      <c r="J234" s="55" t="n">
        <v>1890</v>
      </c>
      <c r="K234" s="55" t="n">
        <v>4</v>
      </c>
      <c r="L234" s="55" t="n">
        <v>3</v>
      </c>
      <c r="M234" s="55" t="n">
        <v>48</v>
      </c>
      <c r="N234" s="55" t="n">
        <v>4337</v>
      </c>
      <c r="O234" s="58" t="n"/>
      <c r="P234" s="58" t="n"/>
      <c r="Q234" s="58" t="n">
        <v>13477</v>
      </c>
      <c r="R234" s="58" t="n">
        <v>14058</v>
      </c>
      <c r="S234" s="59">
        <f>SUM(O234:R234)</f>
        <v/>
      </c>
      <c r="T234" s="52" t="n"/>
      <c r="U234" s="53" t="n"/>
      <c r="V234" s="58" t="n"/>
      <c r="W234" s="68" t="n">
        <v>1290</v>
      </c>
      <c r="X234" s="58" t="n"/>
      <c r="Y234" s="52" t="n">
        <v>430</v>
      </c>
      <c r="Z234" s="58" t="n"/>
      <c r="AA234" s="58" t="n">
        <v>86</v>
      </c>
      <c r="AB234" s="58" t="n"/>
      <c r="AC234" s="69" t="n">
        <v>430</v>
      </c>
      <c r="AD234" s="53" t="n">
        <v>215</v>
      </c>
      <c r="AE234" s="61">
        <f>SUMIFS([1]инфо!$D$15:$D$28,[1]инфо!$A$15:$A$28,F234)</f>
        <v/>
      </c>
      <c r="AF234" s="62">
        <f>IF(H234=0,0,N234/H234)</f>
        <v/>
      </c>
      <c r="AG234" s="63">
        <f>AF234-AE234</f>
        <v/>
      </c>
      <c r="AH234" s="61">
        <f>SUMIFS([1]инфо!$E$15:$E$28,[1]инфо!$A$15:$A$28,F234)</f>
        <v/>
      </c>
      <c r="AI234" s="64">
        <f>IF(H234=0,0,S234/H234)</f>
        <v/>
      </c>
      <c r="AJ234" s="63">
        <f>AI234-AH234</f>
        <v/>
      </c>
      <c r="AK234" s="61">
        <f>SUMIFS([1]инфо!$F$15:$F$28,[1]инфо!$A$15:$A$28,F234)</f>
        <v/>
      </c>
      <c r="AL234" s="64">
        <f>IF(H234=0,0,Y234/H234)</f>
        <v/>
      </c>
      <c r="AM234" s="63">
        <f>AL234-AK234</f>
        <v/>
      </c>
      <c r="AN234" s="61">
        <f>SUMIFS([1]инфо!$G$15:$G$28,[1]инфо!$A$15:$A$28,F234)</f>
        <v/>
      </c>
      <c r="AO234" s="64">
        <f>IF(H234=0,0,AA234/H234)</f>
        <v/>
      </c>
      <c r="AP234" s="63">
        <f>AO234-AN234</f>
        <v/>
      </c>
      <c r="AQ234" s="61">
        <f>SUMIFS([1]инфо!$H$15:$H$28,[1]инфо!$A$15:$A$28,F234)</f>
        <v/>
      </c>
      <c r="AR234" s="62">
        <f>IF(H233=0,0,AC234/H233)</f>
        <v/>
      </c>
      <c r="AS234" s="63">
        <f>AR234-AQ234</f>
        <v/>
      </c>
      <c r="AT234" s="61">
        <f>SUMIFS([1]инфо!$I$15:$I$28,[1]инфо!$A$15:$A$28,F234)</f>
        <v/>
      </c>
      <c r="AU234" s="62">
        <f>IF(H234=0,0,AD234/H234)</f>
        <v/>
      </c>
      <c r="AV234" s="63">
        <f>AU234-AT234</f>
        <v/>
      </c>
      <c r="AX234" s="59">
        <f>SUMIFS([1]инфо!$C$15:$C$28,[1]инфо!$A$15:$A$28,F234)*H233</f>
        <v/>
      </c>
    </row>
    <row r="235">
      <c r="A235" s="71">
        <f>A233+1</f>
        <v/>
      </c>
      <c r="B235" s="86" t="inlineStr">
        <is>
          <t>0152</t>
        </is>
      </c>
      <c r="C235" s="52" t="inlineStr">
        <is>
          <t>линия 2</t>
        </is>
      </c>
      <c r="D235" s="53" t="inlineStr">
        <is>
          <t>ночь</t>
        </is>
      </c>
      <c r="E235" s="66" t="inlineStr">
        <is>
          <t>Бекбосынов</t>
        </is>
      </c>
      <c r="F235" s="67" t="inlineStr">
        <is>
          <t>7 волн</t>
        </is>
      </c>
      <c r="G235" s="68" t="n">
        <v>63</v>
      </c>
      <c r="H235" s="68" t="n">
        <v>3140</v>
      </c>
      <c r="I235" s="57">
        <f>IFERROR(H235*VLOOKUP(F235,[1]инфо!$A$15:$C$28,3,FALSE)/1000,0)</f>
        <v/>
      </c>
      <c r="J235" s="55" t="n">
        <v>3240</v>
      </c>
      <c r="K235" s="55" t="n">
        <v>5</v>
      </c>
      <c r="L235" s="55" t="n"/>
      <c r="M235" s="55" t="n">
        <v>168</v>
      </c>
      <c r="N235" s="55" t="n">
        <v>6362</v>
      </c>
      <c r="O235" s="58" t="n"/>
      <c r="P235" s="58" t="n"/>
      <c r="Q235" s="58" t="n">
        <v>16050</v>
      </c>
      <c r="R235" s="58" t="n">
        <v>24247</v>
      </c>
      <c r="S235" s="59">
        <f>SUM(O235:R235)</f>
        <v/>
      </c>
      <c r="T235" s="52" t="n"/>
      <c r="U235" s="53" t="n"/>
      <c r="V235" s="58" t="n"/>
      <c r="W235" s="68" t="n">
        <v>1890</v>
      </c>
      <c r="X235" s="58" t="n"/>
      <c r="Y235" s="52" t="n">
        <v>630</v>
      </c>
      <c r="Z235" s="58" t="n"/>
      <c r="AA235" s="58" t="n"/>
      <c r="AB235" s="58" t="n"/>
      <c r="AC235" s="69" t="n">
        <v>630</v>
      </c>
      <c r="AD235" s="53" t="n">
        <v>300</v>
      </c>
      <c r="AE235" s="61">
        <f>SUMIFS([1]инфо!$D$15:$D$28,[1]инфо!$A$15:$A$28,F235)</f>
        <v/>
      </c>
      <c r="AF235" s="62">
        <f>IF(H235=0,0,N235/H235)</f>
        <v/>
      </c>
      <c r="AG235" s="63">
        <f>AF235-AE235</f>
        <v/>
      </c>
      <c r="AH235" s="61">
        <f>SUMIFS([1]инфо!$E$15:$E$28,[1]инфо!$A$15:$A$28,F235)</f>
        <v/>
      </c>
      <c r="AI235" s="64">
        <f>IF(H235=0,0,S235/H235)</f>
        <v/>
      </c>
      <c r="AJ235" s="63">
        <f>AI235-AH235</f>
        <v/>
      </c>
      <c r="AK235" s="61">
        <f>SUMIFS([1]инфо!$F$15:$F$28,[1]инфо!$A$15:$A$28,F235)</f>
        <v/>
      </c>
      <c r="AL235" s="64">
        <f>IF(H235=0,0,Y235/H235)</f>
        <v/>
      </c>
      <c r="AM235" s="63">
        <f>AL235-AK235</f>
        <v/>
      </c>
      <c r="AN235" s="61">
        <f>SUMIFS([1]инфо!$G$15:$G$28,[1]инфо!$A$15:$A$28,F235)</f>
        <v/>
      </c>
      <c r="AO235" s="64">
        <f>IF(H235=0,0,AA235/H235)</f>
        <v/>
      </c>
      <c r="AP235" s="63">
        <f>AO235-AN235</f>
        <v/>
      </c>
      <c r="AQ235" s="61">
        <f>SUMIFS([1]инфо!$H$15:$H$28,[1]инфо!$A$15:$A$28,F235)</f>
        <v/>
      </c>
      <c r="AR235" s="62">
        <f>IF(H234=0,0,AC235/H234)</f>
        <v/>
      </c>
      <c r="AS235" s="63">
        <f>AR235-AQ235</f>
        <v/>
      </c>
      <c r="AT235" s="61">
        <f>SUMIFS([1]инфо!$I$15:$I$28,[1]инфо!$A$15:$A$28,F235)</f>
        <v/>
      </c>
      <c r="AU235" s="62">
        <f>IF(H235=0,0,AD235/H235)</f>
        <v/>
      </c>
      <c r="AV235" s="63">
        <f>AU235-AT235</f>
        <v/>
      </c>
      <c r="AX235" s="59">
        <f>SUMIFS([1]инфо!$C$15:$C$28,[1]инфо!$A$15:$A$28,F235)*H234</f>
        <v/>
      </c>
    </row>
    <row r="236">
      <c r="A236" s="71">
        <f>A234+1</f>
        <v/>
      </c>
      <c r="B236" s="86" t="inlineStr">
        <is>
          <t>0153</t>
        </is>
      </c>
      <c r="C236" s="77" t="inlineStr">
        <is>
          <t>линия 2</t>
        </is>
      </c>
      <c r="D236" s="78" t="inlineStr">
        <is>
          <t>день</t>
        </is>
      </c>
      <c r="E236" s="66" t="inlineStr">
        <is>
          <t>Дауылбай</t>
        </is>
      </c>
      <c r="F236" s="67" t="inlineStr">
        <is>
          <t>7 волн</t>
        </is>
      </c>
      <c r="G236" s="68" t="n">
        <v>12</v>
      </c>
      <c r="H236" s="68" t="n">
        <v>768</v>
      </c>
      <c r="I236" s="57">
        <f>IFERROR(H236*VLOOKUP(F236,[1]инфо!$A$15:$C$28,3,FALSE)/1000,0)</f>
        <v/>
      </c>
      <c r="J236" s="55" t="n">
        <v>1350</v>
      </c>
      <c r="K236" s="55" t="n">
        <v>5</v>
      </c>
      <c r="L236" s="55" t="n">
        <v>7</v>
      </c>
      <c r="M236" s="55" t="n">
        <v>34</v>
      </c>
      <c r="N236" s="56" t="n">
        <v>1211</v>
      </c>
      <c r="O236" s="79" t="n"/>
      <c r="P236" s="79" t="n"/>
      <c r="Q236" s="79" t="n">
        <v>3850</v>
      </c>
      <c r="R236" s="79" t="n">
        <v>3833</v>
      </c>
      <c r="S236" s="80">
        <f>SUM(O236:R236)</f>
        <v/>
      </c>
      <c r="T236" s="77" t="n"/>
      <c r="U236" s="78" t="n"/>
      <c r="V236" s="79" t="n"/>
      <c r="W236" s="68" t="n">
        <v>360</v>
      </c>
      <c r="X236" s="79" t="n"/>
      <c r="Y236" s="77" t="n">
        <v>120</v>
      </c>
      <c r="Z236" s="79" t="n"/>
      <c r="AA236" s="79" t="n">
        <v>24</v>
      </c>
      <c r="AB236" s="79" t="n"/>
      <c r="AC236" s="69" t="n">
        <v>120</v>
      </c>
      <c r="AD236" s="78" t="n">
        <v>60</v>
      </c>
      <c r="AE236" s="81">
        <f>SUMIFS([1]инфо!$D$15:$D$28,[1]инфо!$A$15:$A$28,F236)</f>
        <v/>
      </c>
      <c r="AF236" s="62">
        <f>IF(H236=0,0,N236/H236)</f>
        <v/>
      </c>
      <c r="AG236" s="82">
        <f>AF236-AE236</f>
        <v/>
      </c>
      <c r="AH236" s="81">
        <f>SUMIFS([1]инфо!$E$15:$E$28,[1]инфо!$A$15:$A$28,F236)</f>
        <v/>
      </c>
      <c r="AI236" s="64">
        <f>IF(H236=0,0,S236/H236)</f>
        <v/>
      </c>
      <c r="AJ236" s="82">
        <f>AI236-AH236</f>
        <v/>
      </c>
      <c r="AK236" s="81">
        <f>SUMIFS([1]инфо!$F$15:$F$28,[1]инфо!$A$15:$A$28,F236)</f>
        <v/>
      </c>
      <c r="AL236" s="64">
        <f>IF(H236=0,0,Y236/H236)</f>
        <v/>
      </c>
      <c r="AM236" s="82">
        <f>AL236-AK236</f>
        <v/>
      </c>
      <c r="AN236" s="81">
        <f>SUMIFS([1]инфо!$G$15:$G$28,[1]инфо!$A$15:$A$28,F236)</f>
        <v/>
      </c>
      <c r="AO236" s="64">
        <f>IF(H236=0,0,AA236/H236)</f>
        <v/>
      </c>
      <c r="AP236" s="82">
        <f>AO236-AN236</f>
        <v/>
      </c>
      <c r="AQ236" s="81">
        <f>SUMIFS([1]инфо!$H$15:$H$28,[1]инфо!$A$15:$A$28,F236)</f>
        <v/>
      </c>
      <c r="AR236" s="85">
        <f>IF(H235=0,0,AC236/H235)</f>
        <v/>
      </c>
      <c r="AS236" s="82">
        <f>AR236-AQ236</f>
        <v/>
      </c>
      <c r="AT236" s="81">
        <f>SUMIFS([1]инфо!$I$15:$I$28,[1]инфо!$A$15:$A$28,F236)</f>
        <v/>
      </c>
      <c r="AU236" s="62">
        <f>IF(H236=0,0,AD236/H236)</f>
        <v/>
      </c>
      <c r="AV236" s="82">
        <f>AU236-AT236</f>
        <v/>
      </c>
      <c r="AX236" s="80">
        <f>SUMIFS([1]инфо!$C$15:$C$28,[1]инфо!$A$15:$A$28,F236)*H235</f>
        <v/>
      </c>
    </row>
    <row r="237">
      <c r="A237" s="71">
        <f>A235+1</f>
        <v/>
      </c>
      <c r="B237" s="86" t="n"/>
      <c r="C237" s="52" t="n"/>
      <c r="D237" s="53" t="n"/>
      <c r="E237" s="66" t="inlineStr">
        <is>
          <t>Дауылбай</t>
        </is>
      </c>
      <c r="F237" s="67" t="inlineStr">
        <is>
          <t>8 волн гладкий</t>
        </is>
      </c>
      <c r="G237" s="68" t="n">
        <v>2</v>
      </c>
      <c r="H237" s="68" t="n"/>
      <c r="I237" s="57">
        <f>IFERROR(H237*VLOOKUP(F237,[1]инфо!$A$15:$C$28,3,FALSE)/1000,0)</f>
        <v/>
      </c>
      <c r="J237" s="55" t="n"/>
      <c r="K237" s="55" t="n"/>
      <c r="L237" s="55" t="n"/>
      <c r="M237" s="55" t="n"/>
      <c r="N237" s="55" t="n">
        <v>203</v>
      </c>
      <c r="O237" s="58" t="n"/>
      <c r="P237" s="58" t="n"/>
      <c r="Q237" s="58" t="n">
        <v>642</v>
      </c>
      <c r="R237" s="58" t="n">
        <v>638</v>
      </c>
      <c r="S237" s="59">
        <f>SUM(O237:R237)</f>
        <v/>
      </c>
      <c r="T237" s="52" t="n">
        <v>200</v>
      </c>
      <c r="U237" s="53" t="n">
        <v>1280</v>
      </c>
      <c r="V237" s="58" t="n"/>
      <c r="W237" s="68" t="n">
        <v>60</v>
      </c>
      <c r="X237" s="58" t="n"/>
      <c r="Y237" s="52" t="n">
        <v>20</v>
      </c>
      <c r="Z237" s="58" t="n"/>
      <c r="AA237" s="58" t="n">
        <v>4</v>
      </c>
      <c r="AB237" s="58" t="n"/>
      <c r="AC237" s="69" t="n">
        <v>20</v>
      </c>
      <c r="AD237" s="53" t="n">
        <v>10</v>
      </c>
      <c r="AE237" s="61" t="n"/>
      <c r="AF237" s="62" t="n"/>
      <c r="AG237" s="63" t="n"/>
      <c r="AH237" s="61" t="n"/>
      <c r="AI237" s="64" t="n"/>
      <c r="AJ237" s="63" t="n"/>
      <c r="AK237" s="61" t="n"/>
      <c r="AL237" s="64" t="n"/>
      <c r="AM237" s="63" t="n"/>
      <c r="AN237" s="61" t="n"/>
      <c r="AO237" s="64" t="n"/>
      <c r="AP237" s="63" t="n"/>
      <c r="AQ237" s="61" t="n"/>
      <c r="AR237" s="62" t="n"/>
      <c r="AS237" s="63" t="n"/>
      <c r="AT237" s="61" t="n"/>
      <c r="AU237" s="62" t="n"/>
      <c r="AV237" s="63" t="n"/>
      <c r="AX237" s="59" t="n"/>
    </row>
    <row r="238">
      <c r="A238" s="71">
        <f>A235+1</f>
        <v/>
      </c>
      <c r="B238" s="86" t="inlineStr">
        <is>
          <t>0154</t>
        </is>
      </c>
      <c r="C238" s="72" t="inlineStr">
        <is>
          <t>линия 2</t>
        </is>
      </c>
      <c r="D238" s="73" t="inlineStr">
        <is>
          <t>ночь</t>
        </is>
      </c>
      <c r="E238" s="66" t="inlineStr">
        <is>
          <t>Султанулы</t>
        </is>
      </c>
      <c r="F238" s="67" t="inlineStr">
        <is>
          <t>8 волн гладкий</t>
        </is>
      </c>
      <c r="G238" s="68" t="n">
        <v>61</v>
      </c>
      <c r="H238" s="68" t="n">
        <v>2250</v>
      </c>
      <c r="I238" s="57">
        <f>IFERROR(H238*VLOOKUP(F238,[1]инфо!$A$15:$C$28,3,FALSE)/1000,0)</f>
        <v/>
      </c>
      <c r="J238" s="55" t="n">
        <v>1250</v>
      </c>
      <c r="K238" s="55" t="n">
        <v>2</v>
      </c>
      <c r="L238" s="55" t="n"/>
      <c r="M238" s="55" t="n">
        <v>71</v>
      </c>
      <c r="N238" s="67" t="n">
        <v>6037</v>
      </c>
      <c r="O238" s="74" t="n"/>
      <c r="P238" s="74" t="n"/>
      <c r="Q238" s="74" t="n">
        <v>20532</v>
      </c>
      <c r="R238" s="74" t="n">
        <v>18524</v>
      </c>
      <c r="S238" s="70">
        <f>SUM(O238:R238)</f>
        <v/>
      </c>
      <c r="T238" s="72" t="n"/>
      <c r="U238" s="73" t="n"/>
      <c r="V238" s="74" t="n"/>
      <c r="W238" s="68" t="n">
        <v>1830</v>
      </c>
      <c r="X238" s="74" t="n"/>
      <c r="Y238" s="72" t="n">
        <v>610</v>
      </c>
      <c r="Z238" s="74" t="n"/>
      <c r="AA238" s="74" t="n">
        <v>122</v>
      </c>
      <c r="AB238" s="74" t="n"/>
      <c r="AC238" s="69" t="n">
        <v>610</v>
      </c>
      <c r="AD238" s="73" t="n">
        <v>300</v>
      </c>
      <c r="AE238" s="75">
        <f>SUMIFS([1]инфо!$D$15:$D$28,[1]инфо!$A$15:$A$28,F238)</f>
        <v/>
      </c>
      <c r="AF238" s="62">
        <f>IF(H238=0,0,N238/H238)</f>
        <v/>
      </c>
      <c r="AG238" s="76">
        <f>AF238-AE238</f>
        <v/>
      </c>
      <c r="AH238" s="75">
        <f>SUMIFS([1]инфо!$E$15:$E$28,[1]инфо!$A$15:$A$28,F238)</f>
        <v/>
      </c>
      <c r="AI238" s="64">
        <f>IF(H238=0,0,S238/H238)</f>
        <v/>
      </c>
      <c r="AJ238" s="76">
        <f>AI238-AH238</f>
        <v/>
      </c>
      <c r="AK238" s="75">
        <f>SUMIFS([1]инфо!$F$15:$F$28,[1]инфо!$A$15:$A$28,F238)</f>
        <v/>
      </c>
      <c r="AL238" s="64">
        <f>IF(H238=0,0,Y238/H238)</f>
        <v/>
      </c>
      <c r="AM238" s="76">
        <f>AL238-AK238</f>
        <v/>
      </c>
      <c r="AN238" s="75">
        <f>SUMIFS([1]инфо!$G$15:$G$28,[1]инфо!$A$15:$A$28,F238)</f>
        <v/>
      </c>
      <c r="AO238" s="64">
        <f>IF(H238=0,0,AA238/H238)</f>
        <v/>
      </c>
      <c r="AP238" s="76">
        <f>AO238-AN238</f>
        <v/>
      </c>
      <c r="AQ238" s="75">
        <f>SUMIFS([1]инфо!$H$15:$H$28,[1]инфо!$A$15:$A$28,F238)</f>
        <v/>
      </c>
      <c r="AR238" s="64">
        <f>IF(H236=0,0,AC238/H236)</f>
        <v/>
      </c>
      <c r="AS238" s="76">
        <f>AR238-AQ238</f>
        <v/>
      </c>
      <c r="AT238" s="75">
        <f>SUMIFS([1]инфо!$I$15:$I$28,[1]инфо!$A$15:$A$28,F238)</f>
        <v/>
      </c>
      <c r="AU238" s="62">
        <f>IF(H238=0,0,AD238/H238)</f>
        <v/>
      </c>
      <c r="AV238" s="76">
        <f>AU238-AT238</f>
        <v/>
      </c>
      <c r="AX238" s="70">
        <f>SUMIFS([1]инфо!$C$15:$C$28,[1]инфо!$A$15:$A$28,F238)*H236</f>
        <v/>
      </c>
    </row>
    <row r="239">
      <c r="A239" s="71">
        <f>A236+1</f>
        <v/>
      </c>
      <c r="B239" s="86" t="inlineStr">
        <is>
          <t>0155</t>
        </is>
      </c>
      <c r="C239" s="52" t="inlineStr">
        <is>
          <t>линия 2</t>
        </is>
      </c>
      <c r="D239" s="53" t="inlineStr">
        <is>
          <t>день</t>
        </is>
      </c>
      <c r="E239" s="66" t="inlineStr">
        <is>
          <t>Монаев</t>
        </is>
      </c>
      <c r="F239" s="67" t="inlineStr">
        <is>
          <t>8 волн гладкий</t>
        </is>
      </c>
      <c r="G239" s="68" t="n">
        <v>54</v>
      </c>
      <c r="H239" s="68" t="n">
        <v>2280</v>
      </c>
      <c r="I239" s="57">
        <f>IFERROR(H239*VLOOKUP(F239,[1]инфо!$A$15:$C$28,3,FALSE)/1000,0)</f>
        <v/>
      </c>
      <c r="J239" s="55" t="n">
        <v>2000</v>
      </c>
      <c r="K239" s="55" t="n">
        <v>40</v>
      </c>
      <c r="L239" s="55" t="n">
        <v>9</v>
      </c>
      <c r="M239" s="55" t="n">
        <v>178</v>
      </c>
      <c r="N239" s="55" t="n">
        <v>5385</v>
      </c>
      <c r="O239" s="58" t="n"/>
      <c r="P239" s="58" t="n"/>
      <c r="Q239" s="58" t="n">
        <v>17327</v>
      </c>
      <c r="R239" s="58" t="n">
        <v>17243</v>
      </c>
      <c r="S239" s="59">
        <f>SUM(O239:R239)</f>
        <v/>
      </c>
      <c r="T239" s="52" t="n"/>
      <c r="U239" s="53" t="n"/>
      <c r="V239" s="58" t="n"/>
      <c r="W239" s="68" t="n">
        <v>1620</v>
      </c>
      <c r="X239" s="58" t="n"/>
      <c r="Y239" s="52" t="n">
        <v>540</v>
      </c>
      <c r="Z239" s="58" t="n"/>
      <c r="AA239" s="58" t="n">
        <v>108</v>
      </c>
      <c r="AB239" s="58" t="n"/>
      <c r="AC239" s="69" t="n">
        <v>540</v>
      </c>
      <c r="AD239" s="53" t="n">
        <v>270</v>
      </c>
      <c r="AE239" s="61">
        <f>SUMIFS([1]инфо!$D$15:$D$28,[1]инфо!$A$15:$A$28,F239)</f>
        <v/>
      </c>
      <c r="AF239" s="62">
        <f>IF(H239=0,0,N239/H239)</f>
        <v/>
      </c>
      <c r="AG239" s="63">
        <f>AF239-AE239</f>
        <v/>
      </c>
      <c r="AH239" s="61">
        <f>SUMIFS([1]инфо!$E$15:$E$28,[1]инфо!$A$15:$A$28,F239)</f>
        <v/>
      </c>
      <c r="AI239" s="64">
        <f>IF(H239=0,0,S239/H239)</f>
        <v/>
      </c>
      <c r="AJ239" s="63">
        <f>AI239-AH239</f>
        <v/>
      </c>
      <c r="AK239" s="61">
        <f>SUMIFS([1]инфо!$F$15:$F$28,[1]инфо!$A$15:$A$28,F239)</f>
        <v/>
      </c>
      <c r="AL239" s="64">
        <f>IF(H239=0,0,Y239/H239)</f>
        <v/>
      </c>
      <c r="AM239" s="63">
        <f>AL239-AK239</f>
        <v/>
      </c>
      <c r="AN239" s="61">
        <f>SUMIFS([1]инфо!$G$15:$G$28,[1]инфо!$A$15:$A$28,F239)</f>
        <v/>
      </c>
      <c r="AO239" s="64">
        <f>IF(H239=0,0,AA239/H239)</f>
        <v/>
      </c>
      <c r="AP239" s="63">
        <f>AO239-AN239</f>
        <v/>
      </c>
      <c r="AQ239" s="61">
        <f>SUMIFS([1]инфо!$H$15:$H$28,[1]инфо!$A$15:$A$28,F239)</f>
        <v/>
      </c>
      <c r="AR239" s="62">
        <f>IF(H238=0,0,AC239/H238)</f>
        <v/>
      </c>
      <c r="AS239" s="63">
        <f>AR239-AQ239</f>
        <v/>
      </c>
      <c r="AT239" s="61">
        <f>SUMIFS([1]инфо!$I$15:$I$28,[1]инфо!$A$15:$A$28,F239)</f>
        <v/>
      </c>
      <c r="AU239" s="62">
        <f>IF(H239=0,0,AD239/H239)</f>
        <v/>
      </c>
      <c r="AV239" s="63">
        <f>AU239-AT239</f>
        <v/>
      </c>
      <c r="AX239" s="59">
        <f>SUMIFS([1]инфо!$C$15:$C$28,[1]инфо!$A$15:$A$28,F239)*H238</f>
        <v/>
      </c>
    </row>
    <row r="240">
      <c r="A240" s="71">
        <f>A238+1</f>
        <v/>
      </c>
      <c r="B240" s="86" t="inlineStr">
        <is>
          <t>0156</t>
        </is>
      </c>
      <c r="C240" s="52" t="inlineStr">
        <is>
          <t>линия 2</t>
        </is>
      </c>
      <c r="D240" s="53" t="inlineStr">
        <is>
          <t>ночь</t>
        </is>
      </c>
      <c r="E240" s="66" t="inlineStr">
        <is>
          <t>Дауылбай</t>
        </is>
      </c>
      <c r="F240" s="67" t="inlineStr">
        <is>
          <t>8 волн гладкий</t>
        </is>
      </c>
      <c r="G240" s="68" t="n">
        <v>72</v>
      </c>
      <c r="H240" s="68" t="n">
        <v>3200</v>
      </c>
      <c r="I240" s="57">
        <f>IFERROR(H240*VLOOKUP(F240,[1]инфо!$A$15:$C$28,3,FALSE)/1000,0)</f>
        <v/>
      </c>
      <c r="J240" s="55" t="n">
        <v>3000</v>
      </c>
      <c r="K240" s="55" t="n">
        <v>12</v>
      </c>
      <c r="L240" s="55" t="n"/>
      <c r="M240" s="55" t="n">
        <v>85</v>
      </c>
      <c r="N240" s="55" t="n">
        <v>7259</v>
      </c>
      <c r="O240" s="58" t="n"/>
      <c r="P240" s="58" t="n"/>
      <c r="Q240" s="58" t="n">
        <v>26312</v>
      </c>
      <c r="R240" s="58" t="n">
        <v>19595</v>
      </c>
      <c r="S240" s="59">
        <f>SUM(O240:R240)</f>
        <v/>
      </c>
      <c r="T240" s="52" t="n"/>
      <c r="U240" s="53" t="n"/>
      <c r="V240" s="58" t="n"/>
      <c r="W240" s="68" t="n">
        <v>2160</v>
      </c>
      <c r="X240" s="58" t="n"/>
      <c r="Y240" s="52" t="n">
        <v>720</v>
      </c>
      <c r="Z240" s="58" t="n"/>
      <c r="AA240" s="58" t="n">
        <v>144</v>
      </c>
      <c r="AB240" s="58" t="n"/>
      <c r="AC240" s="69" t="n">
        <v>720</v>
      </c>
      <c r="AD240" s="53" t="n">
        <v>360</v>
      </c>
      <c r="AE240" s="61">
        <f>SUMIFS([1]инфо!$D$15:$D$28,[1]инфо!$A$15:$A$28,F240)</f>
        <v/>
      </c>
      <c r="AF240" s="62">
        <f>IF(H240=0,0,N240/H240)</f>
        <v/>
      </c>
      <c r="AG240" s="63">
        <f>AF240-AE240</f>
        <v/>
      </c>
      <c r="AH240" s="61">
        <f>SUMIFS([1]инфо!$E$15:$E$28,[1]инфо!$A$15:$A$28,F240)</f>
        <v/>
      </c>
      <c r="AI240" s="64">
        <f>IF(H240=0,0,S240/H240)</f>
        <v/>
      </c>
      <c r="AJ240" s="63">
        <f>AI240-AH240</f>
        <v/>
      </c>
      <c r="AK240" s="61">
        <f>SUMIFS([1]инфо!$F$15:$F$28,[1]инфо!$A$15:$A$28,F240)</f>
        <v/>
      </c>
      <c r="AL240" s="64">
        <f>IF(H240=0,0,Y240/H240)</f>
        <v/>
      </c>
      <c r="AM240" s="63">
        <f>AL240-AK240</f>
        <v/>
      </c>
      <c r="AN240" s="61">
        <f>SUMIFS([1]инфо!$G$15:$G$28,[1]инфо!$A$15:$A$28,F240)</f>
        <v/>
      </c>
      <c r="AO240" s="64">
        <f>IF(H240=0,0,AA240/H240)</f>
        <v/>
      </c>
      <c r="AP240" s="63">
        <f>AO240-AN240</f>
        <v/>
      </c>
      <c r="AQ240" s="61">
        <f>SUMIFS([1]инфо!$H$15:$H$28,[1]инфо!$A$15:$A$28,F240)</f>
        <v/>
      </c>
      <c r="AR240" s="62">
        <f>IF(H239=0,0,AC240/H239)</f>
        <v/>
      </c>
      <c r="AS240" s="63">
        <f>AR240-AQ240</f>
        <v/>
      </c>
      <c r="AT240" s="61">
        <f>SUMIFS([1]инфо!$I$15:$I$28,[1]инфо!$A$15:$A$28,F240)</f>
        <v/>
      </c>
      <c r="AU240" s="62">
        <f>IF(H240=0,0,AD240/H240)</f>
        <v/>
      </c>
      <c r="AV240" s="63">
        <f>AU240-AT240</f>
        <v/>
      </c>
      <c r="AX240" s="59">
        <f>SUMIFS([1]инфо!$C$15:$C$28,[1]инфо!$A$15:$A$28,F240)*H239</f>
        <v/>
      </c>
    </row>
    <row r="241">
      <c r="A241" s="71">
        <f>A239+1</f>
        <v/>
      </c>
      <c r="B241" s="86" t="inlineStr">
        <is>
          <t>0157</t>
        </is>
      </c>
      <c r="C241" s="77" t="inlineStr">
        <is>
          <t>линия 2</t>
        </is>
      </c>
      <c r="D241" s="78" t="inlineStr">
        <is>
          <t>день</t>
        </is>
      </c>
      <c r="E241" s="66" t="inlineStr">
        <is>
          <t>Бекбосынов</t>
        </is>
      </c>
      <c r="F241" s="67" t="inlineStr">
        <is>
          <t>8 волн гладкий</t>
        </is>
      </c>
      <c r="G241" s="68" t="n">
        <v>36</v>
      </c>
      <c r="H241" s="68" t="n">
        <v>1492</v>
      </c>
      <c r="I241" s="57">
        <f>IFERROR(H241*VLOOKUP(F241,[1]инфо!$A$15:$C$28,3,FALSE)/1000,0)</f>
        <v/>
      </c>
      <c r="J241" s="68" t="n">
        <v>2000</v>
      </c>
      <c r="K241" s="68" t="n">
        <v>3</v>
      </c>
      <c r="L241" s="68" t="n">
        <v>2</v>
      </c>
      <c r="M241" s="55" t="n">
        <v>105</v>
      </c>
      <c r="N241" s="56" t="n">
        <v>3663</v>
      </c>
      <c r="O241" s="79" t="n"/>
      <c r="P241" s="79" t="n"/>
      <c r="Q241" s="79" t="n">
        <v>14080</v>
      </c>
      <c r="R241" s="79" t="n">
        <v>8985</v>
      </c>
      <c r="S241" s="80">
        <f>SUM(O241:R241)</f>
        <v/>
      </c>
      <c r="T241" s="77" t="n"/>
      <c r="U241" s="78" t="n"/>
      <c r="V241" s="79" t="n"/>
      <c r="W241" s="68" t="n">
        <v>1080</v>
      </c>
      <c r="X241" s="79" t="n">
        <v>9490</v>
      </c>
      <c r="Y241" s="77" t="n">
        <v>360</v>
      </c>
      <c r="Z241" s="79" t="n"/>
      <c r="AA241" s="79" t="n">
        <v>72</v>
      </c>
      <c r="AB241" s="79" t="n"/>
      <c r="AC241" s="69" t="n"/>
      <c r="AD241" s="78" t="n"/>
      <c r="AE241" s="81">
        <f>SUMIFS([1]инфо!$D$15:$D$28,[1]инфо!$A$15:$A$28,F241)</f>
        <v/>
      </c>
      <c r="AF241" s="62">
        <f>IF(H241=0,0,N241/H241)</f>
        <v/>
      </c>
      <c r="AG241" s="82">
        <f>AF241-AE241</f>
        <v/>
      </c>
      <c r="AH241" s="81">
        <f>SUMIFS([1]инфо!$E$15:$E$28,[1]инфо!$A$15:$A$28,F241)</f>
        <v/>
      </c>
      <c r="AI241" s="64">
        <f>IF(H241=0,0,S241/H241)</f>
        <v/>
      </c>
      <c r="AJ241" s="82">
        <f>AI241-AH241</f>
        <v/>
      </c>
      <c r="AK241" s="81">
        <f>SUMIFS([1]инфо!$F$15:$F$28,[1]инфо!$A$15:$A$28,F241)</f>
        <v/>
      </c>
      <c r="AL241" s="64">
        <f>IF(H241=0,0,Y241/H241)</f>
        <v/>
      </c>
      <c r="AM241" s="82">
        <f>AL241-AK241</f>
        <v/>
      </c>
      <c r="AN241" s="81">
        <f>SUMIFS([1]инфо!$G$15:$G$28,[1]инфо!$A$15:$A$28,F241)</f>
        <v/>
      </c>
      <c r="AO241" s="64">
        <f>IF(H241=0,0,AA241/H241)</f>
        <v/>
      </c>
      <c r="AP241" s="82">
        <f>AO241-AN241</f>
        <v/>
      </c>
      <c r="AQ241" s="81">
        <f>SUMIFS([1]инфо!$H$15:$H$28,[1]инфо!$A$15:$A$28,F241)</f>
        <v/>
      </c>
      <c r="AR241" s="85">
        <f>IF(H240=0,0,AC241/H240)</f>
        <v/>
      </c>
      <c r="AS241" s="82">
        <f>AR241-AQ241</f>
        <v/>
      </c>
      <c r="AT241" s="81">
        <f>SUMIFS([1]инфо!$I$15:$I$28,[1]инфо!$A$15:$A$28,F241)</f>
        <v/>
      </c>
      <c r="AU241" s="62">
        <f>IF(H241=0,0,AD241/H241)</f>
        <v/>
      </c>
      <c r="AV241" s="82">
        <f>AU241-AT241</f>
        <v/>
      </c>
      <c r="AX241" s="80">
        <f>SUMIFS([1]инфо!$C$15:$C$28,[1]инфо!$A$15:$A$28,F241)*H240</f>
        <v/>
      </c>
    </row>
    <row r="242">
      <c r="A242" s="71">
        <f>A240+1</f>
        <v/>
      </c>
      <c r="B242" s="86" t="inlineStr">
        <is>
          <t>0158</t>
        </is>
      </c>
      <c r="C242" s="72" t="inlineStr">
        <is>
          <t>линия 2</t>
        </is>
      </c>
      <c r="D242" s="73" t="inlineStr">
        <is>
          <t>ночь</t>
        </is>
      </c>
      <c r="E242" s="66" t="inlineStr">
        <is>
          <t>Монаев</t>
        </is>
      </c>
      <c r="F242" s="67" t="inlineStr">
        <is>
          <t>8 волн гладкий</t>
        </is>
      </c>
      <c r="G242" s="68" t="n">
        <v>51</v>
      </c>
      <c r="H242" s="68" t="n">
        <v>2296</v>
      </c>
      <c r="I242" s="57">
        <f>IFERROR(H242*VLOOKUP(F242,[1]инфо!$A$15:$C$28,3,FALSE)/1000,0)</f>
        <v/>
      </c>
      <c r="J242" s="55" t="n">
        <v>2000</v>
      </c>
      <c r="K242" s="55" t="n">
        <v>75</v>
      </c>
      <c r="L242" s="55" t="n">
        <v>9</v>
      </c>
      <c r="M242" s="55" t="n">
        <v>110</v>
      </c>
      <c r="N242" s="67" t="n">
        <v>5131</v>
      </c>
      <c r="O242" s="74" t="n"/>
      <c r="P242" s="74" t="n"/>
      <c r="Q242" s="74" t="n">
        <v>16678</v>
      </c>
      <c r="R242" s="74" t="n">
        <v>15990</v>
      </c>
      <c r="S242" s="70">
        <f>SUM(O242:R242)</f>
        <v/>
      </c>
      <c r="T242" s="72" t="n"/>
      <c r="U242" s="73" t="n"/>
      <c r="V242" s="74" t="n"/>
      <c r="W242" s="68" t="n">
        <v>1530</v>
      </c>
      <c r="X242" s="74" t="n"/>
      <c r="Y242" s="72" t="n">
        <v>510</v>
      </c>
      <c r="Z242" s="74" t="n"/>
      <c r="AA242" s="74" t="n">
        <v>102</v>
      </c>
      <c r="AB242" s="74" t="n"/>
      <c r="AC242" s="69" t="n">
        <v>510</v>
      </c>
      <c r="AD242" s="73" t="n"/>
      <c r="AE242" s="75">
        <f>SUMIFS([1]инфо!$D$15:$D$28,[1]инфо!$A$15:$A$28,F242)</f>
        <v/>
      </c>
      <c r="AF242" s="62">
        <f>IF(H242=0,0,N242/H242)</f>
        <v/>
      </c>
      <c r="AG242" s="76">
        <f>AF242-AE242</f>
        <v/>
      </c>
      <c r="AH242" s="75">
        <f>SUMIFS([1]инфо!$E$15:$E$28,[1]инфо!$A$15:$A$28,F242)</f>
        <v/>
      </c>
      <c r="AI242" s="64">
        <f>IF(H242=0,0,S242/H242)</f>
        <v/>
      </c>
      <c r="AJ242" s="76">
        <f>AI242-AH242</f>
        <v/>
      </c>
      <c r="AK242" s="75">
        <f>SUMIFS([1]инфо!$F$15:$F$28,[1]инфо!$A$15:$A$28,F242)</f>
        <v/>
      </c>
      <c r="AL242" s="64">
        <f>IF(H242=0,0,Y242/H242)</f>
        <v/>
      </c>
      <c r="AM242" s="76">
        <f>AL242-AK242</f>
        <v/>
      </c>
      <c r="AN242" s="75">
        <f>SUMIFS([1]инфо!$G$15:$G$28,[1]инфо!$A$15:$A$28,F242)</f>
        <v/>
      </c>
      <c r="AO242" s="64">
        <f>IF(H242=0,0,AA242/H242)</f>
        <v/>
      </c>
      <c r="AP242" s="76">
        <f>AO242-AN242</f>
        <v/>
      </c>
      <c r="AQ242" s="75">
        <f>SUMIFS([1]инфо!$H$15:$H$28,[1]инфо!$A$15:$A$28,F242)</f>
        <v/>
      </c>
      <c r="AR242" s="64">
        <f>IF(H241=0,0,AC242/H241)</f>
        <v/>
      </c>
      <c r="AS242" s="76">
        <f>AR242-AQ242</f>
        <v/>
      </c>
      <c r="AT242" s="75">
        <f>SUMIFS([1]инфо!$I$15:$I$28,[1]инфо!$A$15:$A$28,F242)</f>
        <v/>
      </c>
      <c r="AU242" s="62">
        <f>IF(H242=0,0,AD242/H242)</f>
        <v/>
      </c>
      <c r="AV242" s="76">
        <f>AU242-AT242</f>
        <v/>
      </c>
      <c r="AX242" s="70">
        <f>SUMIFS([1]инфо!$C$15:$C$28,[1]инфо!$A$15:$A$28,F242)*H241</f>
        <v/>
      </c>
    </row>
    <row r="243">
      <c r="A243" s="71">
        <f>A241+1</f>
        <v/>
      </c>
      <c r="B243" s="86" t="inlineStr">
        <is>
          <t>0159</t>
        </is>
      </c>
      <c r="C243" s="52" t="inlineStr">
        <is>
          <t>линия 2</t>
        </is>
      </c>
      <c r="D243" s="53" t="inlineStr">
        <is>
          <t>день</t>
        </is>
      </c>
      <c r="E243" s="66" t="inlineStr">
        <is>
          <t>Султанулы</t>
        </is>
      </c>
      <c r="F243" s="67" t="inlineStr">
        <is>
          <t>8 волн гладкий</t>
        </is>
      </c>
      <c r="G243" s="68" t="n">
        <v>28</v>
      </c>
      <c r="H243" s="68" t="n">
        <v>1180</v>
      </c>
      <c r="I243" s="57">
        <f>IFERROR(H243*VLOOKUP(F243,[1]инфо!$A$15:$C$28,3,FALSE)/1000,0)</f>
        <v/>
      </c>
      <c r="J243" s="55" t="n">
        <v>1000</v>
      </c>
      <c r="K243" s="55" t="n">
        <v>142</v>
      </c>
      <c r="L243" s="55" t="n">
        <v>11</v>
      </c>
      <c r="M243" s="55" t="n">
        <v>200</v>
      </c>
      <c r="N243" s="55" t="n">
        <v>2813</v>
      </c>
      <c r="O243" s="58" t="n"/>
      <c r="P243" s="58" t="n"/>
      <c r="Q243" s="58" t="n">
        <v>8982</v>
      </c>
      <c r="R243" s="58" t="n">
        <v>1401</v>
      </c>
      <c r="S243" s="59">
        <f>SUM(O243:R243)</f>
        <v/>
      </c>
      <c r="T243" s="52" t="n"/>
      <c r="U243" s="53" t="n"/>
      <c r="V243" s="58" t="n"/>
      <c r="W243" s="68" t="n">
        <v>840</v>
      </c>
      <c r="X243" s="58" t="n"/>
      <c r="Y243" s="52" t="n">
        <v>280</v>
      </c>
      <c r="Z243" s="58" t="n"/>
      <c r="AA243" s="58" t="n">
        <v>56</v>
      </c>
      <c r="AB243" s="58" t="n"/>
      <c r="AC243" s="69" t="n">
        <v>280</v>
      </c>
      <c r="AD243" s="53" t="n">
        <v>140</v>
      </c>
      <c r="AE243" s="61">
        <f>SUMIFS([1]инфо!$D$15:$D$28,[1]инфо!$A$15:$A$28,F243)</f>
        <v/>
      </c>
      <c r="AF243" s="62">
        <f>IF(H243=0,0,N243/H243)</f>
        <v/>
      </c>
      <c r="AG243" s="63">
        <f>AF243-AE243</f>
        <v/>
      </c>
      <c r="AH243" s="61">
        <f>SUMIFS([1]инфо!$E$15:$E$28,[1]инфо!$A$15:$A$28,F243)</f>
        <v/>
      </c>
      <c r="AI243" s="64">
        <f>IF(H243=0,0,S243/H243)</f>
        <v/>
      </c>
      <c r="AJ243" s="63">
        <f>AI243-AH243</f>
        <v/>
      </c>
      <c r="AK243" s="61">
        <f>SUMIFS([1]инфо!$F$15:$F$28,[1]инфо!$A$15:$A$28,F243)</f>
        <v/>
      </c>
      <c r="AL243" s="64">
        <f>IF(H243=0,0,Y243/H243)</f>
        <v/>
      </c>
      <c r="AM243" s="63">
        <f>AL243-AK243</f>
        <v/>
      </c>
      <c r="AN243" s="61">
        <f>SUMIFS([1]инфо!$G$15:$G$28,[1]инфо!$A$15:$A$28,F243)</f>
        <v/>
      </c>
      <c r="AO243" s="64">
        <f>IF(H243=0,0,AA243/H243)</f>
        <v/>
      </c>
      <c r="AP243" s="63">
        <f>AO243-AN243</f>
        <v/>
      </c>
      <c r="AQ243" s="61">
        <f>SUMIFS([1]инфо!$H$15:$H$28,[1]инфо!$A$15:$A$28,F243)</f>
        <v/>
      </c>
      <c r="AR243" s="62">
        <f>IF(H242=0,0,AC243/H242)</f>
        <v/>
      </c>
      <c r="AS243" s="63">
        <f>AR243-AQ243</f>
        <v/>
      </c>
      <c r="AT243" s="61">
        <f>SUMIFS([1]инфо!$I$15:$I$28,[1]инфо!$A$15:$A$28,F243)</f>
        <v/>
      </c>
      <c r="AU243" s="62">
        <f>IF(H243=0,0,AD243/H243)</f>
        <v/>
      </c>
      <c r="AV243" s="63">
        <f>AU243-AT243</f>
        <v/>
      </c>
      <c r="AX243" s="59">
        <f>SUMIFS([1]инфо!$C$15:$C$28,[1]инфо!$A$15:$A$28,F243)*H242</f>
        <v/>
      </c>
    </row>
    <row r="244">
      <c r="A244" s="71">
        <f>A242+1</f>
        <v/>
      </c>
      <c r="B244" s="86" t="inlineStr">
        <is>
          <t>0160</t>
        </is>
      </c>
      <c r="C244" s="52" t="inlineStr">
        <is>
          <t>линия 2</t>
        </is>
      </c>
      <c r="D244" s="53" t="inlineStr">
        <is>
          <t>ночь</t>
        </is>
      </c>
      <c r="E244" s="66" t="inlineStr">
        <is>
          <t>Бекбосынов</t>
        </is>
      </c>
      <c r="F244" s="67" t="inlineStr">
        <is>
          <t>8 волн гладкий</t>
        </is>
      </c>
      <c r="G244" s="68" t="n">
        <v>50</v>
      </c>
      <c r="H244" s="68" t="n">
        <v>2050</v>
      </c>
      <c r="I244" s="57">
        <f>IFERROR(H244*VLOOKUP(F244,[1]инфо!$A$15:$C$28,3,FALSE)/1000,0)</f>
        <v/>
      </c>
      <c r="J244" s="55" t="n">
        <v>1750</v>
      </c>
      <c r="K244" s="55" t="n">
        <v>8</v>
      </c>
      <c r="L244" s="55" t="n"/>
      <c r="M244" s="55" t="n">
        <v>104</v>
      </c>
      <c r="N244" s="55" t="n">
        <v>5014</v>
      </c>
      <c r="O244" s="58" t="n"/>
      <c r="P244" s="58" t="n"/>
      <c r="Q244" s="58" t="n">
        <v>16041</v>
      </c>
      <c r="R244" s="58" t="n">
        <v>15987</v>
      </c>
      <c r="S244" s="59">
        <f>SUM(O244:R244)</f>
        <v/>
      </c>
      <c r="T244" s="52" t="n"/>
      <c r="U244" s="53" t="n"/>
      <c r="V244" s="58" t="n"/>
      <c r="W244" s="68" t="n">
        <v>1500</v>
      </c>
      <c r="X244" s="58" t="n"/>
      <c r="Y244" s="52" t="n">
        <v>500</v>
      </c>
      <c r="Z244" s="58" t="n"/>
      <c r="AA244" s="58" t="n">
        <v>100</v>
      </c>
      <c r="AB244" s="58" t="n"/>
      <c r="AC244" s="69" t="n">
        <v>220</v>
      </c>
      <c r="AD244" s="53" t="n">
        <v>250</v>
      </c>
      <c r="AE244" s="61">
        <f>SUMIFS([1]инфо!$D$15:$D$28,[1]инфо!$A$15:$A$28,F244)</f>
        <v/>
      </c>
      <c r="AF244" s="62">
        <f>IF(H244=0,0,N244/H244)</f>
        <v/>
      </c>
      <c r="AG244" s="63">
        <f>AF244-AE244</f>
        <v/>
      </c>
      <c r="AH244" s="61">
        <f>SUMIFS([1]инфо!$E$15:$E$28,[1]инфо!$A$15:$A$28,F244)</f>
        <v/>
      </c>
      <c r="AI244" s="64">
        <f>IF(H244=0,0,S244/H244)</f>
        <v/>
      </c>
      <c r="AJ244" s="63">
        <f>AI244-AH244</f>
        <v/>
      </c>
      <c r="AK244" s="61">
        <f>SUMIFS([1]инфо!$F$15:$F$28,[1]инфо!$A$15:$A$28,F244)</f>
        <v/>
      </c>
      <c r="AL244" s="64">
        <f>IF(H244=0,0,Y244/H244)</f>
        <v/>
      </c>
      <c r="AM244" s="63">
        <f>AL244-AK244</f>
        <v/>
      </c>
      <c r="AN244" s="61">
        <f>SUMIFS([1]инфо!$G$15:$G$28,[1]инфо!$A$15:$A$28,F244)</f>
        <v/>
      </c>
      <c r="AO244" s="64">
        <f>IF(H244=0,0,AA244/H244)</f>
        <v/>
      </c>
      <c r="AP244" s="63">
        <f>AO244-AN244</f>
        <v/>
      </c>
      <c r="AQ244" s="61">
        <f>SUMIFS([1]инфо!$H$15:$H$28,[1]инфо!$A$15:$A$28,F244)</f>
        <v/>
      </c>
      <c r="AR244" s="62">
        <f>IF(H243=0,0,AC244/H243)</f>
        <v/>
      </c>
      <c r="AS244" s="63">
        <f>AR244-AQ244</f>
        <v/>
      </c>
      <c r="AT244" s="61">
        <f>SUMIFS([1]инфо!$I$15:$I$28,[1]инфо!$A$15:$A$28,F244)</f>
        <v/>
      </c>
      <c r="AU244" s="62">
        <f>IF(H244=0,0,AD244/H244)</f>
        <v/>
      </c>
      <c r="AV244" s="63">
        <f>AU244-AT244</f>
        <v/>
      </c>
      <c r="AX244" s="59">
        <f>SUMIFS([1]инфо!$C$15:$C$28,[1]инфо!$A$15:$A$28,F244)*H243</f>
        <v/>
      </c>
    </row>
    <row r="245">
      <c r="A245" s="71">
        <f>A243+1</f>
        <v/>
      </c>
      <c r="B245" s="86" t="inlineStr">
        <is>
          <t>0161</t>
        </is>
      </c>
      <c r="C245" s="77" t="inlineStr">
        <is>
          <t>линия 2</t>
        </is>
      </c>
      <c r="D245" s="78" t="inlineStr">
        <is>
          <t>день</t>
        </is>
      </c>
      <c r="E245" s="66" t="inlineStr">
        <is>
          <t>Дауылбай</t>
        </is>
      </c>
      <c r="F245" s="67" t="inlineStr">
        <is>
          <t>8 волн гладкий</t>
        </is>
      </c>
      <c r="G245" s="68" t="n">
        <v>46</v>
      </c>
      <c r="H245" s="68" t="n">
        <v>2000</v>
      </c>
      <c r="I245" s="57">
        <f>IFERROR(H245*VLOOKUP(F245,[1]инфо!$A$15:$C$28,3,FALSE)/1000,0)</f>
        <v/>
      </c>
      <c r="J245" s="55" t="n">
        <v>2250</v>
      </c>
      <c r="K245" s="55" t="n">
        <v>46</v>
      </c>
      <c r="L245" s="55" t="n"/>
      <c r="M245" s="55" t="n">
        <v>200</v>
      </c>
      <c r="N245" s="56" t="n">
        <v>4584</v>
      </c>
      <c r="O245" s="79" t="n"/>
      <c r="P245" s="79" t="n"/>
      <c r="Q245" s="79" t="n">
        <v>14764</v>
      </c>
      <c r="R245" s="79" t="n">
        <v>14702</v>
      </c>
      <c r="S245" s="80">
        <f>SUM(O245:R245)</f>
        <v/>
      </c>
      <c r="T245" s="77" t="n"/>
      <c r="U245" s="78" t="n"/>
      <c r="V245" s="79" t="n"/>
      <c r="W245" s="68" t="n">
        <v>1380</v>
      </c>
      <c r="X245" s="79" t="n"/>
      <c r="Y245" s="77" t="n">
        <v>460</v>
      </c>
      <c r="Z245" s="79" t="n"/>
      <c r="AA245" s="79" t="n">
        <v>92</v>
      </c>
      <c r="AB245" s="79" t="n"/>
      <c r="AC245" s="69" t="n"/>
      <c r="AD245" s="78" t="n">
        <v>230</v>
      </c>
      <c r="AE245" s="81">
        <f>SUMIFS([1]инфо!$D$15:$D$28,[1]инфо!$A$15:$A$28,F245)</f>
        <v/>
      </c>
      <c r="AF245" s="62">
        <f>IF(H245=0,0,N245/H245)</f>
        <v/>
      </c>
      <c r="AG245" s="82">
        <f>AF245-AE245</f>
        <v/>
      </c>
      <c r="AH245" s="81">
        <f>SUMIFS([1]инфо!$E$15:$E$28,[1]инфо!$A$15:$A$28,F245)</f>
        <v/>
      </c>
      <c r="AI245" s="64">
        <f>IF(H245=0,0,S245/H245)</f>
        <v/>
      </c>
      <c r="AJ245" s="82">
        <f>AI245-AH245</f>
        <v/>
      </c>
      <c r="AK245" s="81">
        <f>SUMIFS([1]инфо!$F$15:$F$28,[1]инфо!$A$15:$A$28,F245)</f>
        <v/>
      </c>
      <c r="AL245" s="64">
        <f>IF(H245=0,0,Y245/H245)</f>
        <v/>
      </c>
      <c r="AM245" s="82">
        <f>AL245-AK245</f>
        <v/>
      </c>
      <c r="AN245" s="81">
        <f>SUMIFS([1]инфо!$G$15:$G$28,[1]инфо!$A$15:$A$28,F245)</f>
        <v/>
      </c>
      <c r="AO245" s="64">
        <f>IF(H245=0,0,AA245/H245)</f>
        <v/>
      </c>
      <c r="AP245" s="82">
        <f>AO245-AN245</f>
        <v/>
      </c>
      <c r="AQ245" s="81">
        <f>SUMIFS([1]инфо!$H$15:$H$28,[1]инфо!$A$15:$A$28,F245)</f>
        <v/>
      </c>
      <c r="AR245" s="85">
        <f>IF(H244=0,0,AC245/H244)</f>
        <v/>
      </c>
      <c r="AS245" s="82">
        <f>AR245-AQ245</f>
        <v/>
      </c>
      <c r="AT245" s="81">
        <f>SUMIFS([1]инфо!$I$15:$I$28,[1]инфо!$A$15:$A$28,F245)</f>
        <v/>
      </c>
      <c r="AU245" s="62">
        <f>IF(H245=0,0,AD245/H245)</f>
        <v/>
      </c>
      <c r="AV245" s="82">
        <f>AU245-AT245</f>
        <v/>
      </c>
      <c r="AX245" s="80">
        <f>SUMIFS([1]инфо!$C$15:$C$28,[1]инфо!$A$15:$A$28,F245)*H244</f>
        <v/>
      </c>
    </row>
    <row r="246">
      <c r="A246" s="71">
        <f>A244+1</f>
        <v/>
      </c>
      <c r="B246" s="86" t="inlineStr">
        <is>
          <t>0162</t>
        </is>
      </c>
      <c r="C246" s="72" t="inlineStr">
        <is>
          <t>линия 2</t>
        </is>
      </c>
      <c r="D246" s="73" t="inlineStr">
        <is>
          <t>ночь</t>
        </is>
      </c>
      <c r="E246" s="66" t="inlineStr">
        <is>
          <t>Султанулы</t>
        </is>
      </c>
      <c r="F246" s="67" t="inlineStr">
        <is>
          <t>8 волн гладкий</t>
        </is>
      </c>
      <c r="G246" s="68" t="n">
        <v>65</v>
      </c>
      <c r="H246" s="68" t="n">
        <v>2730</v>
      </c>
      <c r="I246" s="57">
        <f>IFERROR(H246*VLOOKUP(F246,[1]инфо!$A$15:$C$28,3,FALSE)/1000,0)</f>
        <v/>
      </c>
      <c r="J246" s="55" t="n">
        <v>2750</v>
      </c>
      <c r="K246" s="55" t="n">
        <v>7</v>
      </c>
      <c r="L246" s="55" t="n">
        <v>10</v>
      </c>
      <c r="M246" s="55" t="n">
        <v>126</v>
      </c>
      <c r="N246" s="67" t="n">
        <v>6492</v>
      </c>
      <c r="O246" s="74" t="n"/>
      <c r="P246" s="74" t="n"/>
      <c r="Q246" s="74" t="n">
        <v>21098</v>
      </c>
      <c r="R246" s="74" t="n">
        <v>20454</v>
      </c>
      <c r="S246" s="70">
        <f>SUM(O246:R246)</f>
        <v/>
      </c>
      <c r="T246" s="72" t="n"/>
      <c r="U246" s="73" t="n"/>
      <c r="V246" s="74" t="n"/>
      <c r="W246" s="68" t="n">
        <v>1950</v>
      </c>
      <c r="X246" s="74" t="n"/>
      <c r="Y246" s="72" t="n">
        <v>650</v>
      </c>
      <c r="Z246" s="74" t="n"/>
      <c r="AA246" s="74" t="n">
        <v>130</v>
      </c>
      <c r="AB246" s="74" t="n"/>
      <c r="AC246" s="69" t="n"/>
      <c r="AD246" s="73" t="n">
        <v>325</v>
      </c>
      <c r="AE246" s="75">
        <f>SUMIFS([1]инфо!$D$15:$D$28,[1]инфо!$A$15:$A$28,F246)</f>
        <v/>
      </c>
      <c r="AF246" s="62">
        <f>IF(H246=0,0,N246/H246)</f>
        <v/>
      </c>
      <c r="AG246" s="76">
        <f>AF246-AE246</f>
        <v/>
      </c>
      <c r="AH246" s="75">
        <f>SUMIFS([1]инфо!$E$15:$E$28,[1]инфо!$A$15:$A$28,F246)</f>
        <v/>
      </c>
      <c r="AI246" s="64">
        <f>IF(H246=0,0,S246/H246)</f>
        <v/>
      </c>
      <c r="AJ246" s="76">
        <f>AI246-AH246</f>
        <v/>
      </c>
      <c r="AK246" s="75">
        <f>SUMIFS([1]инфо!$F$15:$F$28,[1]инфо!$A$15:$A$28,F246)</f>
        <v/>
      </c>
      <c r="AL246" s="64">
        <f>IF(H246=0,0,Y246/H246)</f>
        <v/>
      </c>
      <c r="AM246" s="76">
        <f>AL246-AK246</f>
        <v/>
      </c>
      <c r="AN246" s="75">
        <f>SUMIFS([1]инфо!$G$15:$G$28,[1]инфо!$A$15:$A$28,F246)</f>
        <v/>
      </c>
      <c r="AO246" s="64">
        <f>IF(H246=0,0,AA246/H246)</f>
        <v/>
      </c>
      <c r="AP246" s="76">
        <f>AO246-AN246</f>
        <v/>
      </c>
      <c r="AQ246" s="75">
        <f>SUMIFS([1]инфо!$H$15:$H$28,[1]инфо!$A$15:$A$28,F246)</f>
        <v/>
      </c>
      <c r="AR246" s="64">
        <f>IF(H245=0,0,AC246/H245)</f>
        <v/>
      </c>
      <c r="AS246" s="76">
        <f>AR246-AQ246</f>
        <v/>
      </c>
      <c r="AT246" s="75">
        <f>SUMIFS([1]инфо!$I$15:$I$28,[1]инфо!$A$15:$A$28,F246)</f>
        <v/>
      </c>
      <c r="AU246" s="62">
        <f>IF(H246=0,0,AD246/H246)</f>
        <v/>
      </c>
      <c r="AV246" s="76">
        <f>AU246-AT246</f>
        <v/>
      </c>
      <c r="AX246" s="70">
        <f>SUMIFS([1]инфо!$C$15:$C$28,[1]инфо!$A$15:$A$28,F246)*H245</f>
        <v/>
      </c>
    </row>
    <row r="247">
      <c r="A247" s="71">
        <f>A245+1</f>
        <v/>
      </c>
      <c r="B247" s="86" t="inlineStr">
        <is>
          <t>0163</t>
        </is>
      </c>
      <c r="C247" s="52" t="inlineStr">
        <is>
          <t>линия 2</t>
        </is>
      </c>
      <c r="D247" s="53" t="inlineStr">
        <is>
          <t>день</t>
        </is>
      </c>
      <c r="E247" s="66" t="inlineStr">
        <is>
          <t>Монаев</t>
        </is>
      </c>
      <c r="F247" s="67" t="inlineStr">
        <is>
          <t>8 волн гладкий</t>
        </is>
      </c>
      <c r="G247" s="68" t="n">
        <v>5</v>
      </c>
      <c r="H247" s="68" t="n">
        <v>150</v>
      </c>
      <c r="I247" s="57">
        <f>IFERROR(H247*VLOOKUP(F247,[1]инфо!$A$15:$C$28,3,FALSE)/1000,0)</f>
        <v/>
      </c>
      <c r="J247" s="55" t="n">
        <v>1250</v>
      </c>
      <c r="K247" s="55" t="n">
        <v>62</v>
      </c>
      <c r="L247" s="55" t="n">
        <v>1</v>
      </c>
      <c r="M247" s="55" t="n">
        <v>37</v>
      </c>
      <c r="N247" s="55" t="n">
        <v>500</v>
      </c>
      <c r="O247" s="58" t="n"/>
      <c r="P247" s="58" t="n"/>
      <c r="Q247" s="58" t="n">
        <v>1920</v>
      </c>
      <c r="R247" s="58" t="n">
        <v>1280</v>
      </c>
      <c r="S247" s="59">
        <f>SUM(O247:R247)</f>
        <v/>
      </c>
      <c r="T247" s="52" t="n"/>
      <c r="U247" s="53" t="n"/>
      <c r="V247" s="58" t="n"/>
      <c r="W247" s="68" t="n">
        <v>150</v>
      </c>
      <c r="X247" s="58" t="n"/>
      <c r="Y247" s="52" t="n">
        <v>50</v>
      </c>
      <c r="Z247" s="58" t="n"/>
      <c r="AA247" s="58" t="n">
        <v>10</v>
      </c>
      <c r="AB247" s="58" t="n"/>
      <c r="AC247" s="69" t="n"/>
      <c r="AD247" s="53" t="n">
        <v>130</v>
      </c>
      <c r="AE247" s="61">
        <f>SUMIFS([1]инфо!$D$15:$D$28,[1]инфо!$A$15:$A$28,F247)</f>
        <v/>
      </c>
      <c r="AF247" s="62">
        <f>IF(H247=0,0,N247/H247)</f>
        <v/>
      </c>
      <c r="AG247" s="63">
        <f>AF247-AE247</f>
        <v/>
      </c>
      <c r="AH247" s="61">
        <f>SUMIFS([1]инфо!$E$15:$E$28,[1]инфо!$A$15:$A$28,F247)</f>
        <v/>
      </c>
      <c r="AI247" s="64">
        <f>IF(H247=0,0,S247/H247)</f>
        <v/>
      </c>
      <c r="AJ247" s="63">
        <f>AI247-AH247</f>
        <v/>
      </c>
      <c r="AK247" s="61">
        <f>SUMIFS([1]инфо!$F$15:$F$28,[1]инфо!$A$15:$A$28,F247)</f>
        <v/>
      </c>
      <c r="AL247" s="64">
        <f>IF(H247=0,0,Y247/H247)</f>
        <v/>
      </c>
      <c r="AM247" s="63">
        <f>AL247-AK247</f>
        <v/>
      </c>
      <c r="AN247" s="61">
        <f>SUMIFS([1]инфо!$G$15:$G$28,[1]инфо!$A$15:$A$28,F247)</f>
        <v/>
      </c>
      <c r="AO247" s="64">
        <f>IF(H247=0,0,AA247/H247)</f>
        <v/>
      </c>
      <c r="AP247" s="63">
        <f>AO247-AN247</f>
        <v/>
      </c>
      <c r="AQ247" s="61">
        <f>SUMIFS([1]инфо!$H$15:$H$28,[1]инфо!$A$15:$A$28,F247)</f>
        <v/>
      </c>
      <c r="AR247" s="62">
        <f>IF(H246=0,0,AC247/H246)</f>
        <v/>
      </c>
      <c r="AS247" s="63">
        <f>AR247-AQ247</f>
        <v/>
      </c>
      <c r="AT247" s="61">
        <f>SUMIFS([1]инфо!$I$15:$I$28,[1]инфо!$A$15:$A$28,F247)</f>
        <v/>
      </c>
      <c r="AU247" s="62">
        <f>IF(H247=0,0,AD247/H247)</f>
        <v/>
      </c>
      <c r="AV247" s="63">
        <f>AU247-AT247</f>
        <v/>
      </c>
      <c r="AX247" s="59">
        <f>SUMIFS([1]инфо!$C$15:$C$28,[1]инфо!$A$15:$A$28,F247)*H246</f>
        <v/>
      </c>
    </row>
    <row r="248">
      <c r="A248" s="71">
        <f>A246+1</f>
        <v/>
      </c>
      <c r="B248" s="86" t="inlineStr">
        <is>
          <t>0163</t>
        </is>
      </c>
      <c r="C248" s="52" t="inlineStr">
        <is>
          <t>линия 2</t>
        </is>
      </c>
      <c r="D248" s="53" t="inlineStr">
        <is>
          <t>день</t>
        </is>
      </c>
      <c r="E248" s="66" t="inlineStr">
        <is>
          <t>Монаев</t>
        </is>
      </c>
      <c r="F248" s="67" t="inlineStr">
        <is>
          <t>8 волн рифленый</t>
        </is>
      </c>
      <c r="G248" s="68" t="n">
        <v>21</v>
      </c>
      <c r="H248" s="68" t="n">
        <v>950</v>
      </c>
      <c r="I248" s="57">
        <f>IFERROR(H248*VLOOKUP(F248,[1]инфо!$A$15:$C$28,3,FALSE)/1000,0)</f>
        <v/>
      </c>
      <c r="J248" s="55" t="n"/>
      <c r="K248" s="55" t="n"/>
      <c r="L248" s="55" t="n"/>
      <c r="M248" s="55" t="n">
        <v>100</v>
      </c>
      <c r="N248" s="55" t="n">
        <v>2085</v>
      </c>
      <c r="O248" s="58" t="n"/>
      <c r="P248" s="58" t="n"/>
      <c r="Q248" s="58" t="n">
        <v>6416</v>
      </c>
      <c r="R248" s="58" t="n">
        <v>7026</v>
      </c>
      <c r="S248" s="59">
        <f>SUM(O248:R248)</f>
        <v/>
      </c>
      <c r="T248" s="52" t="n"/>
      <c r="U248" s="53" t="n"/>
      <c r="V248" s="58" t="n"/>
      <c r="W248" s="68" t="n">
        <v>630</v>
      </c>
      <c r="X248" s="58" t="n"/>
      <c r="Y248" s="52" t="n">
        <v>210</v>
      </c>
      <c r="Z248" s="58" t="n"/>
      <c r="AA248" s="58" t="n">
        <v>42</v>
      </c>
      <c r="AB248" s="58" t="n"/>
      <c r="AC248" s="69" t="n"/>
      <c r="AD248" s="53" t="n"/>
      <c r="AE248" s="61">
        <f>SUMIFS([1]инфо!$D$15:$D$28,[1]инфо!$A$15:$A$28,F248)</f>
        <v/>
      </c>
      <c r="AF248" s="62">
        <f>IF(H248=0,0,N248/H248)</f>
        <v/>
      </c>
      <c r="AG248" s="63">
        <f>AF248-AE248</f>
        <v/>
      </c>
      <c r="AH248" s="61">
        <f>SUMIFS([1]инфо!$E$15:$E$28,[1]инфо!$A$15:$A$28,F248)</f>
        <v/>
      </c>
      <c r="AI248" s="64">
        <f>IF(H248=0,0,S248/H248)</f>
        <v/>
      </c>
      <c r="AJ248" s="63">
        <f>AI248-AH248</f>
        <v/>
      </c>
      <c r="AK248" s="61">
        <f>SUMIFS([1]инфо!$F$15:$F$28,[1]инфо!$A$15:$A$28,F248)</f>
        <v/>
      </c>
      <c r="AL248" s="64">
        <f>IF(H248=0,0,Y248/H248)</f>
        <v/>
      </c>
      <c r="AM248" s="63">
        <f>AL248-AK248</f>
        <v/>
      </c>
      <c r="AN248" s="61">
        <f>SUMIFS([1]инфо!$G$15:$G$28,[1]инфо!$A$15:$A$28,F248)</f>
        <v/>
      </c>
      <c r="AO248" s="64">
        <f>IF(H248=0,0,AA248/H248)</f>
        <v/>
      </c>
      <c r="AP248" s="63">
        <f>AO248-AN248</f>
        <v/>
      </c>
      <c r="AQ248" s="61">
        <f>SUMIFS([1]инфо!$H$15:$H$28,[1]инфо!$A$15:$A$28,F248)</f>
        <v/>
      </c>
      <c r="AR248" s="62">
        <f>IF(H247=0,0,AC248/H247)</f>
        <v/>
      </c>
      <c r="AS248" s="63">
        <f>AR248-AQ248</f>
        <v/>
      </c>
      <c r="AT248" s="61">
        <f>SUMIFS([1]инфо!$I$15:$I$28,[1]инфо!$A$15:$A$28,F248)</f>
        <v/>
      </c>
      <c r="AU248" s="62">
        <f>IF(H248=0,0,AD248/H248)</f>
        <v/>
      </c>
      <c r="AV248" s="63">
        <f>AU248-AT248</f>
        <v/>
      </c>
      <c r="AX248" s="59">
        <f>SUMIFS([1]инфо!$C$15:$C$28,[1]инфо!$A$15:$A$28,F248)*H247</f>
        <v/>
      </c>
    </row>
    <row r="249">
      <c r="A249" s="71" t="n">
        <v>46188</v>
      </c>
      <c r="B249" s="86" t="inlineStr">
        <is>
          <t>0164</t>
        </is>
      </c>
      <c r="C249" s="52" t="inlineStr">
        <is>
          <t>линия 2</t>
        </is>
      </c>
      <c r="D249" s="53" t="inlineStr">
        <is>
          <t>ночь</t>
        </is>
      </c>
      <c r="E249" s="66" t="inlineStr">
        <is>
          <t>Дауылбай</t>
        </is>
      </c>
      <c r="F249" s="67" t="inlineStr">
        <is>
          <t>8 волн рифленый</t>
        </is>
      </c>
      <c r="G249" s="68" t="n">
        <v>62</v>
      </c>
      <c r="H249" s="68" t="n">
        <v>2600</v>
      </c>
      <c r="I249" s="57">
        <f>IFERROR(H249*VLOOKUP(F249,[1]инфо!$A$15:$C$28,3,FALSE)/1000,0)</f>
        <v/>
      </c>
      <c r="J249" s="55" t="n">
        <v>2250</v>
      </c>
      <c r="K249" s="55" t="n">
        <v>9</v>
      </c>
      <c r="L249" s="55" t="n"/>
      <c r="M249" s="55" t="n">
        <v>272</v>
      </c>
      <c r="N249" s="55" t="n">
        <v>6241</v>
      </c>
      <c r="O249" s="58" t="n"/>
      <c r="P249" s="58" t="n"/>
      <c r="Q249" s="58" t="n">
        <v>19218</v>
      </c>
      <c r="R249" s="58" t="n">
        <v>20441</v>
      </c>
      <c r="S249" s="59">
        <f>SUM(O249:R249)</f>
        <v/>
      </c>
      <c r="T249" s="52" t="n"/>
      <c r="U249" s="53" t="n"/>
      <c r="V249" s="58" t="n"/>
      <c r="W249" s="68" t="n">
        <v>1860</v>
      </c>
      <c r="X249" s="58" t="n"/>
      <c r="Y249" s="52" t="n">
        <v>620</v>
      </c>
      <c r="Z249" s="58" t="n"/>
      <c r="AA249" s="58" t="n">
        <v>124</v>
      </c>
      <c r="AB249" s="58" t="n"/>
      <c r="AC249" s="69" t="n"/>
      <c r="AD249" s="53" t="n">
        <v>310</v>
      </c>
      <c r="AE249" s="61" t="n"/>
      <c r="AF249" s="62">
        <f>IF(H249=0,0,N249/H249)</f>
        <v/>
      </c>
      <c r="AG249" s="63" t="n"/>
      <c r="AH249" s="61" t="n"/>
      <c r="AI249" s="64">
        <f>IF(H249=0,0,S249/H249)</f>
        <v/>
      </c>
      <c r="AJ249" s="63" t="n"/>
      <c r="AK249" s="61" t="n"/>
      <c r="AL249" s="64">
        <f>IF(H249=0,0,Y249/H249)</f>
        <v/>
      </c>
      <c r="AM249" s="63" t="n"/>
      <c r="AN249" s="61" t="n"/>
      <c r="AO249" s="64">
        <f>IF(H249=0,0,AA249/H249)</f>
        <v/>
      </c>
      <c r="AP249" s="63" t="n"/>
      <c r="AQ249" s="61" t="n"/>
      <c r="AR249" s="62" t="n"/>
      <c r="AS249" s="63" t="n"/>
      <c r="AT249" s="61" t="n"/>
      <c r="AU249" s="62" t="n"/>
      <c r="AV249" s="63" t="n"/>
      <c r="AX249" s="59" t="n"/>
    </row>
    <row r="250">
      <c r="A250" s="71">
        <f>A247+1</f>
        <v/>
      </c>
      <c r="B250" s="86" t="inlineStr">
        <is>
          <t>0165</t>
        </is>
      </c>
      <c r="C250" s="77" t="inlineStr">
        <is>
          <t>линия 2</t>
        </is>
      </c>
      <c r="D250" s="78" t="inlineStr">
        <is>
          <t>день</t>
        </is>
      </c>
      <c r="E250" s="66" t="inlineStr">
        <is>
          <t>Бекбосынов</t>
        </is>
      </c>
      <c r="F250" s="67" t="inlineStr">
        <is>
          <t>8 волн рифленый</t>
        </is>
      </c>
      <c r="G250" s="68" t="n">
        <v>31</v>
      </c>
      <c r="H250" s="68" t="n">
        <v>1198</v>
      </c>
      <c r="I250" s="57">
        <f>IFERROR(H250*VLOOKUP(F250,[1]инфо!$A$15:$C$28,3,FALSE)/1000,0)</f>
        <v/>
      </c>
      <c r="J250" s="55" t="n">
        <v>1250</v>
      </c>
      <c r="K250" s="55" t="n">
        <v>9</v>
      </c>
      <c r="L250" s="55" t="n">
        <v>3</v>
      </c>
      <c r="M250" s="55" t="n">
        <v>56</v>
      </c>
      <c r="N250" s="56" t="n">
        <v>3157</v>
      </c>
      <c r="O250" s="79" t="n"/>
      <c r="P250" s="79" t="n"/>
      <c r="Q250" s="79" t="n">
        <v>9631</v>
      </c>
      <c r="R250" s="79" t="n">
        <v>10228</v>
      </c>
      <c r="S250" s="80">
        <f>SUM(O250:R250)</f>
        <v/>
      </c>
      <c r="T250" s="77" t="n"/>
      <c r="U250" s="78" t="n"/>
      <c r="V250" s="79" t="n"/>
      <c r="W250" s="68" t="n">
        <v>930</v>
      </c>
      <c r="X250" s="79" t="n"/>
      <c r="Y250" s="77" t="n">
        <v>310</v>
      </c>
      <c r="Z250" s="79" t="n"/>
      <c r="AA250" s="79" t="n">
        <v>62</v>
      </c>
      <c r="AB250" s="79" t="n"/>
      <c r="AC250" s="69" t="n"/>
      <c r="AD250" s="78" t="n"/>
      <c r="AE250" s="81">
        <f>SUMIFS([1]инфо!$D$15:$D$28,[1]инфо!$A$15:$A$28,F250)</f>
        <v/>
      </c>
      <c r="AF250" s="62">
        <f>IF(H250=0,0,N250/H250)</f>
        <v/>
      </c>
      <c r="AG250" s="82">
        <f>AF250-AE250</f>
        <v/>
      </c>
      <c r="AH250" s="81">
        <f>SUMIFS([1]инфо!$E$15:$E$28,[1]инфо!$A$15:$A$28,F250)</f>
        <v/>
      </c>
      <c r="AI250" s="64">
        <f>IF(H250=0,0,S250/H250)</f>
        <v/>
      </c>
      <c r="AJ250" s="82">
        <f>AI250-AH250</f>
        <v/>
      </c>
      <c r="AK250" s="81">
        <f>SUMIFS([1]инфо!$F$15:$F$28,[1]инфо!$A$15:$A$28,F250)</f>
        <v/>
      </c>
      <c r="AL250" s="64">
        <f>IF(H250=0,0,Y250/H250)</f>
        <v/>
      </c>
      <c r="AM250" s="82">
        <f>AL250-AK250</f>
        <v/>
      </c>
      <c r="AN250" s="81">
        <f>SUMIFS([1]инфо!$G$15:$G$28,[1]инфо!$A$15:$A$28,F250)</f>
        <v/>
      </c>
      <c r="AO250" s="64">
        <f>IF(H250=0,0,AA250/H250)</f>
        <v/>
      </c>
      <c r="AP250" s="82">
        <f>AO250-AN250</f>
        <v/>
      </c>
      <c r="AQ250" s="81">
        <f>SUMIFS([1]инфо!$H$15:$H$28,[1]инфо!$A$15:$A$28,F250)</f>
        <v/>
      </c>
      <c r="AR250" s="85">
        <f>IF(H248=0,0,AC250/H248)</f>
        <v/>
      </c>
      <c r="AS250" s="82">
        <f>AR250-AQ250</f>
        <v/>
      </c>
      <c r="AT250" s="81">
        <f>SUMIFS([1]инфо!$I$15:$I$28,[1]инфо!$A$15:$A$28,F250)</f>
        <v/>
      </c>
      <c r="AU250" s="62">
        <f>IF(H250=0,0,AD250/H250)</f>
        <v/>
      </c>
      <c r="AV250" s="82">
        <f>AU250-AT250</f>
        <v/>
      </c>
      <c r="AX250" s="80">
        <f>SUMIFS([1]инфо!$C$15:$C$28,[1]инфо!$A$15:$A$28,F250)*H248</f>
        <v/>
      </c>
    </row>
    <row r="251">
      <c r="A251" s="71">
        <f>A248+1</f>
        <v/>
      </c>
      <c r="B251" s="86" t="inlineStr">
        <is>
          <t>0166</t>
        </is>
      </c>
      <c r="C251" s="72" t="inlineStr">
        <is>
          <t>линия 2</t>
        </is>
      </c>
      <c r="D251" s="73" t="inlineStr">
        <is>
          <t>ночь</t>
        </is>
      </c>
      <c r="E251" s="66" t="inlineStr">
        <is>
          <t>Монаев</t>
        </is>
      </c>
      <c r="F251" s="67" t="inlineStr">
        <is>
          <t>8 волн рифленый</t>
        </is>
      </c>
      <c r="G251" s="68" t="n">
        <v>57</v>
      </c>
      <c r="H251" s="68" t="n">
        <v>2210</v>
      </c>
      <c r="I251" s="57">
        <f>IFERROR(H251*VLOOKUP(F251,[1]инфо!$A$15:$C$28,3,FALSE)/1000,0)</f>
        <v/>
      </c>
      <c r="J251" s="55" t="n">
        <v>2500</v>
      </c>
      <c r="K251" s="55" t="n">
        <v>1</v>
      </c>
      <c r="L251" s="55" t="n">
        <v>1</v>
      </c>
      <c r="M251" s="55" t="n">
        <v>150</v>
      </c>
      <c r="N251" s="67" t="n">
        <v>5752</v>
      </c>
      <c r="O251" s="74" t="n"/>
      <c r="P251" s="74" t="n"/>
      <c r="Q251" s="74" t="n">
        <v>18594</v>
      </c>
      <c r="R251" s="74" t="n">
        <v>17886</v>
      </c>
      <c r="S251" s="70">
        <f>SUM(O251:R251)</f>
        <v/>
      </c>
      <c r="T251" s="72" t="n"/>
      <c r="U251" s="73" t="n"/>
      <c r="V251" s="74" t="n"/>
      <c r="W251" s="68" t="n">
        <v>1710</v>
      </c>
      <c r="X251" s="74" t="n"/>
      <c r="Y251" s="72" t="n">
        <v>570</v>
      </c>
      <c r="Z251" s="74" t="n"/>
      <c r="AA251" s="74" t="n">
        <v>114</v>
      </c>
      <c r="AB251" s="74" t="n"/>
      <c r="AC251" s="69" t="n"/>
      <c r="AD251" s="73" t="n">
        <v>285</v>
      </c>
      <c r="AE251" s="75">
        <f>SUMIFS([1]инфо!$D$15:$D$28,[1]инфо!$A$15:$A$28,F251)</f>
        <v/>
      </c>
      <c r="AF251" s="62">
        <f>IF(H251=0,0,N251/H251)</f>
        <v/>
      </c>
      <c r="AG251" s="76">
        <f>AF251-AE251</f>
        <v/>
      </c>
      <c r="AH251" s="75">
        <f>SUMIFS([1]инфо!$E$15:$E$28,[1]инфо!$A$15:$A$28,F251)</f>
        <v/>
      </c>
      <c r="AI251" s="64">
        <f>IF(H251=0,0,S251/H251)</f>
        <v/>
      </c>
      <c r="AJ251" s="76">
        <f>AI251-AH251</f>
        <v/>
      </c>
      <c r="AK251" s="75">
        <f>SUMIFS([1]инфо!$F$15:$F$28,[1]инфо!$A$15:$A$28,F251)</f>
        <v/>
      </c>
      <c r="AL251" s="64">
        <f>IF(H251=0,0,Y251/H251)</f>
        <v/>
      </c>
      <c r="AM251" s="76">
        <f>AL251-AK251</f>
        <v/>
      </c>
      <c r="AN251" s="75">
        <f>SUMIFS([1]инфо!$G$15:$G$28,[1]инфо!$A$15:$A$28,F251)</f>
        <v/>
      </c>
      <c r="AO251" s="64">
        <f>IF(H251=0,0,AA251/H251)</f>
        <v/>
      </c>
      <c r="AP251" s="76">
        <f>AO251-AN251</f>
        <v/>
      </c>
      <c r="AQ251" s="75">
        <f>SUMIFS([1]инфо!$H$15:$H$28,[1]инфо!$A$15:$A$28,F251)</f>
        <v/>
      </c>
      <c r="AR251" s="64">
        <f>IF(H250=0,0,AC251/H250)</f>
        <v/>
      </c>
      <c r="AS251" s="76">
        <f>AR251-AQ251</f>
        <v/>
      </c>
      <c r="AT251" s="75">
        <f>SUMIFS([1]инфо!$I$15:$I$28,[1]инфо!$A$15:$A$28,F251)</f>
        <v/>
      </c>
      <c r="AU251" s="62">
        <f>IF(H251=0,0,AD251/H251)</f>
        <v/>
      </c>
      <c r="AV251" s="76">
        <f>AU251-AT251</f>
        <v/>
      </c>
      <c r="AX251" s="70">
        <f>SUMIFS([1]инфо!$C$15:$C$28,[1]инфо!$A$15:$A$28,F251)*H250</f>
        <v/>
      </c>
    </row>
    <row r="252">
      <c r="A252" s="71">
        <f>A250+1</f>
        <v/>
      </c>
      <c r="B252" s="86" t="inlineStr">
        <is>
          <t>0167</t>
        </is>
      </c>
      <c r="C252" s="52" t="inlineStr">
        <is>
          <t>линия 2</t>
        </is>
      </c>
      <c r="D252" s="53" t="inlineStr">
        <is>
          <t>день</t>
        </is>
      </c>
      <c r="E252" s="66" t="inlineStr">
        <is>
          <t>Султанулы</t>
        </is>
      </c>
      <c r="F252" s="67" t="inlineStr">
        <is>
          <t>8 волн рифленый</t>
        </is>
      </c>
      <c r="G252" s="68" t="n">
        <v>59</v>
      </c>
      <c r="H252" s="68" t="n">
        <v>2290</v>
      </c>
      <c r="I252" s="57">
        <f>IFERROR(H252*VLOOKUP(F252,[1]инфо!$A$15:$C$28,3,FALSE)/1000,0)</f>
        <v/>
      </c>
      <c r="J252" s="55" t="n">
        <v>2250</v>
      </c>
      <c r="K252" s="55" t="n">
        <v>3</v>
      </c>
      <c r="L252" s="55" t="n">
        <v>5</v>
      </c>
      <c r="M252" s="55" t="n">
        <v>70</v>
      </c>
      <c r="N252" s="55" t="n">
        <v>5918</v>
      </c>
      <c r="O252" s="58" t="n"/>
      <c r="P252" s="58" t="n"/>
      <c r="Q252" s="58" t="n">
        <v>19879</v>
      </c>
      <c r="R252" s="58" t="n">
        <v>17884</v>
      </c>
      <c r="S252" s="59">
        <f>SUM(O252:R252)</f>
        <v/>
      </c>
      <c r="T252" s="52" t="n"/>
      <c r="U252" s="53" t="n"/>
      <c r="V252" s="58" t="n"/>
      <c r="W252" s="68" t="n">
        <v>1770</v>
      </c>
      <c r="X252" s="58" t="n"/>
      <c r="Y252" s="52" t="n">
        <v>590</v>
      </c>
      <c r="Z252" s="58" t="n"/>
      <c r="AA252" s="58" t="n">
        <v>118</v>
      </c>
      <c r="AB252" s="58" t="n"/>
      <c r="AC252" s="69" t="n"/>
      <c r="AD252" s="53" t="n">
        <v>295</v>
      </c>
      <c r="AE252" s="61">
        <f>SUMIFS([1]инфо!$D$15:$D$28,[1]инфо!$A$15:$A$28,F252)</f>
        <v/>
      </c>
      <c r="AF252" s="62">
        <f>IF(H252=0,0,N252/H252)</f>
        <v/>
      </c>
      <c r="AG252" s="63">
        <f>AF252-AE252</f>
        <v/>
      </c>
      <c r="AH252" s="61">
        <f>SUMIFS([1]инфо!$E$15:$E$28,[1]инфо!$A$15:$A$28,F252)</f>
        <v/>
      </c>
      <c r="AI252" s="64">
        <f>IF(H252=0,0,S252/H252)</f>
        <v/>
      </c>
      <c r="AJ252" s="63">
        <f>AI252-AH252</f>
        <v/>
      </c>
      <c r="AK252" s="61">
        <f>SUMIFS([1]инфо!$F$15:$F$28,[1]инфо!$A$15:$A$28,F252)</f>
        <v/>
      </c>
      <c r="AL252" s="64">
        <f>IF(H252=0,0,Y252/H252)</f>
        <v/>
      </c>
      <c r="AM252" s="63">
        <f>AL252-AK252</f>
        <v/>
      </c>
      <c r="AN252" s="61">
        <f>SUMIFS([1]инфо!$G$15:$G$28,[1]инфо!$A$15:$A$28,F252)</f>
        <v/>
      </c>
      <c r="AO252" s="64">
        <f>IF(H252=0,0,AA252/H252)</f>
        <v/>
      </c>
      <c r="AP252" s="63">
        <f>AO252-AN252</f>
        <v/>
      </c>
      <c r="AQ252" s="61">
        <f>SUMIFS([1]инфо!$H$15:$H$28,[1]инфо!$A$15:$A$28,F252)</f>
        <v/>
      </c>
      <c r="AR252" s="62">
        <f>IF(H251=0,0,AC252/H251)</f>
        <v/>
      </c>
      <c r="AS252" s="63">
        <f>AR252-AQ252</f>
        <v/>
      </c>
      <c r="AT252" s="61">
        <f>SUMIFS([1]инфо!$I$15:$I$28,[1]инфо!$A$15:$A$28,F252)</f>
        <v/>
      </c>
      <c r="AU252" s="62">
        <f>IF(H252=0,0,AD252/H252)</f>
        <v/>
      </c>
      <c r="AV252" s="63">
        <f>AU252-AT252</f>
        <v/>
      </c>
      <c r="AX252" s="59">
        <f>SUMIFS([1]инфо!$C$15:$C$28,[1]инфо!$A$15:$A$28,F252)*H251</f>
        <v/>
      </c>
    </row>
    <row r="253">
      <c r="A253" s="71">
        <f>A251+1</f>
        <v/>
      </c>
      <c r="B253" s="86" t="inlineStr">
        <is>
          <t>0168</t>
        </is>
      </c>
      <c r="C253" s="52" t="inlineStr">
        <is>
          <t>линия 2</t>
        </is>
      </c>
      <c r="D253" s="53" t="inlineStr">
        <is>
          <t>день</t>
        </is>
      </c>
      <c r="E253" s="66" t="inlineStr">
        <is>
          <t>Бекбосынов</t>
        </is>
      </c>
      <c r="F253" s="67" t="inlineStr">
        <is>
          <t>8 волн рифленый</t>
        </is>
      </c>
      <c r="G253" s="68" t="n">
        <v>65</v>
      </c>
      <c r="H253" s="68" t="n">
        <v>2430</v>
      </c>
      <c r="I253" s="57">
        <f>IFERROR(H253*VLOOKUP(F253,[1]инфо!$A$15:$C$28,3,FALSE)/1000,0)</f>
        <v/>
      </c>
      <c r="J253" s="55" t="n">
        <v>1750</v>
      </c>
      <c r="K253" s="55" t="n">
        <v>1</v>
      </c>
      <c r="L253" s="55" t="n">
        <v>4</v>
      </c>
      <c r="M253" s="55" t="n">
        <v>196</v>
      </c>
      <c r="N253" s="55" t="n">
        <v>6428</v>
      </c>
      <c r="O253" s="58" t="n"/>
      <c r="P253" s="58" t="n"/>
      <c r="Q253" s="58" t="n">
        <v>20532</v>
      </c>
      <c r="R253" s="58" t="n">
        <v>21092</v>
      </c>
      <c r="S253" s="59">
        <f>SUM(O253:R253)</f>
        <v/>
      </c>
      <c r="T253" s="52" t="n"/>
      <c r="U253" s="53" t="n"/>
      <c r="V253" s="58" t="n"/>
      <c r="W253" s="68" t="n">
        <v>1950</v>
      </c>
      <c r="X253" s="58" t="n"/>
      <c r="Y253" s="52" t="n">
        <v>650</v>
      </c>
      <c r="Z253" s="58" t="n"/>
      <c r="AA253" s="58" t="n">
        <v>130</v>
      </c>
      <c r="AB253" s="58" t="n"/>
      <c r="AC253" s="69" t="n"/>
      <c r="AD253" s="53" t="n">
        <v>325</v>
      </c>
      <c r="AE253" s="61">
        <f>SUMIFS([1]инфо!$D$15:$D$28,[1]инфо!$A$15:$A$28,F253)</f>
        <v/>
      </c>
      <c r="AF253" s="62">
        <f>IF(H253=0,0,N253/H253)</f>
        <v/>
      </c>
      <c r="AG253" s="63">
        <f>AF253-AE253</f>
        <v/>
      </c>
      <c r="AH253" s="61">
        <f>SUMIFS([1]инфо!$E$15:$E$28,[1]инфо!$A$15:$A$28,F253)</f>
        <v/>
      </c>
      <c r="AI253" s="64">
        <f>IF(H253=0,0,S253/H253)</f>
        <v/>
      </c>
      <c r="AJ253" s="63">
        <f>AI253-AH253</f>
        <v/>
      </c>
      <c r="AK253" s="61">
        <f>SUMIFS([1]инфо!$F$15:$F$28,[1]инфо!$A$15:$A$28,F253)</f>
        <v/>
      </c>
      <c r="AL253" s="64">
        <f>IF(H253=0,0,Y253/H253)</f>
        <v/>
      </c>
      <c r="AM253" s="63">
        <f>AL253-AK253</f>
        <v/>
      </c>
      <c r="AN253" s="61">
        <f>SUMIFS([1]инфо!$G$15:$G$28,[1]инфо!$A$15:$A$28,F253)</f>
        <v/>
      </c>
      <c r="AO253" s="64">
        <f>IF(H253=0,0,AA253/H253)</f>
        <v/>
      </c>
      <c r="AP253" s="63">
        <f>AO253-AN253</f>
        <v/>
      </c>
      <c r="AQ253" s="61">
        <f>SUMIFS([1]инфо!$H$15:$H$28,[1]инфо!$A$15:$A$28,F253)</f>
        <v/>
      </c>
      <c r="AR253" s="62">
        <f>IF(H252=0,0,AC253/H252)</f>
        <v/>
      </c>
      <c r="AS253" s="63">
        <f>AR253-AQ253</f>
        <v/>
      </c>
      <c r="AT253" s="61">
        <f>SUMIFS([1]инфо!$I$15:$I$28,[1]инфо!$A$15:$A$28,F253)</f>
        <v/>
      </c>
      <c r="AU253" s="62">
        <f>IF(H253=0,0,AD253/H253)</f>
        <v/>
      </c>
      <c r="AV253" s="63">
        <f>AU253-AT253</f>
        <v/>
      </c>
      <c r="AX253" s="59">
        <f>SUMIFS([1]инфо!$C$15:$C$28,[1]инфо!$A$15:$A$28,F253)*H252</f>
        <v/>
      </c>
    </row>
    <row r="254">
      <c r="A254" s="71">
        <f>A252+1</f>
        <v/>
      </c>
      <c r="B254" s="86" t="inlineStr">
        <is>
          <t>0169</t>
        </is>
      </c>
      <c r="C254" s="77" t="inlineStr">
        <is>
          <t>линия 2</t>
        </is>
      </c>
      <c r="D254" s="78" t="inlineStr">
        <is>
          <t>день</t>
        </is>
      </c>
      <c r="E254" s="66" t="inlineStr">
        <is>
          <t>Дауылбай</t>
        </is>
      </c>
      <c r="F254" s="67" t="inlineStr">
        <is>
          <t>8 волн рифленый</t>
        </is>
      </c>
      <c r="G254" s="68" t="n">
        <v>21</v>
      </c>
      <c r="H254" s="68" t="n">
        <v>940</v>
      </c>
      <c r="I254" s="57">
        <f>IFERROR(H254*VLOOKUP(F254,[1]инфо!$A$15:$C$28,3,FALSE)/1000,0)</f>
        <v/>
      </c>
      <c r="J254" s="55" t="n">
        <v>1500</v>
      </c>
      <c r="K254" s="55" t="n">
        <v>5</v>
      </c>
      <c r="L254" s="55" t="n"/>
      <c r="M254" s="55" t="n">
        <v>180</v>
      </c>
      <c r="N254" s="56" t="n">
        <v>2072</v>
      </c>
      <c r="O254" s="79" t="n"/>
      <c r="P254" s="79" t="n"/>
      <c r="Q254" s="79" t="n">
        <v>7040</v>
      </c>
      <c r="R254" s="79" t="n">
        <v>6393</v>
      </c>
      <c r="S254" s="80">
        <f>SUM(O254:R254)</f>
        <v/>
      </c>
      <c r="T254" s="77" t="n"/>
      <c r="U254" s="78" t="n"/>
      <c r="V254" s="79" t="n"/>
      <c r="W254" s="68" t="n">
        <v>630</v>
      </c>
      <c r="X254" s="79" t="n"/>
      <c r="Y254" s="77" t="n">
        <v>210</v>
      </c>
      <c r="Z254" s="79" t="n"/>
      <c r="AA254" s="79" t="n">
        <v>42</v>
      </c>
      <c r="AB254" s="79" t="n"/>
      <c r="AC254" s="69" t="n"/>
      <c r="AD254" s="78" t="n">
        <v>30</v>
      </c>
      <c r="AE254" s="81">
        <f>SUMIFS([1]инфо!$D$15:$D$28,[1]инфо!$A$15:$A$28,F254)</f>
        <v/>
      </c>
      <c r="AF254" s="62">
        <f>IF(H254=0,0,N254/H254)</f>
        <v/>
      </c>
      <c r="AG254" s="82">
        <f>AF254-AE254</f>
        <v/>
      </c>
      <c r="AH254" s="81">
        <f>SUMIFS([1]инфо!$E$15:$E$28,[1]инфо!$A$15:$A$28,F254)</f>
        <v/>
      </c>
      <c r="AI254" s="64">
        <f>IF(H254=0,0,S254/H254)</f>
        <v/>
      </c>
      <c r="AJ254" s="82">
        <f>AI254-AH254</f>
        <v/>
      </c>
      <c r="AK254" s="81">
        <f>SUMIFS([1]инфо!$F$15:$F$28,[1]инфо!$A$15:$A$28,F254)</f>
        <v/>
      </c>
      <c r="AL254" s="64">
        <f>IF(H254=0,0,Y254/H254)</f>
        <v/>
      </c>
      <c r="AM254" s="82">
        <f>AL254-AK254</f>
        <v/>
      </c>
      <c r="AN254" s="81">
        <f>SUMIFS([1]инфо!$G$15:$G$28,[1]инфо!$A$15:$A$28,F254)</f>
        <v/>
      </c>
      <c r="AO254" s="64">
        <f>IF(H254=0,0,AA254/H254)</f>
        <v/>
      </c>
      <c r="AP254" s="82">
        <f>AO254-AN254</f>
        <v/>
      </c>
      <c r="AQ254" s="81">
        <f>SUMIFS([1]инфо!$H$15:$H$28,[1]инфо!$A$15:$A$28,F254)</f>
        <v/>
      </c>
      <c r="AR254" s="85">
        <f>IF(H253=0,0,AC254/H253)</f>
        <v/>
      </c>
      <c r="AS254" s="82">
        <f>AR254-AQ254</f>
        <v/>
      </c>
      <c r="AT254" s="81">
        <f>SUMIFS([1]инфо!$I$15:$I$28,[1]инфо!$A$15:$A$28,F254)</f>
        <v/>
      </c>
      <c r="AU254" s="62">
        <f>IF(H254=0,0,AD254/H254)</f>
        <v/>
      </c>
      <c r="AV254" s="82">
        <f>AU254-AT254</f>
        <v/>
      </c>
      <c r="AX254" s="80">
        <f>SUMIFS([1]инфо!$C$15:$C$28,[1]инфо!$A$15:$A$28,F254)*H253</f>
        <v/>
      </c>
    </row>
    <row r="255">
      <c r="A255" s="71">
        <f>A253+1</f>
        <v/>
      </c>
      <c r="B255" s="86" t="inlineStr">
        <is>
          <t>0170</t>
        </is>
      </c>
      <c r="C255" s="72" t="inlineStr">
        <is>
          <t>линия 2</t>
        </is>
      </c>
      <c r="D255" s="73" t="inlineStr">
        <is>
          <t>ночь</t>
        </is>
      </c>
      <c r="E255" s="66" t="inlineStr">
        <is>
          <t>Султанулы</t>
        </is>
      </c>
      <c r="F255" s="67" t="inlineStr">
        <is>
          <t>8 волн рифленый</t>
        </is>
      </c>
      <c r="G255" s="68" t="n">
        <v>73</v>
      </c>
      <c r="H255" s="68" t="n">
        <v>2780</v>
      </c>
      <c r="I255" s="57">
        <f>IFERROR(H255*VLOOKUP(F255,[1]инфо!$A$15:$C$28,3,FALSE)/1000,0)</f>
        <v/>
      </c>
      <c r="J255" s="55" t="n">
        <v>2500</v>
      </c>
      <c r="K255" s="55" t="n">
        <v>4</v>
      </c>
      <c r="L255" s="55" t="n">
        <v>7</v>
      </c>
      <c r="M255" s="55" t="n">
        <v>106</v>
      </c>
      <c r="N255" s="67" t="n">
        <v>7191</v>
      </c>
      <c r="O255" s="74" t="n"/>
      <c r="P255" s="74" t="n"/>
      <c r="Q255" s="74" t="n">
        <v>23680</v>
      </c>
      <c r="R255" s="74" t="n">
        <v>23004</v>
      </c>
      <c r="S255" s="70">
        <f>SUM(O255:R255)</f>
        <v/>
      </c>
      <c r="T255" s="72" t="n"/>
      <c r="U255" s="73" t="n"/>
      <c r="V255" s="74" t="n"/>
      <c r="W255" s="68" t="n">
        <v>2190</v>
      </c>
      <c r="X255" s="74" t="n"/>
      <c r="Y255" s="72" t="n">
        <v>730</v>
      </c>
      <c r="Z255" s="74" t="n"/>
      <c r="AA255" s="74" t="n">
        <v>146</v>
      </c>
      <c r="AB255" s="74" t="n"/>
      <c r="AC255" s="69" t="n"/>
      <c r="AD255" s="73" t="n">
        <v>360</v>
      </c>
      <c r="AE255" s="75">
        <f>SUMIFS([1]инфо!$D$15:$D$28,[1]инфо!$A$15:$A$28,F255)</f>
        <v/>
      </c>
      <c r="AF255" s="62">
        <f>IF(H255=0,0,N255/H255)</f>
        <v/>
      </c>
      <c r="AG255" s="76">
        <f>AF255-AE255</f>
        <v/>
      </c>
      <c r="AH255" s="75">
        <f>SUMIFS([1]инфо!$E$15:$E$28,[1]инфо!$A$15:$A$28,F255)</f>
        <v/>
      </c>
      <c r="AI255" s="64">
        <f>IF(H255=0,0,S255/H255)</f>
        <v/>
      </c>
      <c r="AJ255" s="76">
        <f>AI255-AH255</f>
        <v/>
      </c>
      <c r="AK255" s="75">
        <f>SUMIFS([1]инфо!$F$15:$F$28,[1]инфо!$A$15:$A$28,F255)</f>
        <v/>
      </c>
      <c r="AL255" s="64">
        <f>IF(H255=0,0,Y255/H255)</f>
        <v/>
      </c>
      <c r="AM255" s="76">
        <f>AL255-AK255</f>
        <v/>
      </c>
      <c r="AN255" s="75">
        <f>SUMIFS([1]инфо!$G$15:$G$28,[1]инфо!$A$15:$A$28,F255)</f>
        <v/>
      </c>
      <c r="AO255" s="64">
        <f>IF(H255=0,0,AA255/H255)</f>
        <v/>
      </c>
      <c r="AP255" s="76">
        <f>AO255-AN255</f>
        <v/>
      </c>
      <c r="AQ255" s="75">
        <f>SUMIFS([1]инфо!$H$15:$H$28,[1]инфо!$A$15:$A$28,F255)</f>
        <v/>
      </c>
      <c r="AR255" s="64">
        <f>IF(H254=0,0,AC255/H254)</f>
        <v/>
      </c>
      <c r="AS255" s="76">
        <f>AR255-AQ255</f>
        <v/>
      </c>
      <c r="AT255" s="75">
        <f>SUMIFS([1]инфо!$I$15:$I$28,[1]инфо!$A$15:$A$28,F255)</f>
        <v/>
      </c>
      <c r="AU255" s="62">
        <f>IF(H255=0,0,AD255/H255)</f>
        <v/>
      </c>
      <c r="AV255" s="76">
        <f>AU255-AT255</f>
        <v/>
      </c>
      <c r="AX255" s="70">
        <f>SUMIFS([1]инфо!$C$15:$C$28,[1]инфо!$A$15:$A$28,F255)*H254</f>
        <v/>
      </c>
    </row>
    <row r="256">
      <c r="A256" s="71">
        <f>A254+1</f>
        <v/>
      </c>
      <c r="B256" s="86" t="inlineStr">
        <is>
          <t>0171</t>
        </is>
      </c>
      <c r="C256" s="52" t="inlineStr">
        <is>
          <t>линия 2</t>
        </is>
      </c>
      <c r="D256" s="53" t="inlineStr">
        <is>
          <t>день</t>
        </is>
      </c>
      <c r="E256" s="66" t="inlineStr">
        <is>
          <t>Монаев</t>
        </is>
      </c>
      <c r="F256" s="67" t="inlineStr">
        <is>
          <t>8 волн рифленый</t>
        </is>
      </c>
      <c r="G256" s="68" t="n">
        <v>53</v>
      </c>
      <c r="H256" s="68" t="n">
        <v>2150</v>
      </c>
      <c r="I256" s="57">
        <f>IFERROR(H256*VLOOKUP(F256,[1]инфо!$A$15:$C$28,3,FALSE)/1000,0)</f>
        <v/>
      </c>
      <c r="J256" s="55" t="n">
        <v>2250</v>
      </c>
      <c r="K256" s="55" t="n">
        <v>8</v>
      </c>
      <c r="L256" s="55" t="n">
        <v>3</v>
      </c>
      <c r="M256" s="55" t="n">
        <v>177</v>
      </c>
      <c r="N256" s="55" t="n">
        <v>5219</v>
      </c>
      <c r="O256" s="58" t="n"/>
      <c r="P256" s="58" t="n"/>
      <c r="Q256" s="58" t="n">
        <v>16000</v>
      </c>
      <c r="R256" s="58" t="n">
        <v>17892</v>
      </c>
      <c r="S256" s="59">
        <f>SUM(O256:R256)</f>
        <v/>
      </c>
      <c r="T256" s="52" t="n"/>
      <c r="U256" s="53" t="n"/>
      <c r="V256" s="58" t="n"/>
      <c r="W256" s="68" t="n">
        <v>1590</v>
      </c>
      <c r="X256" s="58" t="n"/>
      <c r="Y256" s="52" t="n">
        <v>490</v>
      </c>
      <c r="Z256" s="58" t="n"/>
      <c r="AA256" s="58" t="n">
        <v>106</v>
      </c>
      <c r="AB256" s="58" t="n"/>
      <c r="AC256" s="69" t="n"/>
      <c r="AD256" s="53" t="n">
        <v>140</v>
      </c>
      <c r="AE256" s="61">
        <f>SUMIFS([1]инфо!$D$15:$D$28,[1]инфо!$A$15:$A$28,F256)</f>
        <v/>
      </c>
      <c r="AF256" s="62">
        <f>IF(H256=0,0,N256/H256)</f>
        <v/>
      </c>
      <c r="AG256" s="63">
        <f>AF256-AE256</f>
        <v/>
      </c>
      <c r="AH256" s="61">
        <f>SUMIFS([1]инфо!$E$15:$E$28,[1]инфо!$A$15:$A$28,F256)</f>
        <v/>
      </c>
      <c r="AI256" s="64">
        <f>IF(H256=0,0,S256/H256)</f>
        <v/>
      </c>
      <c r="AJ256" s="63">
        <f>AI256-AH256</f>
        <v/>
      </c>
      <c r="AK256" s="61">
        <f>SUMIFS([1]инфо!$F$15:$F$28,[1]инфо!$A$15:$A$28,F256)</f>
        <v/>
      </c>
      <c r="AL256" s="64">
        <f>IF(H256=0,0,Y256/H256)</f>
        <v/>
      </c>
      <c r="AM256" s="63">
        <f>AL256-AK256</f>
        <v/>
      </c>
      <c r="AN256" s="61">
        <f>SUMIFS([1]инфо!$G$15:$G$28,[1]инфо!$A$15:$A$28,F256)</f>
        <v/>
      </c>
      <c r="AO256" s="64">
        <f>IF(H256=0,0,AA256/H256)</f>
        <v/>
      </c>
      <c r="AP256" s="63">
        <f>AO256-AN256</f>
        <v/>
      </c>
      <c r="AQ256" s="61">
        <f>SUMIFS([1]инфо!$H$15:$H$28,[1]инфо!$A$15:$A$28,F256)</f>
        <v/>
      </c>
      <c r="AR256" s="62">
        <f>IF(H255=0,0,AC256/H255)</f>
        <v/>
      </c>
      <c r="AS256" s="63">
        <f>AR256-AQ256</f>
        <v/>
      </c>
      <c r="AT256" s="61">
        <f>SUMIFS([1]инфо!$I$15:$I$28,[1]инфо!$A$15:$A$28,F256)</f>
        <v/>
      </c>
      <c r="AU256" s="62">
        <f>IF(H256=0,0,AD256/H256)</f>
        <v/>
      </c>
      <c r="AV256" s="63">
        <f>AU256-AT256</f>
        <v/>
      </c>
      <c r="AX256" s="59">
        <f>SUMIFS([1]инфо!$C$15:$C$28,[1]инфо!$A$15:$A$28,F256)*H255</f>
        <v/>
      </c>
    </row>
    <row r="257">
      <c r="A257" s="71">
        <f>A255+1</f>
        <v/>
      </c>
      <c r="B257" s="86" t="inlineStr">
        <is>
          <t>0172</t>
        </is>
      </c>
      <c r="C257" s="52" t="inlineStr">
        <is>
          <t>линия 2</t>
        </is>
      </c>
      <c r="D257" s="53" t="inlineStr">
        <is>
          <t>ночь</t>
        </is>
      </c>
      <c r="E257" s="66" t="inlineStr">
        <is>
          <t>Дауылбай</t>
        </is>
      </c>
      <c r="F257" s="67" t="inlineStr">
        <is>
          <t>8 волн рифленый</t>
        </is>
      </c>
      <c r="G257" s="68" t="n">
        <v>71</v>
      </c>
      <c r="H257" s="68" t="n">
        <v>3140</v>
      </c>
      <c r="I257" s="57">
        <f>IFERROR(H257*VLOOKUP(F257,[1]инфо!$A$15:$C$28,3,FALSE)/1000,0)</f>
        <v/>
      </c>
      <c r="J257" s="55" t="n">
        <v>3000</v>
      </c>
      <c r="K257" s="55" t="n">
        <v>17</v>
      </c>
      <c r="L257" s="55" t="n">
        <v>1</v>
      </c>
      <c r="M257" s="55" t="n">
        <v>204</v>
      </c>
      <c r="N257" s="55" t="n">
        <v>6993</v>
      </c>
      <c r="O257" s="58" t="n"/>
      <c r="P257" s="58" t="n"/>
      <c r="Q257" s="58" t="n">
        <v>22400</v>
      </c>
      <c r="R257" s="58" t="n">
        <v>23004</v>
      </c>
      <c r="S257" s="59">
        <f>SUM(O257:R257)</f>
        <v/>
      </c>
      <c r="T257" s="52" t="n"/>
      <c r="U257" s="53" t="n"/>
      <c r="V257" s="58" t="n"/>
      <c r="W257" s="68" t="n">
        <v>2130</v>
      </c>
      <c r="X257" s="58" t="n"/>
      <c r="Y257" s="52" t="n">
        <v>710</v>
      </c>
      <c r="Z257" s="58" t="n"/>
      <c r="AA257" s="58" t="n">
        <v>142</v>
      </c>
      <c r="AB257" s="58" t="n"/>
      <c r="AC257" s="69" t="n"/>
      <c r="AD257" s="53" t="n">
        <v>355</v>
      </c>
      <c r="AE257" s="61">
        <f>SUMIFS([1]инфо!$D$15:$D$28,[1]инфо!$A$15:$A$28,F257)</f>
        <v/>
      </c>
      <c r="AF257" s="62">
        <f>IF(H257=0,0,N257/H257)</f>
        <v/>
      </c>
      <c r="AG257" s="63">
        <f>AF257-AE257</f>
        <v/>
      </c>
      <c r="AH257" s="61">
        <f>SUMIFS([1]инфо!$E$15:$E$28,[1]инфо!$A$15:$A$28,F257)</f>
        <v/>
      </c>
      <c r="AI257" s="64">
        <f>IF(H257=0,0,S257/H257)</f>
        <v/>
      </c>
      <c r="AJ257" s="63">
        <f>AI257-AH257</f>
        <v/>
      </c>
      <c r="AK257" s="61">
        <f>SUMIFS([1]инфо!$F$15:$F$28,[1]инфо!$A$15:$A$28,F257)</f>
        <v/>
      </c>
      <c r="AL257" s="64">
        <f>IF(H257=0,0,Y257/H257)</f>
        <v/>
      </c>
      <c r="AM257" s="63">
        <f>AL257-AK257</f>
        <v/>
      </c>
      <c r="AN257" s="61">
        <f>SUMIFS([1]инфо!$G$15:$G$28,[1]инфо!$A$15:$A$28,F257)</f>
        <v/>
      </c>
      <c r="AO257" s="64">
        <f>IF(H257=0,0,AA257/H257)</f>
        <v/>
      </c>
      <c r="AP257" s="63">
        <f>AO257-AN257</f>
        <v/>
      </c>
      <c r="AQ257" s="61">
        <f>SUMIFS([1]инфо!$H$15:$H$28,[1]инфо!$A$15:$A$28,F257)</f>
        <v/>
      </c>
      <c r="AR257" s="62">
        <f>IF(H256=0,0,AC257/H256)</f>
        <v/>
      </c>
      <c r="AS257" s="63">
        <f>AR257-AQ257</f>
        <v/>
      </c>
      <c r="AT257" s="61">
        <f>SUMIFS([1]инфо!$I$15:$I$28,[1]инфо!$A$15:$A$28,F257)</f>
        <v/>
      </c>
      <c r="AU257" s="62">
        <f>IF(H257=0,0,AD257/H257)</f>
        <v/>
      </c>
      <c r="AV257" s="63">
        <f>AU257-AT257</f>
        <v/>
      </c>
      <c r="AX257" s="59">
        <f>SUMIFS([1]инфо!$C$15:$C$28,[1]инфо!$A$15:$A$28,F257)*H256</f>
        <v/>
      </c>
    </row>
    <row r="258">
      <c r="A258" s="71">
        <f>A256+1</f>
        <v/>
      </c>
      <c r="B258" s="86" t="inlineStr">
        <is>
          <t>0173</t>
        </is>
      </c>
      <c r="C258" s="77" t="inlineStr">
        <is>
          <t>линия 2</t>
        </is>
      </c>
      <c r="D258" s="78" t="inlineStr">
        <is>
          <t>день</t>
        </is>
      </c>
      <c r="E258" s="66" t="inlineStr">
        <is>
          <t>Бекбосынов</t>
        </is>
      </c>
      <c r="F258" s="67" t="inlineStr">
        <is>
          <t>8 волн рифленый</t>
        </is>
      </c>
      <c r="G258" s="68" t="n">
        <v>62</v>
      </c>
      <c r="H258" s="68" t="n">
        <v>2480</v>
      </c>
      <c r="I258" s="57">
        <f>IFERROR(H258*VLOOKUP(F258,[1]инфо!$A$15:$C$28,3,FALSE)/1000,0)</f>
        <v/>
      </c>
      <c r="J258" s="55" t="n">
        <v>2250</v>
      </c>
      <c r="K258" s="55" t="n"/>
      <c r="L258" s="55" t="n">
        <v>34</v>
      </c>
      <c r="M258" s="55" t="n">
        <v>186</v>
      </c>
      <c r="N258" s="56" t="n">
        <v>6106</v>
      </c>
      <c r="O258" s="79" t="n"/>
      <c r="P258" s="79" t="n"/>
      <c r="Q258" s="79" t="n">
        <v>19200</v>
      </c>
      <c r="R258" s="79" t="n">
        <v>20448</v>
      </c>
      <c r="S258" s="80">
        <f>SUM(O258:R258)</f>
        <v/>
      </c>
      <c r="T258" s="77" t="n"/>
      <c r="U258" s="78" t="n"/>
      <c r="V258" s="79" t="n"/>
      <c r="W258" s="68" t="n">
        <v>1860</v>
      </c>
      <c r="X258" s="79" t="n"/>
      <c r="Y258" s="77" t="n">
        <v>620</v>
      </c>
      <c r="Z258" s="79" t="n"/>
      <c r="AA258" s="79" t="n">
        <v>124</v>
      </c>
      <c r="AB258" s="79" t="n"/>
      <c r="AC258" s="69" t="n"/>
      <c r="AD258" s="78" t="n">
        <v>310</v>
      </c>
      <c r="AE258" s="81">
        <f>SUMIFS([1]инфо!$D$15:$D$28,[1]инфо!$A$15:$A$28,F258)</f>
        <v/>
      </c>
      <c r="AF258" s="62">
        <f>IF(H258=0,0,N258/H258)</f>
        <v/>
      </c>
      <c r="AG258" s="82">
        <f>AF258-AE258</f>
        <v/>
      </c>
      <c r="AH258" s="81">
        <f>SUMIFS([1]инфо!$E$15:$E$28,[1]инфо!$A$15:$A$28,F258)</f>
        <v/>
      </c>
      <c r="AI258" s="64">
        <f>IF(H258=0,0,S258/H258)</f>
        <v/>
      </c>
      <c r="AJ258" s="82">
        <f>AI258-AH258</f>
        <v/>
      </c>
      <c r="AK258" s="81">
        <f>SUMIFS([1]инфо!$F$15:$F$28,[1]инфо!$A$15:$A$28,F258)</f>
        <v/>
      </c>
      <c r="AL258" s="64">
        <f>IF(H258=0,0,Y258/H258)</f>
        <v/>
      </c>
      <c r="AM258" s="82">
        <f>AL258-AK258</f>
        <v/>
      </c>
      <c r="AN258" s="81">
        <f>SUMIFS([1]инфо!$G$15:$G$28,[1]инфо!$A$15:$A$28,F258)</f>
        <v/>
      </c>
      <c r="AO258" s="64">
        <f>IF(H258=0,0,AA258/H258)</f>
        <v/>
      </c>
      <c r="AP258" s="82">
        <f>AO258-AN258</f>
        <v/>
      </c>
      <c r="AQ258" s="81">
        <f>SUMIFS([1]инфо!$H$15:$H$28,[1]инфо!$A$15:$A$28,F258)</f>
        <v/>
      </c>
      <c r="AR258" s="85">
        <f>IF(H257=0,0,AC258/H257)</f>
        <v/>
      </c>
      <c r="AS258" s="82">
        <f>AR258-AQ258</f>
        <v/>
      </c>
      <c r="AT258" s="81">
        <f>SUMIFS([1]инфо!$I$15:$I$28,[1]инфо!$A$15:$A$28,F258)</f>
        <v/>
      </c>
      <c r="AU258" s="62">
        <f>IF(H258=0,0,AD258/H258)</f>
        <v/>
      </c>
      <c r="AV258" s="82">
        <f>AU258-AT258</f>
        <v/>
      </c>
      <c r="AX258" s="80">
        <f>SUMIFS([1]инфо!$C$15:$C$28,[1]инфо!$A$15:$A$28,F258)*H257</f>
        <v/>
      </c>
    </row>
    <row r="259">
      <c r="A259" s="71">
        <f>A257+1</f>
        <v/>
      </c>
      <c r="B259" s="86" t="inlineStr">
        <is>
          <t>0174</t>
        </is>
      </c>
      <c r="C259" s="72" t="inlineStr">
        <is>
          <t>линия 2</t>
        </is>
      </c>
      <c r="D259" s="73" t="inlineStr">
        <is>
          <t>ночь</t>
        </is>
      </c>
      <c r="E259" s="66" t="inlineStr">
        <is>
          <t>Монаев</t>
        </is>
      </c>
      <c r="F259" s="67" t="inlineStr">
        <is>
          <t>8 волн рифленый</t>
        </is>
      </c>
      <c r="G259" s="68" t="n">
        <v>74</v>
      </c>
      <c r="H259" s="68" t="n">
        <v>3090</v>
      </c>
      <c r="I259" s="57">
        <f>IFERROR(H259*VLOOKUP(F259,[1]инфо!$A$15:$C$28,3,FALSE)/1000,0)</f>
        <v/>
      </c>
      <c r="J259" s="55" t="n">
        <v>3000</v>
      </c>
      <c r="K259" s="55" t="n">
        <v>33</v>
      </c>
      <c r="L259" s="55" t="n">
        <v>4</v>
      </c>
      <c r="M259" s="55" t="n">
        <v>126</v>
      </c>
      <c r="N259" s="67" t="n">
        <v>7289</v>
      </c>
      <c r="O259" s="74" t="n"/>
      <c r="P259" s="74" t="n"/>
      <c r="Q259" s="74" t="n">
        <v>23680</v>
      </c>
      <c r="R259" s="74" t="n">
        <v>23643</v>
      </c>
      <c r="S259" s="70">
        <f>SUM(O259:R259)</f>
        <v/>
      </c>
      <c r="T259" s="72" t="n"/>
      <c r="U259" s="73" t="n"/>
      <c r="V259" s="74" t="n"/>
      <c r="W259" s="68" t="n">
        <v>2220</v>
      </c>
      <c r="X259" s="74" t="n"/>
      <c r="Y259" s="72" t="n">
        <v>740</v>
      </c>
      <c r="Z259" s="74" t="n"/>
      <c r="AA259" s="74" t="n">
        <v>148</v>
      </c>
      <c r="AB259" s="74" t="n"/>
      <c r="AC259" s="69" t="n"/>
      <c r="AD259" s="73" t="n">
        <v>280</v>
      </c>
      <c r="AE259" s="75">
        <f>SUMIFS([1]инфо!$D$15:$D$28,[1]инфо!$A$15:$A$28,F259)</f>
        <v/>
      </c>
      <c r="AF259" s="62">
        <f>IF(H259=0,0,N259/H259)</f>
        <v/>
      </c>
      <c r="AG259" s="76">
        <f>AF259-AE259</f>
        <v/>
      </c>
      <c r="AH259" s="75">
        <f>SUMIFS([1]инфо!$E$15:$E$28,[1]инфо!$A$15:$A$28,F259)</f>
        <v/>
      </c>
      <c r="AI259" s="64">
        <f>IF(H259=0,0,S259/H259)</f>
        <v/>
      </c>
      <c r="AJ259" s="76">
        <f>AI259-AH259</f>
        <v/>
      </c>
      <c r="AK259" s="75">
        <f>SUMIFS([1]инфо!$F$15:$F$28,[1]инфо!$A$15:$A$28,F259)</f>
        <v/>
      </c>
      <c r="AL259" s="64">
        <f>IF(H259=0,0,Y259/H259)</f>
        <v/>
      </c>
      <c r="AM259" s="76">
        <f>AL259-AK259</f>
        <v/>
      </c>
      <c r="AN259" s="75">
        <f>SUMIFS([1]инфо!$G$15:$G$28,[1]инфо!$A$15:$A$28,F259)</f>
        <v/>
      </c>
      <c r="AO259" s="64">
        <f>IF(H259=0,0,AA259/H259)</f>
        <v/>
      </c>
      <c r="AP259" s="76">
        <f>AO259-AN259</f>
        <v/>
      </c>
      <c r="AQ259" s="75">
        <f>SUMIFS([1]инфо!$H$15:$H$28,[1]инфо!$A$15:$A$28,F259)</f>
        <v/>
      </c>
      <c r="AR259" s="64">
        <f>IF(H258=0,0,AC259/H258)</f>
        <v/>
      </c>
      <c r="AS259" s="76">
        <f>AR259-AQ259</f>
        <v/>
      </c>
      <c r="AT259" s="75">
        <f>SUMIFS([1]инфо!$I$15:$I$28,[1]инфо!$A$15:$A$28,F259)</f>
        <v/>
      </c>
      <c r="AU259" s="62">
        <f>IF(H259=0,0,AD259/H259)</f>
        <v/>
      </c>
      <c r="AV259" s="76">
        <f>AU259-AT259</f>
        <v/>
      </c>
      <c r="AX259" s="70">
        <f>SUMIFS([1]инфо!$C$15:$C$28,[1]инфо!$A$15:$A$28,F259)*H258</f>
        <v/>
      </c>
    </row>
    <row r="260">
      <c r="A260" s="71">
        <f>A258+1</f>
        <v/>
      </c>
      <c r="B260" s="86" t="inlineStr">
        <is>
          <t>0175</t>
        </is>
      </c>
      <c r="C260" s="52" t="inlineStr">
        <is>
          <t>линия 2</t>
        </is>
      </c>
      <c r="D260" s="53" t="inlineStr">
        <is>
          <t>день</t>
        </is>
      </c>
      <c r="E260" s="66" t="inlineStr">
        <is>
          <t>Султанулы</t>
        </is>
      </c>
      <c r="F260" s="67" t="inlineStr">
        <is>
          <t>8 волн рифленый</t>
        </is>
      </c>
      <c r="G260" s="68" t="n">
        <v>63</v>
      </c>
      <c r="H260" s="68" t="n">
        <v>2350</v>
      </c>
      <c r="I260" s="57">
        <f>IFERROR(H260*VLOOKUP(F260,[1]инфо!$A$15:$C$28,3,FALSE)/1000,0)</f>
        <v/>
      </c>
      <c r="J260" s="55" t="n">
        <v>2500</v>
      </c>
      <c r="K260" s="55" t="n">
        <v>7</v>
      </c>
      <c r="L260" s="55" t="n">
        <v>8</v>
      </c>
      <c r="M260" s="55" t="n">
        <v>89</v>
      </c>
      <c r="N260" s="55" t="n">
        <v>6208</v>
      </c>
      <c r="O260" s="58" t="n"/>
      <c r="P260" s="58" t="n"/>
      <c r="Q260" s="58" t="n">
        <v>21760</v>
      </c>
      <c r="R260" s="58" t="n">
        <v>18531</v>
      </c>
      <c r="S260" s="59">
        <f>SUM(O260:R260)</f>
        <v/>
      </c>
      <c r="T260" s="52" t="n"/>
      <c r="U260" s="53" t="n"/>
      <c r="V260" s="58" t="n"/>
      <c r="W260" s="68" t="n">
        <v>1890</v>
      </c>
      <c r="X260" s="58" t="n"/>
      <c r="Y260" s="52" t="n">
        <v>630</v>
      </c>
      <c r="Z260" s="58" t="n"/>
      <c r="AA260" s="58" t="n">
        <v>126</v>
      </c>
      <c r="AB260" s="58" t="n"/>
      <c r="AC260" s="69" t="n"/>
      <c r="AD260" s="53" t="n">
        <v>215</v>
      </c>
      <c r="AE260" s="61">
        <f>SUMIFS([1]инфо!$D$15:$D$28,[1]инфо!$A$15:$A$28,F260)</f>
        <v/>
      </c>
      <c r="AF260" s="62">
        <f>IF(H260=0,0,N260/H260)</f>
        <v/>
      </c>
      <c r="AG260" s="63">
        <f>AF260-AE260</f>
        <v/>
      </c>
      <c r="AH260" s="61">
        <f>SUMIFS([1]инфо!$E$15:$E$28,[1]инфо!$A$15:$A$28,F260)</f>
        <v/>
      </c>
      <c r="AI260" s="64">
        <f>IF(H260=0,0,S260/H260)</f>
        <v/>
      </c>
      <c r="AJ260" s="63">
        <f>AI260-AH260</f>
        <v/>
      </c>
      <c r="AK260" s="61">
        <f>SUMIFS([1]инфо!$F$15:$F$28,[1]инфо!$A$15:$A$28,F260)</f>
        <v/>
      </c>
      <c r="AL260" s="64">
        <f>IF(H260=0,0,Y260/H260)</f>
        <v/>
      </c>
      <c r="AM260" s="63">
        <f>AL260-AK260</f>
        <v/>
      </c>
      <c r="AN260" s="61">
        <f>SUMIFS([1]инфо!$G$15:$G$28,[1]инфо!$A$15:$A$28,F260)</f>
        <v/>
      </c>
      <c r="AO260" s="64">
        <f>IF(H260=0,0,AA260/H260)</f>
        <v/>
      </c>
      <c r="AP260" s="63">
        <f>AO260-AN260</f>
        <v/>
      </c>
      <c r="AQ260" s="61">
        <f>SUMIFS([1]инфо!$H$15:$H$28,[1]инфо!$A$15:$A$28,F260)</f>
        <v/>
      </c>
      <c r="AR260" s="62">
        <f>IF(H259=0,0,AC260/H259)</f>
        <v/>
      </c>
      <c r="AS260" s="63">
        <f>AR260-AQ260</f>
        <v/>
      </c>
      <c r="AT260" s="61">
        <f>SUMIFS([1]инфо!$I$15:$I$28,[1]инфо!$A$15:$A$28,F260)</f>
        <v/>
      </c>
      <c r="AU260" s="62">
        <f>IF(H260=0,0,AD260/H260)</f>
        <v/>
      </c>
      <c r="AV260" s="63">
        <f>AU260-AT260</f>
        <v/>
      </c>
      <c r="AX260" s="59">
        <f>SUMIFS([1]инфо!$C$15:$C$28,[1]инфо!$A$15:$A$28,F260)*H259</f>
        <v/>
      </c>
    </row>
    <row r="261">
      <c r="A261" s="71">
        <f>A259+1</f>
        <v/>
      </c>
      <c r="B261" s="86" t="inlineStr">
        <is>
          <t>0176</t>
        </is>
      </c>
      <c r="C261" s="52" t="inlineStr">
        <is>
          <t>линия 2</t>
        </is>
      </c>
      <c r="D261" s="53" t="inlineStr">
        <is>
          <t>ночь</t>
        </is>
      </c>
      <c r="E261" s="66" t="inlineStr">
        <is>
          <t>Бекбосынов</t>
        </is>
      </c>
      <c r="F261" s="67" t="inlineStr">
        <is>
          <t>8 волн рифленый</t>
        </is>
      </c>
      <c r="G261" s="68" t="n">
        <v>66</v>
      </c>
      <c r="H261" s="68" t="n">
        <v>2810</v>
      </c>
      <c r="I261" s="57">
        <f>IFERROR(H261*VLOOKUP(F261,[1]инфо!$A$15:$C$28,3,FALSE)/1000,0)</f>
        <v/>
      </c>
      <c r="J261" s="55" t="n">
        <v>2750</v>
      </c>
      <c r="K261" s="55" t="n">
        <v>4</v>
      </c>
      <c r="L261" s="55" t="n"/>
      <c r="M261" s="55" t="n"/>
      <c r="N261" s="55" t="n">
        <v>6502</v>
      </c>
      <c r="O261" s="58" t="n"/>
      <c r="P261" s="58" t="n"/>
      <c r="Q261" s="58" t="n">
        <v>21760</v>
      </c>
      <c r="R261" s="58" t="n">
        <v>20448</v>
      </c>
      <c r="S261" s="59">
        <f>SUM(O261:R261)</f>
        <v/>
      </c>
      <c r="T261" s="52" t="n"/>
      <c r="U261" s="53" t="n"/>
      <c r="V261" s="58" t="n"/>
      <c r="W261" s="68" t="n">
        <v>1980</v>
      </c>
      <c r="X261" s="58" t="n"/>
      <c r="Y261" s="52" t="n">
        <v>620</v>
      </c>
      <c r="Z261" s="58" t="n"/>
      <c r="AA261" s="58" t="n">
        <v>132</v>
      </c>
      <c r="AB261" s="58" t="n"/>
      <c r="AC261" s="69" t="n"/>
      <c r="AD261" s="53" t="n">
        <v>330</v>
      </c>
      <c r="AE261" s="61">
        <f>SUMIFS([1]инфо!$D$15:$D$28,[1]инфо!$A$15:$A$28,F261)</f>
        <v/>
      </c>
      <c r="AF261" s="62">
        <f>IF(H261=0,0,N261/H261)</f>
        <v/>
      </c>
      <c r="AG261" s="63">
        <f>AF261-AE261</f>
        <v/>
      </c>
      <c r="AH261" s="61">
        <f>SUMIFS([1]инфо!$E$15:$E$28,[1]инфо!$A$15:$A$28,F261)</f>
        <v/>
      </c>
      <c r="AI261" s="64">
        <f>IF(H261=0,0,S261/H261)</f>
        <v/>
      </c>
      <c r="AJ261" s="63">
        <f>AI261-AH261</f>
        <v/>
      </c>
      <c r="AK261" s="61">
        <f>SUMIFS([1]инфо!$F$15:$F$28,[1]инфо!$A$15:$A$28,F261)</f>
        <v/>
      </c>
      <c r="AL261" s="64">
        <f>IF(H261=0,0,Y261/H261)</f>
        <v/>
      </c>
      <c r="AM261" s="63">
        <f>AL261-AK261</f>
        <v/>
      </c>
      <c r="AN261" s="61">
        <f>SUMIFS([1]инфо!$G$15:$G$28,[1]инфо!$A$15:$A$28,F261)</f>
        <v/>
      </c>
      <c r="AO261" s="64">
        <f>IF(H261=0,0,AA261/H261)</f>
        <v/>
      </c>
      <c r="AP261" s="63">
        <f>AO261-AN261</f>
        <v/>
      </c>
      <c r="AQ261" s="61">
        <f>SUMIFS([1]инфо!$H$15:$H$28,[1]инфо!$A$15:$A$28,F261)</f>
        <v/>
      </c>
      <c r="AR261" s="62">
        <f>IF(H260=0,0,AC261/H260)</f>
        <v/>
      </c>
      <c r="AS261" s="63">
        <f>AR261-AQ261</f>
        <v/>
      </c>
      <c r="AT261" s="61">
        <f>SUMIFS([1]инфо!$I$15:$I$28,[1]инфо!$A$15:$A$28,F261)</f>
        <v/>
      </c>
      <c r="AU261" s="62">
        <f>IF(H261=0,0,AD261/H261)</f>
        <v/>
      </c>
      <c r="AV261" s="63">
        <f>AU261-AT261</f>
        <v/>
      </c>
      <c r="AX261" s="59">
        <f>SUMIFS([1]инфо!$C$15:$C$28,[1]инфо!$A$15:$A$28,F261)*H260</f>
        <v/>
      </c>
    </row>
    <row r="262">
      <c r="A262" s="71">
        <f>A260+1</f>
        <v/>
      </c>
      <c r="B262" s="86" t="inlineStr">
        <is>
          <t>0177</t>
        </is>
      </c>
      <c r="C262" s="77" t="inlineStr">
        <is>
          <t>линия 2</t>
        </is>
      </c>
      <c r="D262" s="78" t="inlineStr">
        <is>
          <t>день</t>
        </is>
      </c>
      <c r="E262" s="66" t="inlineStr">
        <is>
          <t>Дауылбай</t>
        </is>
      </c>
      <c r="F262" s="67" t="inlineStr">
        <is>
          <t>8 волн рифленый</t>
        </is>
      </c>
      <c r="G262" s="68" t="n">
        <v>3</v>
      </c>
      <c r="H262" s="68" t="n">
        <v>50</v>
      </c>
      <c r="I262" s="57">
        <f>IFERROR(H262*VLOOKUP(F262,[1]инфо!$A$15:$C$28,3,FALSE)/1000,0)</f>
        <v/>
      </c>
      <c r="J262" s="55" t="n">
        <v>500</v>
      </c>
      <c r="K262" s="55" t="n"/>
      <c r="L262" s="55" t="n"/>
      <c r="M262" s="55" t="n">
        <v>20</v>
      </c>
      <c r="N262" s="56" t="n">
        <v>304</v>
      </c>
      <c r="O262" s="79" t="n"/>
      <c r="P262" s="79" t="n"/>
      <c r="Q262" s="79" t="n">
        <v>1282</v>
      </c>
      <c r="R262" s="79" t="n">
        <v>640</v>
      </c>
      <c r="S262" s="80">
        <f>SUM(O262:R262)</f>
        <v/>
      </c>
      <c r="T262" s="77" t="n"/>
      <c r="U262" s="78" t="n"/>
      <c r="V262" s="79" t="n"/>
      <c r="W262" s="68" t="n">
        <v>90</v>
      </c>
      <c r="X262" s="79" t="n"/>
      <c r="Y262" s="77" t="n">
        <v>30</v>
      </c>
      <c r="Z262" s="79" t="n"/>
      <c r="AA262" s="79" t="n">
        <v>6</v>
      </c>
      <c r="AB262" s="79" t="n"/>
      <c r="AC262" s="69" t="n"/>
      <c r="AD262" s="78" t="n">
        <v>15</v>
      </c>
      <c r="AE262" s="81">
        <f>SUMIFS([1]инфо!$D$15:$D$28,[1]инфо!$A$15:$A$28,F262)</f>
        <v/>
      </c>
      <c r="AF262" s="62">
        <f>IF(H262=0,0,N262/H262)</f>
        <v/>
      </c>
      <c r="AG262" s="82">
        <f>AF262-AE262</f>
        <v/>
      </c>
      <c r="AH262" s="81">
        <f>SUMIFS([1]инфо!$E$15:$E$28,[1]инфо!$A$15:$A$28,F262)</f>
        <v/>
      </c>
      <c r="AI262" s="64">
        <f>IF(H262=0,0,S262/H262)</f>
        <v/>
      </c>
      <c r="AJ262" s="82">
        <f>AI262-AH262</f>
        <v/>
      </c>
      <c r="AK262" s="81">
        <f>SUMIFS([1]инфо!$F$15:$F$28,[1]инфо!$A$15:$A$28,F262)</f>
        <v/>
      </c>
      <c r="AL262" s="64">
        <f>IF(H262=0,0,Y262/H262)</f>
        <v/>
      </c>
      <c r="AM262" s="82">
        <f>AL262-AK262</f>
        <v/>
      </c>
      <c r="AN262" s="81">
        <f>SUMIFS([1]инфо!$G$15:$G$28,[1]инфо!$A$15:$A$28,F262)</f>
        <v/>
      </c>
      <c r="AO262" s="64">
        <f>IF(H262=0,0,AA262/H262)</f>
        <v/>
      </c>
      <c r="AP262" s="82">
        <f>AO262-AN262</f>
        <v/>
      </c>
      <c r="AQ262" s="81">
        <f>SUMIFS([1]инфо!$H$15:$H$28,[1]инфо!$A$15:$A$28,F262)</f>
        <v/>
      </c>
      <c r="AR262" s="85">
        <f>IF(H261=0,0,AC262/H261)</f>
        <v/>
      </c>
      <c r="AS262" s="82">
        <f>AR262-AQ262</f>
        <v/>
      </c>
      <c r="AT262" s="81">
        <f>SUMIFS([1]инфо!$I$15:$I$28,[1]инфо!$A$15:$A$28,F262)</f>
        <v/>
      </c>
      <c r="AU262" s="62">
        <f>IF(H262=0,0,AD262/H262)</f>
        <v/>
      </c>
      <c r="AV262" s="82">
        <f>AU262-AT262</f>
        <v/>
      </c>
      <c r="AX262" s="80">
        <f>SUMIFS([1]инфо!$C$15:$C$28,[1]инфо!$A$15:$A$28,F262)*H261</f>
        <v/>
      </c>
    </row>
    <row r="263">
      <c r="A263" s="71">
        <f>A261+1</f>
        <v/>
      </c>
      <c r="B263" s="86" t="inlineStr">
        <is>
          <t>0178</t>
        </is>
      </c>
      <c r="C263" s="72" t="inlineStr">
        <is>
          <t>линия 2</t>
        </is>
      </c>
      <c r="D263" s="73" t="inlineStr">
        <is>
          <t>ночь</t>
        </is>
      </c>
      <c r="E263" s="66" t="inlineStr">
        <is>
          <t>Султанулы</t>
        </is>
      </c>
      <c r="F263" s="67" t="inlineStr">
        <is>
          <t>8 волн рифленый</t>
        </is>
      </c>
      <c r="G263" s="68" t="n">
        <v>42</v>
      </c>
      <c r="H263" s="68" t="n">
        <v>1640</v>
      </c>
      <c r="I263" s="57">
        <f>IFERROR(H263*VLOOKUP(F263,[1]инфо!$A$15:$C$28,3,FALSE)/1000,0)</f>
        <v/>
      </c>
      <c r="J263" s="55" t="n">
        <v>1500</v>
      </c>
      <c r="K263" s="55" t="n">
        <v>4</v>
      </c>
      <c r="L263" s="55" t="n"/>
      <c r="M263" s="55" t="n">
        <v>140</v>
      </c>
      <c r="N263" s="67" t="n">
        <v>4258</v>
      </c>
      <c r="O263" s="74" t="n"/>
      <c r="P263" s="74" t="n"/>
      <c r="Q263" s="74" t="n">
        <v>13430</v>
      </c>
      <c r="R263" s="74" t="n">
        <v>13441</v>
      </c>
      <c r="S263" s="70">
        <f>SUM(O263:R263)</f>
        <v/>
      </c>
      <c r="T263" s="72" t="n"/>
      <c r="U263" s="73" t="n"/>
      <c r="V263" s="74" t="n"/>
      <c r="W263" s="68" t="n">
        <v>1260</v>
      </c>
      <c r="X263" s="74" t="n"/>
      <c r="Y263" s="72" t="n">
        <v>420</v>
      </c>
      <c r="Z263" s="74" t="n"/>
      <c r="AA263" s="74" t="n">
        <v>84</v>
      </c>
      <c r="AB263" s="74" t="n"/>
      <c r="AC263" s="69" t="n"/>
      <c r="AD263" s="73" t="n">
        <v>210</v>
      </c>
      <c r="AE263" s="75">
        <f>SUMIFS([1]инфо!$D$15:$D$28,[1]инфо!$A$15:$A$28,F263)</f>
        <v/>
      </c>
      <c r="AF263" s="62">
        <f>IF(H263=0,0,N263/H263)</f>
        <v/>
      </c>
      <c r="AG263" s="76">
        <f>AF263-AE263</f>
        <v/>
      </c>
      <c r="AH263" s="75">
        <f>SUMIFS([1]инфо!$E$15:$E$28,[1]инфо!$A$15:$A$28,F263)</f>
        <v/>
      </c>
      <c r="AI263" s="64">
        <f>IF(H263=0,0,S263/H263)</f>
        <v/>
      </c>
      <c r="AJ263" s="76">
        <f>AI263-AH263</f>
        <v/>
      </c>
      <c r="AK263" s="75">
        <f>SUMIFS([1]инфо!$F$15:$F$28,[1]инфо!$A$15:$A$28,F263)</f>
        <v/>
      </c>
      <c r="AL263" s="64">
        <f>IF(H263=0,0,Y263/H263)</f>
        <v/>
      </c>
      <c r="AM263" s="76">
        <f>AL263-AK263</f>
        <v/>
      </c>
      <c r="AN263" s="75">
        <f>SUMIFS([1]инфо!$G$15:$G$28,[1]инфо!$A$15:$A$28,F263)</f>
        <v/>
      </c>
      <c r="AO263" s="64">
        <f>IF(H263=0,0,AA263/H263)</f>
        <v/>
      </c>
      <c r="AP263" s="76">
        <f>AO263-AN263</f>
        <v/>
      </c>
      <c r="AQ263" s="75">
        <f>SUMIFS([1]инфо!$H$15:$H$28,[1]инфо!$A$15:$A$28,F263)</f>
        <v/>
      </c>
      <c r="AR263" s="64">
        <f>IF(H262=0,0,AC263/H262)</f>
        <v/>
      </c>
      <c r="AS263" s="76">
        <f>AR263-AQ263</f>
        <v/>
      </c>
      <c r="AT263" s="75">
        <f>SUMIFS([1]инфо!$I$15:$I$28,[1]инфо!$A$15:$A$28,F263)</f>
        <v/>
      </c>
      <c r="AU263" s="62">
        <f>IF(H263=0,0,AD263/H263)</f>
        <v/>
      </c>
      <c r="AV263" s="76">
        <f>AU263-AT263</f>
        <v/>
      </c>
      <c r="AX263" s="70">
        <f>SUMIFS([1]инфо!$C$15:$C$28,[1]инфо!$A$15:$A$28,F263)*H262</f>
        <v/>
      </c>
    </row>
    <row r="264">
      <c r="A264" s="71">
        <f>A262+1</f>
        <v/>
      </c>
      <c r="B264" s="86" t="n"/>
      <c r="C264" s="52" t="n"/>
      <c r="D264" s="53" t="n"/>
      <c r="E264" s="66" t="n"/>
      <c r="F264" s="67" t="n"/>
      <c r="G264" s="68" t="n"/>
      <c r="H264" s="68" t="n"/>
      <c r="I264" s="57">
        <f>IFERROR(H264*VLOOKUP(F264,[1]инфо!$A$15:$C$28,3,FALSE)/1000,0)</f>
        <v/>
      </c>
      <c r="J264" s="55" t="n"/>
      <c r="K264" s="55" t="n"/>
      <c r="L264" s="55" t="n"/>
      <c r="M264" s="55" t="n"/>
      <c r="N264" s="55" t="n"/>
      <c r="O264" s="58" t="n"/>
      <c r="P264" s="58" t="n"/>
      <c r="Q264" s="58" t="n"/>
      <c r="R264" s="58" t="n"/>
      <c r="S264" s="59">
        <f>SUM(O264:R264)</f>
        <v/>
      </c>
      <c r="T264" s="52" t="n"/>
      <c r="U264" s="53" t="n"/>
      <c r="V264" s="58" t="n"/>
      <c r="W264" s="68" t="n"/>
      <c r="X264" s="58" t="n"/>
      <c r="Y264" s="52" t="n"/>
      <c r="Z264" s="58" t="n"/>
      <c r="AA264" s="58" t="n"/>
      <c r="AB264" s="58" t="n"/>
      <c r="AC264" s="69" t="n"/>
      <c r="AD264" s="53" t="n"/>
      <c r="AE264" s="61">
        <f>SUMIFS([1]инфо!$D$15:$D$28,[1]инфо!$A$15:$A$28,F264)</f>
        <v/>
      </c>
      <c r="AF264" s="62">
        <f>IF(H264=0,0,N264/H264)</f>
        <v/>
      </c>
      <c r="AG264" s="63">
        <f>AF264-AE264</f>
        <v/>
      </c>
      <c r="AH264" s="61">
        <f>SUMIFS([1]инфо!$E$15:$E$28,[1]инфо!$A$15:$A$28,F264)</f>
        <v/>
      </c>
      <c r="AI264" s="64">
        <f>IF(H264=0,0,S264/H264)</f>
        <v/>
      </c>
      <c r="AJ264" s="63">
        <f>AI264-AH264</f>
        <v/>
      </c>
      <c r="AK264" s="61">
        <f>SUMIFS([1]инфо!$F$15:$F$28,[1]инфо!$A$15:$A$28,F264)</f>
        <v/>
      </c>
      <c r="AL264" s="64">
        <f>IF(H264=0,0,Y264/H264)</f>
        <v/>
      </c>
      <c r="AM264" s="63">
        <f>AL264-AK264</f>
        <v/>
      </c>
      <c r="AN264" s="61">
        <f>SUMIFS([1]инфо!$G$15:$G$28,[1]инфо!$A$15:$A$28,F264)</f>
        <v/>
      </c>
      <c r="AO264" s="64">
        <f>IF(H264=0,0,AA264/H264)</f>
        <v/>
      </c>
      <c r="AP264" s="63">
        <f>AO264-AN264</f>
        <v/>
      </c>
      <c r="AQ264" s="61">
        <f>SUMIFS([1]инфо!$H$15:$H$28,[1]инфо!$A$15:$A$28,F264)</f>
        <v/>
      </c>
      <c r="AR264" s="62">
        <f>IF(H263=0,0,AC264/H263)</f>
        <v/>
      </c>
      <c r="AS264" s="63">
        <f>AR264-AQ264</f>
        <v/>
      </c>
      <c r="AT264" s="61">
        <f>SUMIFS([1]инфо!$I$15:$I$28,[1]инфо!$A$15:$A$28,F264)</f>
        <v/>
      </c>
      <c r="AU264" s="62">
        <f>IF(H264=0,0,AD264/H264)</f>
        <v/>
      </c>
      <c r="AV264" s="63">
        <f>AU264-AT264</f>
        <v/>
      </c>
      <c r="AX264" s="59">
        <f>SUMIFS([1]инфо!$C$15:$C$28,[1]инфо!$A$15:$A$28,F264)*H263</f>
        <v/>
      </c>
    </row>
    <row r="265">
      <c r="A265" s="71">
        <f>A263+1</f>
        <v/>
      </c>
      <c r="B265" s="86" t="n"/>
      <c r="C265" s="52" t="n"/>
      <c r="D265" s="53" t="n"/>
      <c r="E265" s="66" t="n"/>
      <c r="F265" s="67" t="n"/>
      <c r="G265" s="68" t="n"/>
      <c r="H265" s="68" t="n"/>
      <c r="I265" s="57">
        <f>IFERROR(H265*VLOOKUP(F265,[1]инфо!$A$15:$C$28,3,FALSE)/1000,0)</f>
        <v/>
      </c>
      <c r="J265" s="55" t="n"/>
      <c r="K265" s="55" t="n"/>
      <c r="L265" s="55" t="n"/>
      <c r="M265" s="55" t="n"/>
      <c r="N265" s="55" t="n"/>
      <c r="O265" s="58" t="n"/>
      <c r="P265" s="58" t="n"/>
      <c r="Q265" s="58" t="n"/>
      <c r="R265" s="58" t="n"/>
      <c r="S265" s="59">
        <f>SUM(O265:R265)</f>
        <v/>
      </c>
      <c r="T265" s="52" t="n"/>
      <c r="U265" s="53" t="n"/>
      <c r="V265" s="58" t="n"/>
      <c r="W265" s="68" t="n"/>
      <c r="X265" s="58" t="n"/>
      <c r="Y265" s="52" t="n"/>
      <c r="Z265" s="58" t="n"/>
      <c r="AA265" s="58" t="n"/>
      <c r="AB265" s="58" t="n"/>
      <c r="AC265" s="69" t="n"/>
      <c r="AD265" s="53" t="n"/>
      <c r="AE265" s="61">
        <f>SUMIFS([1]инфо!$D$15:$D$28,[1]инфо!$A$15:$A$28,F265)</f>
        <v/>
      </c>
      <c r="AF265" s="62">
        <f>IF(H265=0,0,N265/H265)</f>
        <v/>
      </c>
      <c r="AG265" s="63">
        <f>AF265-AE265</f>
        <v/>
      </c>
      <c r="AH265" s="61">
        <f>SUMIFS([1]инфо!$E$15:$E$28,[1]инфо!$A$15:$A$28,F265)</f>
        <v/>
      </c>
      <c r="AI265" s="64">
        <f>IF(H265=0,0,S265/H265)</f>
        <v/>
      </c>
      <c r="AJ265" s="63">
        <f>AI265-AH265</f>
        <v/>
      </c>
      <c r="AK265" s="61">
        <f>SUMIFS([1]инфо!$F$15:$F$28,[1]инфо!$A$15:$A$28,F265)</f>
        <v/>
      </c>
      <c r="AL265" s="64">
        <f>IF(H265=0,0,Y265/H265)</f>
        <v/>
      </c>
      <c r="AM265" s="63">
        <f>AL265-AK265</f>
        <v/>
      </c>
      <c r="AN265" s="61">
        <f>SUMIFS([1]инфо!$G$15:$G$28,[1]инфо!$A$15:$A$28,F265)</f>
        <v/>
      </c>
      <c r="AO265" s="64">
        <f>IF(H265=0,0,AA265/H265)</f>
        <v/>
      </c>
      <c r="AP265" s="63">
        <f>AO265-AN265</f>
        <v/>
      </c>
      <c r="AQ265" s="61">
        <f>SUMIFS([1]инфо!$H$15:$H$28,[1]инфо!$A$15:$A$28,F265)</f>
        <v/>
      </c>
      <c r="AR265" s="62">
        <f>IF(H264=0,0,AC265/H264)</f>
        <v/>
      </c>
      <c r="AS265" s="63">
        <f>AR265-AQ265</f>
        <v/>
      </c>
      <c r="AT265" s="61">
        <f>SUMIFS([1]инфо!$I$15:$I$28,[1]инфо!$A$15:$A$28,F265)</f>
        <v/>
      </c>
      <c r="AU265" s="62">
        <f>IF(H265=0,0,AD265/H265)</f>
        <v/>
      </c>
      <c r="AV265" s="63">
        <f>AU265-AT265</f>
        <v/>
      </c>
      <c r="AX265" s="59">
        <f>SUMIFS([1]инфо!$C$15:$C$28,[1]инфо!$A$15:$A$28,F265)*H264</f>
        <v/>
      </c>
    </row>
    <row r="266">
      <c r="A266" s="71">
        <f>A264+1</f>
        <v/>
      </c>
      <c r="B266" s="86" t="n"/>
      <c r="C266" s="77" t="n"/>
      <c r="D266" s="78" t="n"/>
      <c r="E266" s="66" t="n"/>
      <c r="F266" s="67" t="n"/>
      <c r="G266" s="68" t="n"/>
      <c r="H266" s="68" t="n"/>
      <c r="I266" s="57">
        <f>IFERROR(H266*VLOOKUP(F266,[1]инфо!$A$15:$C$28,3,FALSE)/1000,0)</f>
        <v/>
      </c>
      <c r="J266" s="55" t="n"/>
      <c r="K266" s="55" t="n"/>
      <c r="L266" s="55" t="n"/>
      <c r="M266" s="55" t="n"/>
      <c r="N266" s="56" t="n"/>
      <c r="O266" s="79" t="n"/>
      <c r="P266" s="79" t="n"/>
      <c r="Q266" s="79" t="n"/>
      <c r="R266" s="79" t="n"/>
      <c r="S266" s="80">
        <f>SUM(O266:R266)</f>
        <v/>
      </c>
      <c r="T266" s="77" t="n"/>
      <c r="U266" s="78" t="n"/>
      <c r="V266" s="79" t="n"/>
      <c r="W266" s="68" t="n"/>
      <c r="X266" s="79" t="n"/>
      <c r="Y266" s="77" t="n"/>
      <c r="Z266" s="79" t="n"/>
      <c r="AA266" s="79" t="n"/>
      <c r="AB266" s="79" t="n"/>
      <c r="AC266" s="69" t="n"/>
      <c r="AD266" s="78" t="n"/>
      <c r="AE266" s="81">
        <f>SUMIFS([1]инфо!$D$15:$D$28,[1]инфо!$A$15:$A$28,F266)</f>
        <v/>
      </c>
      <c r="AF266" s="62">
        <f>IF(H266=0,0,N266/H266)</f>
        <v/>
      </c>
      <c r="AG266" s="82">
        <f>AF266-AE266</f>
        <v/>
      </c>
      <c r="AH266" s="81">
        <f>SUMIFS([1]инфо!$E$15:$E$28,[1]инфо!$A$15:$A$28,F266)</f>
        <v/>
      </c>
      <c r="AI266" s="64">
        <f>IF(H266=0,0,S266/H266)</f>
        <v/>
      </c>
      <c r="AJ266" s="82">
        <f>AI266-AH266</f>
        <v/>
      </c>
      <c r="AK266" s="81">
        <f>SUMIFS([1]инфо!$F$15:$F$28,[1]инфо!$A$15:$A$28,F266)</f>
        <v/>
      </c>
      <c r="AL266" s="64">
        <f>IF(H266=0,0,Y266/H266)</f>
        <v/>
      </c>
      <c r="AM266" s="82">
        <f>AL266-AK266</f>
        <v/>
      </c>
      <c r="AN266" s="81">
        <f>SUMIFS([1]инфо!$G$15:$G$28,[1]инфо!$A$15:$A$28,F266)</f>
        <v/>
      </c>
      <c r="AO266" s="64">
        <f>IF(H266=0,0,AA266/H266)</f>
        <v/>
      </c>
      <c r="AP266" s="82">
        <f>AO266-AN266</f>
        <v/>
      </c>
      <c r="AQ266" s="81">
        <f>SUMIFS([1]инфо!$H$15:$H$28,[1]инфо!$A$15:$A$28,F266)</f>
        <v/>
      </c>
      <c r="AR266" s="85">
        <f>IF(H265=0,0,AC266/H265)</f>
        <v/>
      </c>
      <c r="AS266" s="82">
        <f>AR266-AQ266</f>
        <v/>
      </c>
      <c r="AT266" s="81">
        <f>SUMIFS([1]инфо!$I$15:$I$28,[1]инфо!$A$15:$A$28,F266)</f>
        <v/>
      </c>
      <c r="AU266" s="62">
        <f>IF(H266=0,0,AD266/H266)</f>
        <v/>
      </c>
      <c r="AV266" s="82">
        <f>AU266-AT266</f>
        <v/>
      </c>
      <c r="AX266" s="80">
        <f>SUMIFS([1]инфо!$C$15:$C$28,[1]инфо!$A$15:$A$28,F266)*H265</f>
        <v/>
      </c>
    </row>
    <row r="267">
      <c r="A267" s="71">
        <f>A265+1</f>
        <v/>
      </c>
      <c r="B267" s="86" t="n"/>
      <c r="C267" s="72" t="n"/>
      <c r="D267" s="73" t="n"/>
      <c r="E267" s="66" t="n"/>
      <c r="F267" s="67" t="n"/>
      <c r="G267" s="68" t="n"/>
      <c r="H267" s="68" t="n"/>
      <c r="I267" s="57">
        <f>IFERROR(H267*VLOOKUP(F267,[1]инфо!$A$15:$C$28,3,FALSE)/1000,0)</f>
        <v/>
      </c>
      <c r="J267" s="55" t="n"/>
      <c r="K267" s="55" t="n"/>
      <c r="L267" s="55" t="n"/>
      <c r="M267" s="55" t="n"/>
      <c r="N267" s="67" t="n"/>
      <c r="O267" s="74" t="n"/>
      <c r="P267" s="74" t="n"/>
      <c r="Q267" s="74" t="n"/>
      <c r="R267" s="74" t="n"/>
      <c r="S267" s="70">
        <f>SUM(O267:R267)</f>
        <v/>
      </c>
      <c r="T267" s="72" t="n"/>
      <c r="U267" s="73" t="n"/>
      <c r="V267" s="74" t="n"/>
      <c r="W267" s="68" t="n"/>
      <c r="X267" s="74" t="n"/>
      <c r="Y267" s="72" t="n"/>
      <c r="Z267" s="74" t="n"/>
      <c r="AA267" s="74" t="n"/>
      <c r="AB267" s="74" t="n"/>
      <c r="AC267" s="69" t="n"/>
      <c r="AD267" s="73" t="n"/>
      <c r="AE267" s="75">
        <f>SUMIFS([1]инфо!$D$15:$D$28,[1]инфо!$A$15:$A$28,F267)</f>
        <v/>
      </c>
      <c r="AF267" s="62">
        <f>IF(H267=0,0,N267/H267)</f>
        <v/>
      </c>
      <c r="AG267" s="76">
        <f>AF267-AE267</f>
        <v/>
      </c>
      <c r="AH267" s="75">
        <f>SUMIFS([1]инфо!$E$15:$E$28,[1]инфо!$A$15:$A$28,F267)</f>
        <v/>
      </c>
      <c r="AI267" s="64">
        <f>IF(H267=0,0,S267/H267)</f>
        <v/>
      </c>
      <c r="AJ267" s="76">
        <f>AI267-AH267</f>
        <v/>
      </c>
      <c r="AK267" s="75">
        <f>SUMIFS([1]инфо!$F$15:$F$28,[1]инфо!$A$15:$A$28,F267)</f>
        <v/>
      </c>
      <c r="AL267" s="64">
        <f>IF(H267=0,0,Y267/H267)</f>
        <v/>
      </c>
      <c r="AM267" s="76">
        <f>AL267-AK267</f>
        <v/>
      </c>
      <c r="AN267" s="75">
        <f>SUMIFS([1]инфо!$G$15:$G$28,[1]инфо!$A$15:$A$28,F267)</f>
        <v/>
      </c>
      <c r="AO267" s="64">
        <f>IF(H267=0,0,AA267/H267)</f>
        <v/>
      </c>
      <c r="AP267" s="76">
        <f>AO267-AN267</f>
        <v/>
      </c>
      <c r="AQ267" s="75">
        <f>SUMIFS([1]инфо!$H$15:$H$28,[1]инфо!$A$15:$A$28,F267)</f>
        <v/>
      </c>
      <c r="AR267" s="64">
        <f>IF(H266=0,0,AC267/H266)</f>
        <v/>
      </c>
      <c r="AS267" s="76">
        <f>AR267-AQ267</f>
        <v/>
      </c>
      <c r="AT267" s="75">
        <f>SUMIFS([1]инфо!$I$15:$I$28,[1]инфо!$A$15:$A$28,F267)</f>
        <v/>
      </c>
      <c r="AU267" s="62">
        <f>IF(H267=0,0,AD267/H267)</f>
        <v/>
      </c>
      <c r="AV267" s="76">
        <f>AU267-AT267</f>
        <v/>
      </c>
      <c r="AX267" s="70">
        <f>SUMIFS([1]инфо!$C$15:$C$28,[1]инфо!$A$15:$A$28,F267)*H266</f>
        <v/>
      </c>
    </row>
    <row r="268">
      <c r="A268" s="71">
        <f>A266+1</f>
        <v/>
      </c>
      <c r="B268" s="86" t="n"/>
      <c r="C268" s="52" t="n"/>
      <c r="D268" s="53" t="n"/>
      <c r="E268" s="66" t="n"/>
      <c r="F268" s="67" t="n"/>
      <c r="G268" s="68" t="n"/>
      <c r="H268" s="68" t="n"/>
      <c r="I268" s="57">
        <f>IFERROR(H268*VLOOKUP(F268,[1]инфо!$A$15:$C$28,3,FALSE)/1000,0)</f>
        <v/>
      </c>
      <c r="J268" s="55" t="n"/>
      <c r="K268" s="55" t="n"/>
      <c r="L268" s="55" t="n"/>
      <c r="M268" s="55" t="n"/>
      <c r="N268" s="55" t="n"/>
      <c r="O268" s="58" t="n"/>
      <c r="P268" s="58" t="n"/>
      <c r="Q268" s="58" t="n"/>
      <c r="R268" s="58" t="n"/>
      <c r="S268" s="59">
        <f>SUM(O268:R268)</f>
        <v/>
      </c>
      <c r="T268" s="52" t="n"/>
      <c r="U268" s="53" t="n"/>
      <c r="V268" s="58" t="n"/>
      <c r="W268" s="68" t="n"/>
      <c r="X268" s="58" t="n"/>
      <c r="Y268" s="52" t="n"/>
      <c r="Z268" s="58" t="n"/>
      <c r="AA268" s="58" t="n"/>
      <c r="AB268" s="58" t="n"/>
      <c r="AC268" s="69" t="n"/>
      <c r="AD268" s="53" t="n"/>
      <c r="AE268" s="61">
        <f>SUMIFS([1]инфо!$D$15:$D$28,[1]инфо!$A$15:$A$28,F268)</f>
        <v/>
      </c>
      <c r="AF268" s="62">
        <f>IF(H268=0,0,N268/H268)</f>
        <v/>
      </c>
      <c r="AG268" s="63">
        <f>AF268-AE268</f>
        <v/>
      </c>
      <c r="AH268" s="61">
        <f>SUMIFS([1]инфо!$E$15:$E$28,[1]инфо!$A$15:$A$28,F268)</f>
        <v/>
      </c>
      <c r="AI268" s="64">
        <f>IF(H268=0,0,S268/H268)</f>
        <v/>
      </c>
      <c r="AJ268" s="63">
        <f>AI268-AH268</f>
        <v/>
      </c>
      <c r="AK268" s="61">
        <f>SUMIFS([1]инфо!$F$15:$F$28,[1]инфо!$A$15:$A$28,F268)</f>
        <v/>
      </c>
      <c r="AL268" s="64">
        <f>IF(H268=0,0,Y268/H268)</f>
        <v/>
      </c>
      <c r="AM268" s="63">
        <f>AL268-AK268</f>
        <v/>
      </c>
      <c r="AN268" s="61">
        <f>SUMIFS([1]инфо!$G$15:$G$28,[1]инфо!$A$15:$A$28,F268)</f>
        <v/>
      </c>
      <c r="AO268" s="64">
        <f>IF(H268=0,0,AA268/H268)</f>
        <v/>
      </c>
      <c r="AP268" s="63">
        <f>AO268-AN268</f>
        <v/>
      </c>
      <c r="AQ268" s="61">
        <f>SUMIFS([1]инфо!$H$15:$H$28,[1]инфо!$A$15:$A$28,F268)</f>
        <v/>
      </c>
      <c r="AR268" s="62">
        <f>IF(H267=0,0,AC268/H267)</f>
        <v/>
      </c>
      <c r="AS268" s="63">
        <f>AR268-AQ268</f>
        <v/>
      </c>
      <c r="AT268" s="61">
        <f>SUMIFS([1]инфо!$I$15:$I$28,[1]инфо!$A$15:$A$28,F268)</f>
        <v/>
      </c>
      <c r="AU268" s="62">
        <f>IF(H268=0,0,AD268/H268)</f>
        <v/>
      </c>
      <c r="AV268" s="63">
        <f>AU268-AT268</f>
        <v/>
      </c>
      <c r="AX268" s="59">
        <f>SUMIFS([1]инфо!$C$15:$C$28,[1]инфо!$A$15:$A$28,F268)*H267</f>
        <v/>
      </c>
    </row>
    <row r="269">
      <c r="A269" s="71">
        <f>A267+1</f>
        <v/>
      </c>
      <c r="B269" s="86" t="n"/>
      <c r="C269" s="52" t="n"/>
      <c r="D269" s="53" t="n"/>
      <c r="E269" s="66" t="n"/>
      <c r="F269" s="67" t="n"/>
      <c r="G269" s="68" t="n"/>
      <c r="H269" s="68" t="n"/>
      <c r="I269" s="57">
        <f>IFERROR(H269*VLOOKUP(F269,[1]инфо!$A$15:$C$28,3,FALSE)/1000,0)</f>
        <v/>
      </c>
      <c r="J269" s="55" t="n"/>
      <c r="K269" s="55" t="n"/>
      <c r="L269" s="55" t="n"/>
      <c r="M269" s="55" t="n"/>
      <c r="N269" s="55" t="n"/>
      <c r="O269" s="58" t="n"/>
      <c r="P269" s="58" t="n"/>
      <c r="Q269" s="58" t="n"/>
      <c r="R269" s="58" t="n"/>
      <c r="S269" s="59">
        <f>SUM(O269:R269)</f>
        <v/>
      </c>
      <c r="T269" s="52" t="n"/>
      <c r="U269" s="53" t="n"/>
      <c r="V269" s="58" t="n"/>
      <c r="W269" s="68" t="n"/>
      <c r="X269" s="58" t="n"/>
      <c r="Y269" s="52" t="n"/>
      <c r="Z269" s="58" t="n"/>
      <c r="AA269" s="58" t="n"/>
      <c r="AB269" s="58" t="n"/>
      <c r="AC269" s="69" t="n"/>
      <c r="AD269" s="53" t="n"/>
      <c r="AE269" s="61">
        <f>SUMIFS([1]инфо!$D$15:$D$28,[1]инфо!$A$15:$A$28,F269)</f>
        <v/>
      </c>
      <c r="AF269" s="62">
        <f>IF(H269=0,0,N269/H269)</f>
        <v/>
      </c>
      <c r="AG269" s="63">
        <f>AF269-AE269</f>
        <v/>
      </c>
      <c r="AH269" s="61">
        <f>SUMIFS([1]инфо!$E$15:$E$28,[1]инфо!$A$15:$A$28,F269)</f>
        <v/>
      </c>
      <c r="AI269" s="64">
        <f>IF(H269=0,0,S269/H269)</f>
        <v/>
      </c>
      <c r="AJ269" s="63">
        <f>AI269-AH269</f>
        <v/>
      </c>
      <c r="AK269" s="61">
        <f>SUMIFS([1]инфо!$F$15:$F$28,[1]инфо!$A$15:$A$28,F269)</f>
        <v/>
      </c>
      <c r="AL269" s="64">
        <f>IF(H269=0,0,Y269/H269)</f>
        <v/>
      </c>
      <c r="AM269" s="63">
        <f>AL269-AK269</f>
        <v/>
      </c>
      <c r="AN269" s="61">
        <f>SUMIFS([1]инфо!$G$15:$G$28,[1]инфо!$A$15:$A$28,F269)</f>
        <v/>
      </c>
      <c r="AO269" s="64">
        <f>IF(H269=0,0,AA269/H269)</f>
        <v/>
      </c>
      <c r="AP269" s="63">
        <f>AO269-AN269</f>
        <v/>
      </c>
      <c r="AQ269" s="61">
        <f>SUMIFS([1]инфо!$H$15:$H$28,[1]инфо!$A$15:$A$28,F269)</f>
        <v/>
      </c>
      <c r="AR269" s="62">
        <f>IF(H268=0,0,AC269/H268)</f>
        <v/>
      </c>
      <c r="AS269" s="63">
        <f>AR269-AQ269</f>
        <v/>
      </c>
      <c r="AT269" s="61">
        <f>SUMIFS([1]инфо!$I$15:$I$28,[1]инфо!$A$15:$A$28,F269)</f>
        <v/>
      </c>
      <c r="AU269" s="62">
        <f>IF(H269=0,0,AD269/H269)</f>
        <v/>
      </c>
      <c r="AV269" s="63">
        <f>AU269-AT269</f>
        <v/>
      </c>
      <c r="AX269" s="59">
        <f>SUMIFS([1]инфо!$C$15:$C$28,[1]инфо!$A$15:$A$28,F269)*H268</f>
        <v/>
      </c>
    </row>
    <row r="270">
      <c r="A270" s="71">
        <f>A268+1</f>
        <v/>
      </c>
      <c r="B270" s="86" t="n"/>
      <c r="C270" s="77" t="n"/>
      <c r="D270" s="78" t="n"/>
      <c r="E270" s="66" t="n"/>
      <c r="F270" s="67" t="n"/>
      <c r="G270" s="68" t="n"/>
      <c r="H270" s="68" t="n"/>
      <c r="I270" s="57">
        <f>IFERROR(H270*VLOOKUP(F270,[1]инфо!$A$15:$C$28,3,FALSE)/1000,0)</f>
        <v/>
      </c>
      <c r="J270" s="55" t="n"/>
      <c r="K270" s="55" t="n"/>
      <c r="L270" s="55" t="n"/>
      <c r="M270" s="55" t="n"/>
      <c r="N270" s="56" t="n"/>
      <c r="O270" s="79" t="n"/>
      <c r="P270" s="79" t="n"/>
      <c r="Q270" s="79" t="n"/>
      <c r="R270" s="79" t="n"/>
      <c r="S270" s="80">
        <f>SUM(O270:R270)</f>
        <v/>
      </c>
      <c r="T270" s="77" t="n"/>
      <c r="U270" s="78" t="n"/>
      <c r="V270" s="79" t="n"/>
      <c r="W270" s="68" t="n"/>
      <c r="X270" s="79" t="n"/>
      <c r="Y270" s="77" t="n"/>
      <c r="Z270" s="79" t="n"/>
      <c r="AA270" s="79" t="n"/>
      <c r="AB270" s="79" t="n"/>
      <c r="AC270" s="69" t="n"/>
      <c r="AD270" s="78" t="n"/>
      <c r="AE270" s="81">
        <f>SUMIFS([1]инфо!$D$15:$D$28,[1]инфо!$A$15:$A$28,F270)</f>
        <v/>
      </c>
      <c r="AF270" s="62">
        <f>IF(H270=0,0,N270/H270)</f>
        <v/>
      </c>
      <c r="AG270" s="82">
        <f>AF270-AE270</f>
        <v/>
      </c>
      <c r="AH270" s="81">
        <f>SUMIFS([1]инфо!$E$15:$E$28,[1]инфо!$A$15:$A$28,F270)</f>
        <v/>
      </c>
      <c r="AI270" s="64">
        <f>IF(H270=0,0,S270/H270)</f>
        <v/>
      </c>
      <c r="AJ270" s="82">
        <f>AI270-AH270</f>
        <v/>
      </c>
      <c r="AK270" s="81">
        <f>SUMIFS([1]инфо!$F$15:$F$28,[1]инфо!$A$15:$A$28,F270)</f>
        <v/>
      </c>
      <c r="AL270" s="64">
        <f>IF(H270=0,0,Y270/H270)</f>
        <v/>
      </c>
      <c r="AM270" s="82">
        <f>AL270-AK270</f>
        <v/>
      </c>
      <c r="AN270" s="81">
        <f>SUMIFS([1]инфо!$G$15:$G$28,[1]инфо!$A$15:$A$28,F270)</f>
        <v/>
      </c>
      <c r="AO270" s="64">
        <f>IF(H270=0,0,AA270/H270)</f>
        <v/>
      </c>
      <c r="AP270" s="82">
        <f>AO270-AN270</f>
        <v/>
      </c>
      <c r="AQ270" s="81">
        <f>SUMIFS([1]инфо!$H$15:$H$28,[1]инфо!$A$15:$A$28,F270)</f>
        <v/>
      </c>
      <c r="AR270" s="85">
        <f>IF(H269=0,0,AC270/H269)</f>
        <v/>
      </c>
      <c r="AS270" s="82">
        <f>AR270-AQ270</f>
        <v/>
      </c>
      <c r="AT270" s="81">
        <f>SUMIFS([1]инфо!$I$15:$I$28,[1]инфо!$A$15:$A$28,F270)</f>
        <v/>
      </c>
      <c r="AU270" s="62">
        <f>IF(H270=0,0,AD270/H270)</f>
        <v/>
      </c>
      <c r="AV270" s="82">
        <f>AU270-AT270</f>
        <v/>
      </c>
      <c r="AX270" s="80">
        <f>SUMIFS([1]инфо!$C$15:$C$28,[1]инфо!$A$15:$A$28,F270)*H269</f>
        <v/>
      </c>
    </row>
    <row r="271">
      <c r="A271" s="71">
        <f>A269+1</f>
        <v/>
      </c>
      <c r="B271" s="86" t="n"/>
      <c r="C271" s="72" t="n"/>
      <c r="D271" s="73" t="n"/>
      <c r="E271" s="66" t="n"/>
      <c r="F271" s="67" t="n"/>
      <c r="G271" s="68" t="n"/>
      <c r="H271" s="68" t="n"/>
      <c r="I271" s="57">
        <f>IFERROR(H271*VLOOKUP(F271,[1]инфо!$A$15:$C$28,3,FALSE)/1000,0)</f>
        <v/>
      </c>
      <c r="J271" s="55" t="n"/>
      <c r="K271" s="55" t="n"/>
      <c r="L271" s="55" t="n"/>
      <c r="M271" s="55" t="n"/>
      <c r="N271" s="67" t="n"/>
      <c r="O271" s="74" t="n"/>
      <c r="P271" s="74" t="n"/>
      <c r="Q271" s="74" t="n"/>
      <c r="R271" s="74" t="n"/>
      <c r="S271" s="70">
        <f>SUM(O271:R271)</f>
        <v/>
      </c>
      <c r="T271" s="72" t="n"/>
      <c r="U271" s="73" t="n"/>
      <c r="V271" s="74" t="n"/>
      <c r="W271" s="68" t="n"/>
      <c r="X271" s="74" t="n"/>
      <c r="Y271" s="72" t="n"/>
      <c r="Z271" s="74" t="n"/>
      <c r="AA271" s="74" t="n"/>
      <c r="AB271" s="74" t="n"/>
      <c r="AC271" s="69" t="n"/>
      <c r="AD271" s="73" t="n"/>
      <c r="AE271" s="75">
        <f>SUMIFS([1]инфо!$D$15:$D$28,[1]инфо!$A$15:$A$28,F271)</f>
        <v/>
      </c>
      <c r="AF271" s="62">
        <f>IF(H271=0,0,N271/H271)</f>
        <v/>
      </c>
      <c r="AG271" s="76">
        <f>AF271-AE271</f>
        <v/>
      </c>
      <c r="AH271" s="75">
        <f>SUMIFS([1]инфо!$E$15:$E$28,[1]инфо!$A$15:$A$28,F271)</f>
        <v/>
      </c>
      <c r="AI271" s="64">
        <f>IF(H271=0,0,S271/H271)</f>
        <v/>
      </c>
      <c r="AJ271" s="76">
        <f>AI271-AH271</f>
        <v/>
      </c>
      <c r="AK271" s="75">
        <f>SUMIFS([1]инфо!$F$15:$F$28,[1]инфо!$A$15:$A$28,F271)</f>
        <v/>
      </c>
      <c r="AL271" s="64">
        <f>IF(H271=0,0,Y271/H271)</f>
        <v/>
      </c>
      <c r="AM271" s="76">
        <f>AL271-AK271</f>
        <v/>
      </c>
      <c r="AN271" s="75">
        <f>SUMIFS([1]инфо!$G$15:$G$28,[1]инфо!$A$15:$A$28,F271)</f>
        <v/>
      </c>
      <c r="AO271" s="64">
        <f>IF(H271=0,0,AA271/H271)</f>
        <v/>
      </c>
      <c r="AP271" s="76">
        <f>AO271-AN271</f>
        <v/>
      </c>
      <c r="AQ271" s="75">
        <f>SUMIFS([1]инфо!$H$15:$H$28,[1]инфо!$A$15:$A$28,F271)</f>
        <v/>
      </c>
      <c r="AR271" s="64">
        <f>IF(H270=0,0,AC271/H270)</f>
        <v/>
      </c>
      <c r="AS271" s="76">
        <f>AR271-AQ271</f>
        <v/>
      </c>
      <c r="AT271" s="75">
        <f>SUMIFS([1]инфо!$I$15:$I$28,[1]инфо!$A$15:$A$28,F271)</f>
        <v/>
      </c>
      <c r="AU271" s="62">
        <f>IF(H271=0,0,AD271/H271)</f>
        <v/>
      </c>
      <c r="AV271" s="76">
        <f>AU271-AT271</f>
        <v/>
      </c>
      <c r="AX271" s="70">
        <f>SUMIFS([1]инфо!$C$15:$C$28,[1]инфо!$A$15:$A$28,F271)*H270</f>
        <v/>
      </c>
    </row>
    <row r="272">
      <c r="A272" s="71">
        <f>A270+1</f>
        <v/>
      </c>
      <c r="B272" s="86" t="n"/>
      <c r="C272" s="52" t="n"/>
      <c r="D272" s="53" t="n"/>
      <c r="E272" s="66" t="n"/>
      <c r="F272" s="67" t="n"/>
      <c r="G272" s="68" t="n"/>
      <c r="H272" s="68" t="n"/>
      <c r="I272" s="57">
        <f>IFERROR(H272*VLOOKUP(F272,[1]инфо!$A$15:$C$28,3,FALSE)/1000,0)</f>
        <v/>
      </c>
      <c r="J272" s="55" t="n"/>
      <c r="K272" s="55" t="n"/>
      <c r="L272" s="55" t="n"/>
      <c r="M272" s="55" t="n"/>
      <c r="N272" s="55" t="n"/>
      <c r="O272" s="58" t="n"/>
      <c r="P272" s="58" t="n"/>
      <c r="Q272" s="58" t="n"/>
      <c r="R272" s="58" t="n"/>
      <c r="S272" s="59">
        <f>SUM(O272:R272)</f>
        <v/>
      </c>
      <c r="T272" s="52" t="n"/>
      <c r="U272" s="53" t="n"/>
      <c r="V272" s="58" t="n"/>
      <c r="W272" s="68" t="n"/>
      <c r="X272" s="58" t="n"/>
      <c r="Y272" s="52" t="n"/>
      <c r="Z272" s="58" t="n"/>
      <c r="AA272" s="58" t="n"/>
      <c r="AB272" s="58" t="n"/>
      <c r="AC272" s="69" t="n"/>
      <c r="AD272" s="53" t="n"/>
      <c r="AE272" s="61">
        <f>SUMIFS([1]инфо!$D$15:$D$28,[1]инфо!$A$15:$A$28,F272)</f>
        <v/>
      </c>
      <c r="AF272" s="62">
        <f>IF(H272=0,0,N272/H272)</f>
        <v/>
      </c>
      <c r="AG272" s="63">
        <f>AF272-AE272</f>
        <v/>
      </c>
      <c r="AH272" s="61">
        <f>SUMIFS([1]инфо!$E$15:$E$28,[1]инфо!$A$15:$A$28,F272)</f>
        <v/>
      </c>
      <c r="AI272" s="64">
        <f>IF(H272=0,0,S272/H272)</f>
        <v/>
      </c>
      <c r="AJ272" s="63">
        <f>AI272-AH272</f>
        <v/>
      </c>
      <c r="AK272" s="61">
        <f>SUMIFS([1]инфо!$F$15:$F$28,[1]инфо!$A$15:$A$28,F272)</f>
        <v/>
      </c>
      <c r="AL272" s="64">
        <f>IF(H272=0,0,Y272/H272)</f>
        <v/>
      </c>
      <c r="AM272" s="63">
        <f>AL272-AK272</f>
        <v/>
      </c>
      <c r="AN272" s="61">
        <f>SUMIFS([1]инфо!$G$15:$G$28,[1]инфо!$A$15:$A$28,F272)</f>
        <v/>
      </c>
      <c r="AO272" s="64">
        <f>IF(H272=0,0,AA272/H272)</f>
        <v/>
      </c>
      <c r="AP272" s="63">
        <f>AO272-AN272</f>
        <v/>
      </c>
      <c r="AQ272" s="61">
        <f>SUMIFS([1]инфо!$H$15:$H$28,[1]инфо!$A$15:$A$28,F272)</f>
        <v/>
      </c>
      <c r="AR272" s="62">
        <f>IF(H271=0,0,AC272/H271)</f>
        <v/>
      </c>
      <c r="AS272" s="63">
        <f>AR272-AQ272</f>
        <v/>
      </c>
      <c r="AT272" s="61">
        <f>SUMIFS([1]инфо!$I$15:$I$28,[1]инфо!$A$15:$A$28,F272)</f>
        <v/>
      </c>
      <c r="AU272" s="62">
        <f>IF(H272=0,0,AD272/H272)</f>
        <v/>
      </c>
      <c r="AV272" s="63">
        <f>AU272-AT272</f>
        <v/>
      </c>
      <c r="AX272" s="59">
        <f>SUMIFS([1]инфо!$C$15:$C$28,[1]инфо!$A$15:$A$28,F272)*H271</f>
        <v/>
      </c>
    </row>
    <row r="273">
      <c r="A273" s="71">
        <f>A271+1</f>
        <v/>
      </c>
      <c r="B273" s="86" t="n"/>
      <c r="C273" s="52" t="n"/>
      <c r="D273" s="53" t="n"/>
      <c r="E273" s="66" t="n"/>
      <c r="F273" s="67" t="n"/>
      <c r="G273" s="68" t="n"/>
      <c r="H273" s="68" t="n"/>
      <c r="I273" s="57">
        <f>IFERROR(H273*VLOOKUP(F273,[1]инфо!$A$15:$C$28,3,FALSE)/1000,0)</f>
        <v/>
      </c>
      <c r="J273" s="55" t="n"/>
      <c r="K273" s="55" t="n"/>
      <c r="L273" s="55" t="n"/>
      <c r="M273" s="55" t="n"/>
      <c r="N273" s="55" t="n"/>
      <c r="O273" s="58" t="n"/>
      <c r="P273" s="58" t="n"/>
      <c r="Q273" s="58" t="n"/>
      <c r="R273" s="58" t="n"/>
      <c r="S273" s="59">
        <f>SUM(O273:R273)</f>
        <v/>
      </c>
      <c r="T273" s="52" t="n"/>
      <c r="U273" s="53" t="n"/>
      <c r="V273" s="58" t="n"/>
      <c r="W273" s="68" t="n"/>
      <c r="X273" s="58" t="n"/>
      <c r="Y273" s="52" t="n"/>
      <c r="Z273" s="58" t="n"/>
      <c r="AA273" s="58" t="n"/>
      <c r="AB273" s="58" t="n"/>
      <c r="AC273" s="69" t="n"/>
      <c r="AD273" s="53" t="n"/>
      <c r="AE273" s="61">
        <f>SUMIFS([1]инфо!$D$15:$D$28,[1]инфо!$A$15:$A$28,F273)</f>
        <v/>
      </c>
      <c r="AF273" s="62">
        <f>IF(H273=0,0,N273/H273)</f>
        <v/>
      </c>
      <c r="AG273" s="63">
        <f>AF273-AE273</f>
        <v/>
      </c>
      <c r="AH273" s="61">
        <f>SUMIFS([1]инфо!$E$15:$E$28,[1]инфо!$A$15:$A$28,F273)</f>
        <v/>
      </c>
      <c r="AI273" s="64">
        <f>IF(H273=0,0,S273/H273)</f>
        <v/>
      </c>
      <c r="AJ273" s="63">
        <f>AI273-AH273</f>
        <v/>
      </c>
      <c r="AK273" s="61">
        <f>SUMIFS([1]инфо!$F$15:$F$28,[1]инфо!$A$15:$A$28,F273)</f>
        <v/>
      </c>
      <c r="AL273" s="64">
        <f>IF(H273=0,0,Y273/H273)</f>
        <v/>
      </c>
      <c r="AM273" s="63">
        <f>AL273-AK273</f>
        <v/>
      </c>
      <c r="AN273" s="61">
        <f>SUMIFS([1]инфо!$G$15:$G$28,[1]инфо!$A$15:$A$28,F273)</f>
        <v/>
      </c>
      <c r="AO273" s="64">
        <f>IF(H273=0,0,AA273/H273)</f>
        <v/>
      </c>
      <c r="AP273" s="63">
        <f>AO273-AN273</f>
        <v/>
      </c>
      <c r="AQ273" s="61">
        <f>SUMIFS([1]инфо!$H$15:$H$28,[1]инфо!$A$15:$A$28,F273)</f>
        <v/>
      </c>
      <c r="AR273" s="62">
        <f>IF(H272=0,0,AC273/H272)</f>
        <v/>
      </c>
      <c r="AS273" s="63">
        <f>AR273-AQ273</f>
        <v/>
      </c>
      <c r="AT273" s="61">
        <f>SUMIFS([1]инфо!$I$15:$I$28,[1]инфо!$A$15:$A$28,F273)</f>
        <v/>
      </c>
      <c r="AU273" s="62">
        <f>IF(H273=0,0,AD273/H273)</f>
        <v/>
      </c>
      <c r="AV273" s="63">
        <f>AU273-AT273</f>
        <v/>
      </c>
      <c r="AX273" s="59">
        <f>SUMIFS([1]инфо!$C$15:$C$28,[1]инфо!$A$15:$A$28,F273)*H272</f>
        <v/>
      </c>
    </row>
    <row r="274">
      <c r="A274" s="71">
        <f>A272+1</f>
        <v/>
      </c>
      <c r="B274" s="86" t="n"/>
      <c r="C274" s="77" t="n"/>
      <c r="D274" s="78" t="n"/>
      <c r="E274" s="66" t="n"/>
      <c r="F274" s="67" t="n"/>
      <c r="G274" s="68" t="n"/>
      <c r="H274" s="68" t="n"/>
      <c r="I274" s="57">
        <f>IFERROR(H274*VLOOKUP(F274,[1]инфо!$A$15:$C$28,3,FALSE)/1000,0)</f>
        <v/>
      </c>
      <c r="J274" s="55" t="n"/>
      <c r="K274" s="55" t="n"/>
      <c r="L274" s="55" t="n"/>
      <c r="M274" s="55" t="n"/>
      <c r="N274" s="56" t="n"/>
      <c r="O274" s="79" t="n"/>
      <c r="P274" s="79" t="n"/>
      <c r="Q274" s="79" t="n"/>
      <c r="R274" s="79" t="n"/>
      <c r="S274" s="80">
        <f>SUM(O274:R274)</f>
        <v/>
      </c>
      <c r="T274" s="77" t="n"/>
      <c r="U274" s="78" t="n"/>
      <c r="V274" s="79" t="n"/>
      <c r="W274" s="68" t="n"/>
      <c r="X274" s="79" t="n"/>
      <c r="Y274" s="77" t="n"/>
      <c r="Z274" s="79" t="n"/>
      <c r="AA274" s="79" t="n"/>
      <c r="AB274" s="79" t="n"/>
      <c r="AC274" s="69" t="n"/>
      <c r="AD274" s="78" t="n"/>
      <c r="AE274" s="81">
        <f>SUMIFS([1]инфо!$D$15:$D$28,[1]инфо!$A$15:$A$28,F274)</f>
        <v/>
      </c>
      <c r="AF274" s="62">
        <f>IF(H274=0,0,N274/H274)</f>
        <v/>
      </c>
      <c r="AG274" s="82">
        <f>AF274-AE274</f>
        <v/>
      </c>
      <c r="AH274" s="81">
        <f>SUMIFS([1]инфо!$E$15:$E$28,[1]инфо!$A$15:$A$28,F274)</f>
        <v/>
      </c>
      <c r="AI274" s="64">
        <f>IF(H274=0,0,S274/H274)</f>
        <v/>
      </c>
      <c r="AJ274" s="82">
        <f>AI274-AH274</f>
        <v/>
      </c>
      <c r="AK274" s="81">
        <f>SUMIFS([1]инфо!$F$15:$F$28,[1]инфо!$A$15:$A$28,F274)</f>
        <v/>
      </c>
      <c r="AL274" s="64">
        <f>IF(H274=0,0,Y274/H274)</f>
        <v/>
      </c>
      <c r="AM274" s="82">
        <f>AL274-AK274</f>
        <v/>
      </c>
      <c r="AN274" s="81">
        <f>SUMIFS([1]инфо!$G$15:$G$28,[1]инфо!$A$15:$A$28,F274)</f>
        <v/>
      </c>
      <c r="AO274" s="64">
        <f>IF(H274=0,0,AA274/H274)</f>
        <v/>
      </c>
      <c r="AP274" s="82">
        <f>AO274-AN274</f>
        <v/>
      </c>
      <c r="AQ274" s="81">
        <f>SUMIFS([1]инфо!$H$15:$H$28,[1]инфо!$A$15:$A$28,F274)</f>
        <v/>
      </c>
      <c r="AR274" s="85">
        <f>IF(H273=0,0,AC274/H273)</f>
        <v/>
      </c>
      <c r="AS274" s="82">
        <f>AR274-AQ274</f>
        <v/>
      </c>
      <c r="AT274" s="81">
        <f>SUMIFS([1]инфо!$I$15:$I$28,[1]инфо!$A$15:$A$28,F274)</f>
        <v/>
      </c>
      <c r="AU274" s="62">
        <f>IF(H274=0,0,AD274/H274)</f>
        <v/>
      </c>
      <c r="AV274" s="82">
        <f>AU274-AT274</f>
        <v/>
      </c>
      <c r="AX274" s="80">
        <f>SUMIFS([1]инфо!$C$15:$C$28,[1]инфо!$A$15:$A$28,F274)*H273</f>
        <v/>
      </c>
    </row>
    <row r="275">
      <c r="A275" s="71">
        <f>A273+1</f>
        <v/>
      </c>
      <c r="B275" s="86" t="n"/>
      <c r="C275" s="72" t="n"/>
      <c r="D275" s="73" t="n"/>
      <c r="E275" s="66" t="n"/>
      <c r="F275" s="67" t="n"/>
      <c r="G275" s="68" t="n"/>
      <c r="H275" s="68" t="n"/>
      <c r="I275" s="57">
        <f>IFERROR(H275*VLOOKUP(F275,[1]инфо!$A$15:$C$28,3,FALSE)/1000,0)</f>
        <v/>
      </c>
      <c r="J275" s="55" t="n"/>
      <c r="K275" s="55" t="n"/>
      <c r="L275" s="55" t="n"/>
      <c r="M275" s="55" t="n"/>
      <c r="N275" s="67" t="n"/>
      <c r="O275" s="74" t="n"/>
      <c r="P275" s="74" t="n"/>
      <c r="Q275" s="74" t="n"/>
      <c r="R275" s="74" t="n"/>
      <c r="S275" s="70">
        <f>SUM(O275:R275)</f>
        <v/>
      </c>
      <c r="T275" s="72" t="n"/>
      <c r="U275" s="73" t="n"/>
      <c r="V275" s="74" t="n"/>
      <c r="W275" s="68" t="n"/>
      <c r="X275" s="74" t="n"/>
      <c r="Y275" s="72" t="n"/>
      <c r="Z275" s="74" t="n"/>
      <c r="AA275" s="74" t="n"/>
      <c r="AB275" s="74" t="n"/>
      <c r="AC275" s="69" t="n"/>
      <c r="AD275" s="73" t="n"/>
      <c r="AE275" s="75">
        <f>SUMIFS([1]инфо!$D$15:$D$28,[1]инфо!$A$15:$A$28,F275)</f>
        <v/>
      </c>
      <c r="AF275" s="62">
        <f>IF(H275=0,0,N275/H275)</f>
        <v/>
      </c>
      <c r="AG275" s="76">
        <f>AF275-AE275</f>
        <v/>
      </c>
      <c r="AH275" s="75">
        <f>SUMIFS([1]инфо!$E$15:$E$28,[1]инфо!$A$15:$A$28,F275)</f>
        <v/>
      </c>
      <c r="AI275" s="64">
        <f>IF(H275=0,0,S275/H275)</f>
        <v/>
      </c>
      <c r="AJ275" s="76">
        <f>AI275-AH275</f>
        <v/>
      </c>
      <c r="AK275" s="75">
        <f>SUMIFS([1]инфо!$F$15:$F$28,[1]инфо!$A$15:$A$28,F275)</f>
        <v/>
      </c>
      <c r="AL275" s="64">
        <f>IF(H275=0,0,Y275/H275)</f>
        <v/>
      </c>
      <c r="AM275" s="76">
        <f>AL275-AK275</f>
        <v/>
      </c>
      <c r="AN275" s="75">
        <f>SUMIFS([1]инфо!$G$15:$G$28,[1]инфо!$A$15:$A$28,F275)</f>
        <v/>
      </c>
      <c r="AO275" s="64">
        <f>IF(H275=0,0,AA275/H275)</f>
        <v/>
      </c>
      <c r="AP275" s="76">
        <f>AO275-AN275</f>
        <v/>
      </c>
      <c r="AQ275" s="75">
        <f>SUMIFS([1]инфо!$H$15:$H$28,[1]инфо!$A$15:$A$28,F275)</f>
        <v/>
      </c>
      <c r="AR275" s="64">
        <f>IF(H274=0,0,AC275/H274)</f>
        <v/>
      </c>
      <c r="AS275" s="76">
        <f>AR275-AQ275</f>
        <v/>
      </c>
      <c r="AT275" s="75">
        <f>SUMIFS([1]инфо!$I$15:$I$28,[1]инфо!$A$15:$A$28,F275)</f>
        <v/>
      </c>
      <c r="AU275" s="62">
        <f>IF(H275=0,0,AD275/H275)</f>
        <v/>
      </c>
      <c r="AV275" s="76">
        <f>AU275-AT275</f>
        <v/>
      </c>
      <c r="AX275" s="70">
        <f>SUMIFS([1]инфо!$C$15:$C$28,[1]инфо!$A$15:$A$28,F275)*H274</f>
        <v/>
      </c>
    </row>
    <row r="276">
      <c r="A276" s="71">
        <f>A274+1</f>
        <v/>
      </c>
      <c r="B276" s="86" t="n"/>
      <c r="C276" s="52" t="n"/>
      <c r="D276" s="53" t="n"/>
      <c r="E276" s="66" t="n"/>
      <c r="F276" s="67" t="n"/>
      <c r="G276" s="68" t="n"/>
      <c r="H276" s="68" t="n"/>
      <c r="I276" s="57">
        <f>IFERROR(H276*VLOOKUP(F276,[1]инфо!$A$15:$C$28,3,FALSE)/1000,0)</f>
        <v/>
      </c>
      <c r="J276" s="55" t="n"/>
      <c r="K276" s="55" t="n"/>
      <c r="L276" s="55" t="n"/>
      <c r="M276" s="55" t="n"/>
      <c r="N276" s="55" t="n"/>
      <c r="O276" s="58" t="n"/>
      <c r="P276" s="58" t="n"/>
      <c r="Q276" s="58" t="n"/>
      <c r="R276" s="58" t="n"/>
      <c r="S276" s="59">
        <f>SUM(O276:R276)</f>
        <v/>
      </c>
      <c r="T276" s="52" t="n"/>
      <c r="U276" s="53" t="n"/>
      <c r="V276" s="58" t="n"/>
      <c r="W276" s="68" t="n"/>
      <c r="X276" s="58" t="n"/>
      <c r="Y276" s="52" t="n"/>
      <c r="Z276" s="58" t="n"/>
      <c r="AA276" s="58" t="n"/>
      <c r="AB276" s="58" t="n"/>
      <c r="AC276" s="69" t="n"/>
      <c r="AD276" s="53" t="n"/>
      <c r="AE276" s="61">
        <f>SUMIFS([1]инфо!$D$15:$D$28,[1]инфо!$A$15:$A$28,F276)</f>
        <v/>
      </c>
      <c r="AF276" s="62">
        <f>IF(H276=0,0,N276/H276)</f>
        <v/>
      </c>
      <c r="AG276" s="63">
        <f>AF276-AE276</f>
        <v/>
      </c>
      <c r="AH276" s="61">
        <f>SUMIFS([1]инфо!$E$15:$E$28,[1]инфо!$A$15:$A$28,F276)</f>
        <v/>
      </c>
      <c r="AI276" s="64">
        <f>IF(H276=0,0,S276/H276)</f>
        <v/>
      </c>
      <c r="AJ276" s="63">
        <f>AI276-AH276</f>
        <v/>
      </c>
      <c r="AK276" s="61">
        <f>SUMIFS([1]инфо!$F$15:$F$28,[1]инфо!$A$15:$A$28,F276)</f>
        <v/>
      </c>
      <c r="AL276" s="64">
        <f>IF(H276=0,0,Y276/H276)</f>
        <v/>
      </c>
      <c r="AM276" s="63">
        <f>AL276-AK276</f>
        <v/>
      </c>
      <c r="AN276" s="61">
        <f>SUMIFS([1]инфо!$G$15:$G$28,[1]инфо!$A$15:$A$28,F276)</f>
        <v/>
      </c>
      <c r="AO276" s="64">
        <f>IF(H276=0,0,AA276/H276)</f>
        <v/>
      </c>
      <c r="AP276" s="63">
        <f>AO276-AN276</f>
        <v/>
      </c>
      <c r="AQ276" s="61">
        <f>SUMIFS([1]инфо!$H$15:$H$28,[1]инфо!$A$15:$A$28,F276)</f>
        <v/>
      </c>
      <c r="AR276" s="62">
        <f>IF(H275=0,0,AC276/H275)</f>
        <v/>
      </c>
      <c r="AS276" s="63">
        <f>AR276-AQ276</f>
        <v/>
      </c>
      <c r="AT276" s="61">
        <f>SUMIFS([1]инфо!$I$15:$I$28,[1]инфо!$A$15:$A$28,F276)</f>
        <v/>
      </c>
      <c r="AU276" s="62">
        <f>IF(H276=0,0,AD276/H276)</f>
        <v/>
      </c>
      <c r="AV276" s="63">
        <f>AU276-AT276</f>
        <v/>
      </c>
      <c r="AX276" s="59">
        <f>SUMIFS([1]инфо!$C$15:$C$28,[1]инфо!$A$15:$A$28,F276)*H275</f>
        <v/>
      </c>
    </row>
    <row r="277">
      <c r="A277" s="71">
        <f>A275+1</f>
        <v/>
      </c>
      <c r="B277" s="86" t="n"/>
      <c r="C277" s="52" t="n"/>
      <c r="D277" s="53" t="n"/>
      <c r="E277" s="66" t="n"/>
      <c r="F277" s="67" t="n"/>
      <c r="G277" s="68" t="n"/>
      <c r="H277" s="68" t="n"/>
      <c r="I277" s="57">
        <f>IFERROR(H277*VLOOKUP(F277,[1]инфо!$A$15:$C$28,3,FALSE)/1000,0)</f>
        <v/>
      </c>
      <c r="J277" s="55" t="n"/>
      <c r="K277" s="55" t="n"/>
      <c r="L277" s="55" t="n"/>
      <c r="M277" s="55" t="n"/>
      <c r="N277" s="55" t="n"/>
      <c r="O277" s="58" t="n"/>
      <c r="P277" s="58" t="n"/>
      <c r="Q277" s="58" t="n"/>
      <c r="R277" s="58" t="n"/>
      <c r="S277" s="59">
        <f>SUM(O277:R277)</f>
        <v/>
      </c>
      <c r="T277" s="52" t="n"/>
      <c r="U277" s="53" t="n"/>
      <c r="V277" s="58" t="n"/>
      <c r="W277" s="68" t="n"/>
      <c r="X277" s="58" t="n"/>
      <c r="Y277" s="52" t="n"/>
      <c r="Z277" s="58" t="n"/>
      <c r="AA277" s="58" t="n"/>
      <c r="AB277" s="58" t="n"/>
      <c r="AC277" s="69" t="n"/>
      <c r="AD277" s="53" t="n"/>
      <c r="AE277" s="61">
        <f>SUMIFS([1]инфо!$D$15:$D$28,[1]инфо!$A$15:$A$28,F277)</f>
        <v/>
      </c>
      <c r="AF277" s="62">
        <f>IF(H277=0,0,N277/H277)</f>
        <v/>
      </c>
      <c r="AG277" s="63">
        <f>AF277-AE277</f>
        <v/>
      </c>
      <c r="AH277" s="61">
        <f>SUMIFS([1]инфо!$E$15:$E$28,[1]инфо!$A$15:$A$28,F277)</f>
        <v/>
      </c>
      <c r="AI277" s="64">
        <f>IF(H277=0,0,S277/H277)</f>
        <v/>
      </c>
      <c r="AJ277" s="63">
        <f>AI277-AH277</f>
        <v/>
      </c>
      <c r="AK277" s="61">
        <f>SUMIFS([1]инфо!$F$15:$F$28,[1]инфо!$A$15:$A$28,F277)</f>
        <v/>
      </c>
      <c r="AL277" s="64">
        <f>IF(H277=0,0,Y277/H277)</f>
        <v/>
      </c>
      <c r="AM277" s="63">
        <f>AL277-AK277</f>
        <v/>
      </c>
      <c r="AN277" s="61">
        <f>SUMIFS([1]инфо!$G$15:$G$28,[1]инфо!$A$15:$A$28,F277)</f>
        <v/>
      </c>
      <c r="AO277" s="64">
        <f>IF(H277=0,0,AA277/H277)</f>
        <v/>
      </c>
      <c r="AP277" s="63">
        <f>AO277-AN277</f>
        <v/>
      </c>
      <c r="AQ277" s="61">
        <f>SUMIFS([1]инфо!$H$15:$H$28,[1]инфо!$A$15:$A$28,F277)</f>
        <v/>
      </c>
      <c r="AR277" s="62">
        <f>IF(H276=0,0,AC277/H276)</f>
        <v/>
      </c>
      <c r="AS277" s="63">
        <f>AR277-AQ277</f>
        <v/>
      </c>
      <c r="AT277" s="61">
        <f>SUMIFS([1]инфо!$I$15:$I$28,[1]инфо!$A$15:$A$28,F277)</f>
        <v/>
      </c>
      <c r="AU277" s="62">
        <f>IF(H277=0,0,AD277/H277)</f>
        <v/>
      </c>
      <c r="AV277" s="63">
        <f>AU277-AT277</f>
        <v/>
      </c>
      <c r="AX277" s="59">
        <f>SUMIFS([1]инфо!$C$15:$C$28,[1]инфо!$A$15:$A$28,F277)*H276</f>
        <v/>
      </c>
    </row>
    <row r="278">
      <c r="A278" s="71">
        <f>A276+1</f>
        <v/>
      </c>
      <c r="B278" s="86" t="n"/>
      <c r="C278" s="77" t="n"/>
      <c r="D278" s="78" t="n"/>
      <c r="E278" s="66" t="n"/>
      <c r="F278" s="67" t="n"/>
      <c r="G278" s="68" t="n"/>
      <c r="H278" s="68" t="n"/>
      <c r="I278" s="57">
        <f>IFERROR(H278*VLOOKUP(F278,[1]инфо!$A$15:$C$28,3,FALSE)/1000,0)</f>
        <v/>
      </c>
      <c r="J278" s="55" t="n"/>
      <c r="K278" s="55" t="n"/>
      <c r="L278" s="55" t="n"/>
      <c r="M278" s="55" t="n"/>
      <c r="N278" s="56" t="n"/>
      <c r="O278" s="79" t="n"/>
      <c r="P278" s="79" t="n"/>
      <c r="Q278" s="79" t="n"/>
      <c r="R278" s="79" t="n"/>
      <c r="S278" s="80">
        <f>SUM(O278:R278)</f>
        <v/>
      </c>
      <c r="T278" s="77" t="n"/>
      <c r="U278" s="78" t="n"/>
      <c r="V278" s="79" t="n"/>
      <c r="W278" s="68" t="n"/>
      <c r="X278" s="79" t="n"/>
      <c r="Y278" s="77" t="n"/>
      <c r="Z278" s="79" t="n"/>
      <c r="AA278" s="79" t="n"/>
      <c r="AB278" s="79" t="n"/>
      <c r="AC278" s="69" t="n"/>
      <c r="AD278" s="78" t="n"/>
      <c r="AE278" s="81">
        <f>SUMIFS([1]инфо!$D$15:$D$28,[1]инфо!$A$15:$A$28,F278)</f>
        <v/>
      </c>
      <c r="AF278" s="62">
        <f>IF(H278=0,0,N278/H278)</f>
        <v/>
      </c>
      <c r="AG278" s="82">
        <f>AF278-AE278</f>
        <v/>
      </c>
      <c r="AH278" s="81">
        <f>SUMIFS([1]инфо!$E$15:$E$28,[1]инфо!$A$15:$A$28,F278)</f>
        <v/>
      </c>
      <c r="AI278" s="64">
        <f>IF(H278=0,0,S278/H278)</f>
        <v/>
      </c>
      <c r="AJ278" s="82">
        <f>AI278-AH278</f>
        <v/>
      </c>
      <c r="AK278" s="81">
        <f>SUMIFS([1]инфо!$F$15:$F$28,[1]инфо!$A$15:$A$28,F278)</f>
        <v/>
      </c>
      <c r="AL278" s="64">
        <f>IF(H278=0,0,Y278/H278)</f>
        <v/>
      </c>
      <c r="AM278" s="82">
        <f>AL278-AK278</f>
        <v/>
      </c>
      <c r="AN278" s="81">
        <f>SUMIFS([1]инфо!$G$15:$G$28,[1]инфо!$A$15:$A$28,F278)</f>
        <v/>
      </c>
      <c r="AO278" s="64">
        <f>IF(H278=0,0,AA278/H278)</f>
        <v/>
      </c>
      <c r="AP278" s="82">
        <f>AO278-AN278</f>
        <v/>
      </c>
      <c r="AQ278" s="81">
        <f>SUMIFS([1]инфо!$H$15:$H$28,[1]инфо!$A$15:$A$28,F278)</f>
        <v/>
      </c>
      <c r="AR278" s="85">
        <f>IF(H277=0,0,AC278/H277)</f>
        <v/>
      </c>
      <c r="AS278" s="82">
        <f>AR278-AQ278</f>
        <v/>
      </c>
      <c r="AT278" s="81">
        <f>SUMIFS([1]инфо!$I$15:$I$28,[1]инфо!$A$15:$A$28,F278)</f>
        <v/>
      </c>
      <c r="AU278" s="62">
        <f>IF(H278=0,0,AD278/H278)</f>
        <v/>
      </c>
      <c r="AV278" s="82">
        <f>AU278-AT278</f>
        <v/>
      </c>
      <c r="AX278" s="80">
        <f>SUMIFS([1]инфо!$C$15:$C$28,[1]инфо!$A$15:$A$28,F278)*H277</f>
        <v/>
      </c>
    </row>
    <row r="279">
      <c r="A279" s="71">
        <f>A277+1</f>
        <v/>
      </c>
      <c r="B279" s="86" t="n"/>
      <c r="C279" s="72" t="n"/>
      <c r="D279" s="73" t="n"/>
      <c r="E279" s="66" t="n"/>
      <c r="F279" s="67" t="n"/>
      <c r="G279" s="68" t="n"/>
      <c r="H279" s="68" t="n"/>
      <c r="I279" s="57">
        <f>IFERROR(H279*VLOOKUP(F279,[1]инфо!$A$15:$C$28,3,FALSE)/1000,0)</f>
        <v/>
      </c>
      <c r="J279" s="55" t="n"/>
      <c r="K279" s="55" t="n"/>
      <c r="L279" s="55" t="n"/>
      <c r="M279" s="55" t="n"/>
      <c r="N279" s="67" t="n"/>
      <c r="O279" s="74" t="n"/>
      <c r="P279" s="74" t="n"/>
      <c r="Q279" s="74" t="n"/>
      <c r="R279" s="74" t="n"/>
      <c r="S279" s="70">
        <f>SUM(O279:R279)</f>
        <v/>
      </c>
      <c r="T279" s="72" t="n"/>
      <c r="U279" s="73" t="n"/>
      <c r="V279" s="74" t="n"/>
      <c r="W279" s="68" t="n"/>
      <c r="X279" s="74" t="n"/>
      <c r="Y279" s="72" t="n"/>
      <c r="Z279" s="74" t="n"/>
      <c r="AA279" s="74" t="n"/>
      <c r="AB279" s="74" t="n"/>
      <c r="AC279" s="69" t="n"/>
      <c r="AD279" s="73" t="n"/>
      <c r="AE279" s="75">
        <f>SUMIFS([1]инфо!$D$15:$D$28,[1]инфо!$A$15:$A$28,F279)</f>
        <v/>
      </c>
      <c r="AF279" s="62">
        <f>IF(H279=0,0,N279/H279)</f>
        <v/>
      </c>
      <c r="AG279" s="76">
        <f>AF279-AE279</f>
        <v/>
      </c>
      <c r="AH279" s="75">
        <f>SUMIFS([1]инфо!$E$15:$E$28,[1]инфо!$A$15:$A$28,F279)</f>
        <v/>
      </c>
      <c r="AI279" s="64">
        <f>IF(H279=0,0,S279/H279)</f>
        <v/>
      </c>
      <c r="AJ279" s="76">
        <f>AI279-AH279</f>
        <v/>
      </c>
      <c r="AK279" s="75">
        <f>SUMIFS([1]инфо!$F$15:$F$28,[1]инфо!$A$15:$A$28,F279)</f>
        <v/>
      </c>
      <c r="AL279" s="64">
        <f>IF(H279=0,0,Y279/H279)</f>
        <v/>
      </c>
      <c r="AM279" s="76">
        <f>AL279-AK279</f>
        <v/>
      </c>
      <c r="AN279" s="75">
        <f>SUMIFS([1]инфо!$G$15:$G$28,[1]инфо!$A$15:$A$28,F279)</f>
        <v/>
      </c>
      <c r="AO279" s="64">
        <f>IF(H279=0,0,AA279/H279)</f>
        <v/>
      </c>
      <c r="AP279" s="76">
        <f>AO279-AN279</f>
        <v/>
      </c>
      <c r="AQ279" s="75">
        <f>SUMIFS([1]инфо!$H$15:$H$28,[1]инфо!$A$15:$A$28,F279)</f>
        <v/>
      </c>
      <c r="AR279" s="64">
        <f>IF(H278=0,0,AC279/H278)</f>
        <v/>
      </c>
      <c r="AS279" s="76">
        <f>AR279-AQ279</f>
        <v/>
      </c>
      <c r="AT279" s="75">
        <f>SUMIFS([1]инфо!$I$15:$I$28,[1]инфо!$A$15:$A$28,F279)</f>
        <v/>
      </c>
      <c r="AU279" s="62">
        <f>IF(H279=0,0,AD279/H279)</f>
        <v/>
      </c>
      <c r="AV279" s="76">
        <f>AU279-AT279</f>
        <v/>
      </c>
      <c r="AX279" s="70">
        <f>SUMIFS([1]инфо!$C$15:$C$28,[1]инфо!$A$15:$A$28,F279)*H278</f>
        <v/>
      </c>
    </row>
    <row r="280">
      <c r="A280" s="71">
        <f>A278+1</f>
        <v/>
      </c>
      <c r="B280" s="86" t="n"/>
      <c r="C280" s="52" t="n"/>
      <c r="D280" s="53" t="n"/>
      <c r="E280" s="66" t="n"/>
      <c r="F280" s="67" t="n"/>
      <c r="G280" s="68" t="n"/>
      <c r="H280" s="68" t="n"/>
      <c r="I280" s="57">
        <f>IFERROR(H280*VLOOKUP(F280,[1]инфо!$A$15:$C$28,3,FALSE)/1000,0)</f>
        <v/>
      </c>
      <c r="J280" s="55" t="n"/>
      <c r="K280" s="55" t="n"/>
      <c r="L280" s="55" t="n"/>
      <c r="M280" s="55" t="n"/>
      <c r="N280" s="55" t="n"/>
      <c r="O280" s="58" t="n"/>
      <c r="P280" s="58" t="n"/>
      <c r="Q280" s="58" t="n"/>
      <c r="R280" s="58" t="n"/>
      <c r="S280" s="59">
        <f>SUM(O280:R280)</f>
        <v/>
      </c>
      <c r="T280" s="52" t="n"/>
      <c r="U280" s="53" t="n"/>
      <c r="V280" s="58" t="n"/>
      <c r="W280" s="68" t="n"/>
      <c r="X280" s="58" t="n"/>
      <c r="Y280" s="52" t="n"/>
      <c r="Z280" s="58" t="n"/>
      <c r="AA280" s="58" t="n"/>
      <c r="AB280" s="58" t="n"/>
      <c r="AC280" s="69" t="n"/>
      <c r="AD280" s="53" t="n"/>
      <c r="AE280" s="61">
        <f>SUMIFS([1]инфо!$D$15:$D$28,[1]инфо!$A$15:$A$28,F280)</f>
        <v/>
      </c>
      <c r="AF280" s="62">
        <f>IF(H280=0,0,N280/H280)</f>
        <v/>
      </c>
      <c r="AG280" s="63">
        <f>AF280-AE280</f>
        <v/>
      </c>
      <c r="AH280" s="61">
        <f>SUMIFS([1]инфо!$E$15:$E$28,[1]инфо!$A$15:$A$28,F280)</f>
        <v/>
      </c>
      <c r="AI280" s="64">
        <f>IF(H280=0,0,S280/H280)</f>
        <v/>
      </c>
      <c r="AJ280" s="63">
        <f>AI280-AH280</f>
        <v/>
      </c>
      <c r="AK280" s="61">
        <f>SUMIFS([1]инфо!$F$15:$F$28,[1]инфо!$A$15:$A$28,F280)</f>
        <v/>
      </c>
      <c r="AL280" s="64">
        <f>IF(H280=0,0,Y280/H280)</f>
        <v/>
      </c>
      <c r="AM280" s="63">
        <f>AL280-AK280</f>
        <v/>
      </c>
      <c r="AN280" s="61">
        <f>SUMIFS([1]инфо!$G$15:$G$28,[1]инфо!$A$15:$A$28,F280)</f>
        <v/>
      </c>
      <c r="AO280" s="64">
        <f>IF(H280=0,0,AA280/H280)</f>
        <v/>
      </c>
      <c r="AP280" s="63">
        <f>AO280-AN280</f>
        <v/>
      </c>
      <c r="AQ280" s="61">
        <f>SUMIFS([1]инфо!$H$15:$H$28,[1]инфо!$A$15:$A$28,F280)</f>
        <v/>
      </c>
      <c r="AR280" s="62">
        <f>IF(H279=0,0,AC280/H279)</f>
        <v/>
      </c>
      <c r="AS280" s="63">
        <f>AR280-AQ280</f>
        <v/>
      </c>
      <c r="AT280" s="61">
        <f>SUMIFS([1]инфо!$I$15:$I$28,[1]инфо!$A$15:$A$28,F280)</f>
        <v/>
      </c>
      <c r="AU280" s="62">
        <f>IF(H280=0,0,AD280/H280)</f>
        <v/>
      </c>
      <c r="AV280" s="63">
        <f>AU280-AT280</f>
        <v/>
      </c>
      <c r="AX280" s="59">
        <f>SUMIFS([1]инфо!$C$15:$C$28,[1]инфо!$A$15:$A$28,F280)*H279</f>
        <v/>
      </c>
    </row>
    <row r="281">
      <c r="A281" s="71">
        <f>A279+1</f>
        <v/>
      </c>
      <c r="B281" s="86" t="n"/>
      <c r="C281" s="52" t="n"/>
      <c r="D281" s="53" t="n"/>
      <c r="E281" s="66" t="n"/>
      <c r="F281" s="67" t="n"/>
      <c r="G281" s="68" t="n"/>
      <c r="H281" s="68" t="n"/>
      <c r="I281" s="57">
        <f>IFERROR(H281*VLOOKUP(F281,[1]инфо!$A$15:$C$28,3,FALSE)/1000,0)</f>
        <v/>
      </c>
      <c r="J281" s="55" t="n"/>
      <c r="K281" s="55" t="n"/>
      <c r="L281" s="55" t="n"/>
      <c r="M281" s="55" t="n"/>
      <c r="N281" s="55" t="n"/>
      <c r="O281" s="58" t="n"/>
      <c r="P281" s="58" t="n"/>
      <c r="Q281" s="58" t="n"/>
      <c r="R281" s="58" t="n"/>
      <c r="S281" s="59">
        <f>SUM(O281:R281)</f>
        <v/>
      </c>
      <c r="T281" s="52" t="n"/>
      <c r="U281" s="53" t="n"/>
      <c r="V281" s="58" t="n"/>
      <c r="W281" s="68" t="n"/>
      <c r="X281" s="58" t="n"/>
      <c r="Y281" s="52" t="n"/>
      <c r="Z281" s="58" t="n"/>
      <c r="AA281" s="58" t="n"/>
      <c r="AB281" s="58" t="n"/>
      <c r="AC281" s="69" t="n"/>
      <c r="AD281" s="53" t="n"/>
      <c r="AE281" s="61">
        <f>SUMIFS([1]инфо!$D$15:$D$28,[1]инфо!$A$15:$A$28,F281)</f>
        <v/>
      </c>
      <c r="AF281" s="62">
        <f>IF(H281=0,0,N281/H281)</f>
        <v/>
      </c>
      <c r="AG281" s="63">
        <f>AF281-AE281</f>
        <v/>
      </c>
      <c r="AH281" s="61">
        <f>SUMIFS([1]инфо!$E$15:$E$28,[1]инфо!$A$15:$A$28,F281)</f>
        <v/>
      </c>
      <c r="AI281" s="64">
        <f>IF(H281=0,0,S281/H281)</f>
        <v/>
      </c>
      <c r="AJ281" s="63">
        <f>AI281-AH281</f>
        <v/>
      </c>
      <c r="AK281" s="61">
        <f>SUMIFS([1]инфо!$F$15:$F$28,[1]инфо!$A$15:$A$28,F281)</f>
        <v/>
      </c>
      <c r="AL281" s="64">
        <f>IF(H281=0,0,Y281/H281)</f>
        <v/>
      </c>
      <c r="AM281" s="63">
        <f>AL281-AK281</f>
        <v/>
      </c>
      <c r="AN281" s="61">
        <f>SUMIFS([1]инфо!$G$15:$G$28,[1]инфо!$A$15:$A$28,F281)</f>
        <v/>
      </c>
      <c r="AO281" s="64">
        <f>IF(H281=0,0,AA281/H281)</f>
        <v/>
      </c>
      <c r="AP281" s="63">
        <f>AO281-AN281</f>
        <v/>
      </c>
      <c r="AQ281" s="61">
        <f>SUMIFS([1]инфо!$H$15:$H$28,[1]инфо!$A$15:$A$28,F281)</f>
        <v/>
      </c>
      <c r="AR281" s="62">
        <f>IF(H280=0,0,AC281/H280)</f>
        <v/>
      </c>
      <c r="AS281" s="63">
        <f>AR281-AQ281</f>
        <v/>
      </c>
      <c r="AT281" s="61">
        <f>SUMIFS([1]инфо!$I$15:$I$28,[1]инфо!$A$15:$A$28,F281)</f>
        <v/>
      </c>
      <c r="AU281" s="62">
        <f>IF(H281=0,0,AD281/H281)</f>
        <v/>
      </c>
      <c r="AV281" s="63">
        <f>AU281-AT281</f>
        <v/>
      </c>
      <c r="AX281" s="59">
        <f>SUMIFS([1]инфо!$C$15:$C$28,[1]инфо!$A$15:$A$28,F281)*H280</f>
        <v/>
      </c>
    </row>
    <row r="282">
      <c r="A282" s="71">
        <f>A280+1</f>
        <v/>
      </c>
      <c r="B282" s="86" t="n"/>
      <c r="C282" s="77" t="n"/>
      <c r="D282" s="78" t="n"/>
      <c r="E282" s="66" t="n"/>
      <c r="F282" s="67" t="n"/>
      <c r="G282" s="68" t="n"/>
      <c r="H282" s="68" t="n"/>
      <c r="I282" s="57">
        <f>IFERROR(H282*VLOOKUP(F282,[1]инфо!$A$15:$C$28,3,FALSE)/1000,0)</f>
        <v/>
      </c>
      <c r="J282" s="55" t="n"/>
      <c r="K282" s="55" t="n"/>
      <c r="L282" s="55" t="n"/>
      <c r="M282" s="55" t="n"/>
      <c r="N282" s="56" t="n"/>
      <c r="O282" s="79" t="n"/>
      <c r="P282" s="79" t="n"/>
      <c r="Q282" s="79" t="n"/>
      <c r="R282" s="79" t="n"/>
      <c r="S282" s="80">
        <f>SUM(O282:R282)</f>
        <v/>
      </c>
      <c r="T282" s="77" t="n"/>
      <c r="U282" s="78" t="n"/>
      <c r="V282" s="79" t="n"/>
      <c r="W282" s="68" t="n"/>
      <c r="X282" s="79" t="n"/>
      <c r="Y282" s="77" t="n"/>
      <c r="Z282" s="79" t="n"/>
      <c r="AA282" s="79" t="n"/>
      <c r="AB282" s="79" t="n"/>
      <c r="AC282" s="69" t="n"/>
      <c r="AD282" s="78" t="n"/>
      <c r="AE282" s="81">
        <f>SUMIFS([1]инфо!$D$15:$D$28,[1]инфо!$A$15:$A$28,F282)</f>
        <v/>
      </c>
      <c r="AF282" s="62">
        <f>IF(H282=0,0,N282/H282)</f>
        <v/>
      </c>
      <c r="AG282" s="82">
        <f>AF282-AE282</f>
        <v/>
      </c>
      <c r="AH282" s="81">
        <f>SUMIFS([1]инфо!$E$15:$E$28,[1]инфо!$A$15:$A$28,F282)</f>
        <v/>
      </c>
      <c r="AI282" s="64">
        <f>IF(H282=0,0,S282/H282)</f>
        <v/>
      </c>
      <c r="AJ282" s="82">
        <f>AI282-AH282</f>
        <v/>
      </c>
      <c r="AK282" s="81">
        <f>SUMIFS([1]инфо!$F$15:$F$28,[1]инфо!$A$15:$A$28,F282)</f>
        <v/>
      </c>
      <c r="AL282" s="64">
        <f>IF(H282=0,0,Y282/H282)</f>
        <v/>
      </c>
      <c r="AM282" s="82">
        <f>AL282-AK282</f>
        <v/>
      </c>
      <c r="AN282" s="81">
        <f>SUMIFS([1]инфо!$G$15:$G$28,[1]инфо!$A$15:$A$28,F282)</f>
        <v/>
      </c>
      <c r="AO282" s="64">
        <f>IF(H282=0,0,AA282/H282)</f>
        <v/>
      </c>
      <c r="AP282" s="82">
        <f>AO282-AN282</f>
        <v/>
      </c>
      <c r="AQ282" s="81">
        <f>SUMIFS([1]инфо!$H$15:$H$28,[1]инфо!$A$15:$A$28,F282)</f>
        <v/>
      </c>
      <c r="AR282" s="85">
        <f>IF(H281=0,0,AC282/H281)</f>
        <v/>
      </c>
      <c r="AS282" s="82">
        <f>AR282-AQ282</f>
        <v/>
      </c>
      <c r="AT282" s="81">
        <f>SUMIFS([1]инфо!$I$15:$I$28,[1]инфо!$A$15:$A$28,F282)</f>
        <v/>
      </c>
      <c r="AU282" s="62">
        <f>IF(H282=0,0,AD282/H282)</f>
        <v/>
      </c>
      <c r="AV282" s="82">
        <f>AU282-AT282</f>
        <v/>
      </c>
      <c r="AX282" s="80">
        <f>SUMIFS([1]инфо!$C$15:$C$28,[1]инфо!$A$15:$A$28,F282)*H281</f>
        <v/>
      </c>
    </row>
    <row r="283">
      <c r="A283" s="71">
        <f>A281+1</f>
        <v/>
      </c>
      <c r="B283" s="86" t="n"/>
      <c r="C283" s="72" t="n"/>
      <c r="D283" s="73" t="n"/>
      <c r="E283" s="66" t="n"/>
      <c r="F283" s="67" t="n"/>
      <c r="G283" s="68" t="n"/>
      <c r="H283" s="68" t="n"/>
      <c r="I283" s="57">
        <f>IFERROR(H283*VLOOKUP(F283,[1]инфо!$A$15:$C$28,3,FALSE)/1000,0)</f>
        <v/>
      </c>
      <c r="J283" s="55" t="n"/>
      <c r="K283" s="55" t="n"/>
      <c r="L283" s="55" t="n"/>
      <c r="M283" s="55" t="n"/>
      <c r="N283" s="67" t="n"/>
      <c r="O283" s="74" t="n"/>
      <c r="P283" s="74" t="n"/>
      <c r="Q283" s="74" t="n"/>
      <c r="R283" s="74" t="n"/>
      <c r="S283" s="70">
        <f>SUM(O283:R283)</f>
        <v/>
      </c>
      <c r="T283" s="72" t="n"/>
      <c r="U283" s="73" t="n"/>
      <c r="V283" s="74" t="n"/>
      <c r="W283" s="68" t="n"/>
      <c r="X283" s="74" t="n"/>
      <c r="Y283" s="72" t="n"/>
      <c r="Z283" s="74" t="n"/>
      <c r="AA283" s="74" t="n"/>
      <c r="AB283" s="74" t="n"/>
      <c r="AC283" s="69" t="n"/>
      <c r="AD283" s="73" t="n"/>
      <c r="AE283" s="75">
        <f>SUMIFS([1]инфо!$D$15:$D$28,[1]инфо!$A$15:$A$28,F283)</f>
        <v/>
      </c>
      <c r="AF283" s="62">
        <f>IF(H283=0,0,N283/H283)</f>
        <v/>
      </c>
      <c r="AG283" s="76">
        <f>AF283-AE283</f>
        <v/>
      </c>
      <c r="AH283" s="75">
        <f>SUMIFS([1]инфо!$E$15:$E$28,[1]инфо!$A$15:$A$28,F283)</f>
        <v/>
      </c>
      <c r="AI283" s="64">
        <f>IF(H283=0,0,S283/H283)</f>
        <v/>
      </c>
      <c r="AJ283" s="76">
        <f>AI283-AH283</f>
        <v/>
      </c>
      <c r="AK283" s="75">
        <f>SUMIFS([1]инфо!$F$15:$F$28,[1]инфо!$A$15:$A$28,F283)</f>
        <v/>
      </c>
      <c r="AL283" s="64">
        <f>IF(H283=0,0,Y283/H283)</f>
        <v/>
      </c>
      <c r="AM283" s="76">
        <f>AL283-AK283</f>
        <v/>
      </c>
      <c r="AN283" s="75">
        <f>SUMIFS([1]инфо!$G$15:$G$28,[1]инфо!$A$15:$A$28,F283)</f>
        <v/>
      </c>
      <c r="AO283" s="64">
        <f>IF(H283=0,0,AA283/H283)</f>
        <v/>
      </c>
      <c r="AP283" s="76">
        <f>AO283-AN283</f>
        <v/>
      </c>
      <c r="AQ283" s="75">
        <f>SUMIFS([1]инфо!$H$15:$H$28,[1]инфо!$A$15:$A$28,F283)</f>
        <v/>
      </c>
      <c r="AR283" s="64">
        <f>IF(H282=0,0,AC283/H282)</f>
        <v/>
      </c>
      <c r="AS283" s="76">
        <f>AR283-AQ283</f>
        <v/>
      </c>
      <c r="AT283" s="75">
        <f>SUMIFS([1]инфо!$I$15:$I$28,[1]инфо!$A$15:$A$28,F283)</f>
        <v/>
      </c>
      <c r="AU283" s="62">
        <f>IF(H283=0,0,AD283/H283)</f>
        <v/>
      </c>
      <c r="AV283" s="76">
        <f>AU283-AT283</f>
        <v/>
      </c>
      <c r="AX283" s="70">
        <f>SUMIFS([1]инфо!$C$15:$C$28,[1]инфо!$A$15:$A$28,F283)*H282</f>
        <v/>
      </c>
    </row>
    <row r="284">
      <c r="A284" s="71">
        <f>A282+1</f>
        <v/>
      </c>
      <c r="B284" s="86" t="n"/>
      <c r="C284" s="52" t="n"/>
      <c r="D284" s="53" t="n"/>
      <c r="E284" s="66" t="n"/>
      <c r="F284" s="67" t="n"/>
      <c r="G284" s="68" t="n"/>
      <c r="H284" s="68" t="n"/>
      <c r="I284" s="57">
        <f>IFERROR(H284*VLOOKUP(F284,[1]инфо!$A$15:$C$28,3,FALSE)/1000,0)</f>
        <v/>
      </c>
      <c r="J284" s="55" t="n"/>
      <c r="K284" s="55" t="n"/>
      <c r="L284" s="55" t="n"/>
      <c r="M284" s="55" t="n"/>
      <c r="N284" s="55" t="n"/>
      <c r="O284" s="58" t="n"/>
      <c r="P284" s="58" t="n"/>
      <c r="Q284" s="58" t="n"/>
      <c r="R284" s="58" t="n"/>
      <c r="S284" s="59">
        <f>SUM(O284:R284)</f>
        <v/>
      </c>
      <c r="T284" s="52" t="n"/>
      <c r="U284" s="53" t="n"/>
      <c r="V284" s="58" t="n"/>
      <c r="W284" s="68" t="n"/>
      <c r="X284" s="58" t="n"/>
      <c r="Y284" s="52" t="n"/>
      <c r="Z284" s="58" t="n"/>
      <c r="AA284" s="58" t="n"/>
      <c r="AB284" s="58" t="n"/>
      <c r="AC284" s="69" t="n"/>
      <c r="AD284" s="53" t="n"/>
      <c r="AE284" s="61">
        <f>SUMIFS([1]инфо!$D$15:$D$28,[1]инфо!$A$15:$A$28,F284)</f>
        <v/>
      </c>
      <c r="AF284" s="62">
        <f>IF(H284=0,0,N284/H284)</f>
        <v/>
      </c>
      <c r="AG284" s="63">
        <f>AF284-AE284</f>
        <v/>
      </c>
      <c r="AH284" s="61">
        <f>SUMIFS([1]инфо!$E$15:$E$28,[1]инфо!$A$15:$A$28,F284)</f>
        <v/>
      </c>
      <c r="AI284" s="64">
        <f>IF(H284=0,0,S284/H284)</f>
        <v/>
      </c>
      <c r="AJ284" s="63">
        <f>AI284-AH284</f>
        <v/>
      </c>
      <c r="AK284" s="61">
        <f>SUMIFS([1]инфо!$F$15:$F$28,[1]инфо!$A$15:$A$28,F284)</f>
        <v/>
      </c>
      <c r="AL284" s="64">
        <f>IF(H284=0,0,Y284/H284)</f>
        <v/>
      </c>
      <c r="AM284" s="63">
        <f>AL284-AK284</f>
        <v/>
      </c>
      <c r="AN284" s="61">
        <f>SUMIFS([1]инфо!$G$15:$G$28,[1]инфо!$A$15:$A$28,F284)</f>
        <v/>
      </c>
      <c r="AO284" s="64">
        <f>IF(H284=0,0,AA284/H284)</f>
        <v/>
      </c>
      <c r="AP284" s="63">
        <f>AO284-AN284</f>
        <v/>
      </c>
      <c r="AQ284" s="61">
        <f>SUMIFS([1]инфо!$H$15:$H$28,[1]инфо!$A$15:$A$28,F284)</f>
        <v/>
      </c>
      <c r="AR284" s="62">
        <f>IF(H283=0,0,AC284/H283)</f>
        <v/>
      </c>
      <c r="AS284" s="63">
        <f>AR284-AQ284</f>
        <v/>
      </c>
      <c r="AT284" s="61">
        <f>SUMIFS([1]инфо!$I$15:$I$28,[1]инфо!$A$15:$A$28,F284)</f>
        <v/>
      </c>
      <c r="AU284" s="62">
        <f>IF(H284=0,0,AD284/H284)</f>
        <v/>
      </c>
      <c r="AV284" s="63">
        <f>AU284-AT284</f>
        <v/>
      </c>
      <c r="AX284" s="59">
        <f>SUMIFS([1]инфо!$C$15:$C$28,[1]инфо!$A$15:$A$28,F284)*H283</f>
        <v/>
      </c>
    </row>
    <row r="285">
      <c r="A285" s="71">
        <f>A283+1</f>
        <v/>
      </c>
      <c r="B285" s="86" t="n"/>
      <c r="C285" s="52" t="n"/>
      <c r="D285" s="53" t="n"/>
      <c r="E285" s="66" t="n"/>
      <c r="F285" s="67" t="n"/>
      <c r="G285" s="68" t="n"/>
      <c r="H285" s="68" t="n"/>
      <c r="I285" s="57">
        <f>IFERROR(H285*VLOOKUP(F285,[1]инфо!$A$15:$C$28,3,FALSE)/1000,0)</f>
        <v/>
      </c>
      <c r="J285" s="55" t="n"/>
      <c r="K285" s="55" t="n"/>
      <c r="L285" s="55" t="n"/>
      <c r="M285" s="55" t="n"/>
      <c r="N285" s="55" t="n"/>
      <c r="O285" s="58" t="n"/>
      <c r="P285" s="58" t="n"/>
      <c r="Q285" s="58" t="n"/>
      <c r="R285" s="58" t="n"/>
      <c r="S285" s="59">
        <f>SUM(O285:R285)</f>
        <v/>
      </c>
      <c r="T285" s="52" t="n"/>
      <c r="U285" s="53" t="n"/>
      <c r="V285" s="58" t="n"/>
      <c r="W285" s="68" t="n"/>
      <c r="X285" s="58" t="n"/>
      <c r="Y285" s="52" t="n"/>
      <c r="Z285" s="58" t="n"/>
      <c r="AA285" s="58" t="n"/>
      <c r="AB285" s="58" t="n"/>
      <c r="AC285" s="69" t="n"/>
      <c r="AD285" s="53" t="n"/>
      <c r="AE285" s="61">
        <f>SUMIFS([1]инфо!$D$15:$D$28,[1]инфо!$A$15:$A$28,F285)</f>
        <v/>
      </c>
      <c r="AF285" s="62">
        <f>IF(H285=0,0,N285/H285)</f>
        <v/>
      </c>
      <c r="AG285" s="63">
        <f>AF285-AE285</f>
        <v/>
      </c>
      <c r="AH285" s="61">
        <f>SUMIFS([1]инфо!$E$15:$E$28,[1]инфо!$A$15:$A$28,F285)</f>
        <v/>
      </c>
      <c r="AI285" s="64">
        <f>IF(H285=0,0,S285/H285)</f>
        <v/>
      </c>
      <c r="AJ285" s="63">
        <f>AI285-AH285</f>
        <v/>
      </c>
      <c r="AK285" s="61">
        <f>SUMIFS([1]инфо!$F$15:$F$28,[1]инфо!$A$15:$A$28,F285)</f>
        <v/>
      </c>
      <c r="AL285" s="64">
        <f>IF(H285=0,0,Y285/H285)</f>
        <v/>
      </c>
      <c r="AM285" s="63">
        <f>AL285-AK285</f>
        <v/>
      </c>
      <c r="AN285" s="61">
        <f>SUMIFS([1]инфо!$G$15:$G$28,[1]инфо!$A$15:$A$28,F285)</f>
        <v/>
      </c>
      <c r="AO285" s="64">
        <f>IF(H285=0,0,AA285/H285)</f>
        <v/>
      </c>
      <c r="AP285" s="63">
        <f>AO285-AN285</f>
        <v/>
      </c>
      <c r="AQ285" s="61">
        <f>SUMIFS([1]инфо!$H$15:$H$28,[1]инфо!$A$15:$A$28,F285)</f>
        <v/>
      </c>
      <c r="AR285" s="62">
        <f>IF(H284=0,0,AC285/H284)</f>
        <v/>
      </c>
      <c r="AS285" s="63">
        <f>AR285-AQ285</f>
        <v/>
      </c>
      <c r="AT285" s="61">
        <f>SUMIFS([1]инфо!$I$15:$I$28,[1]инфо!$A$15:$A$28,F285)</f>
        <v/>
      </c>
      <c r="AU285" s="62">
        <f>IF(H285=0,0,AD285/H285)</f>
        <v/>
      </c>
      <c r="AV285" s="63">
        <f>AU285-AT285</f>
        <v/>
      </c>
      <c r="AX285" s="59">
        <f>SUMIFS([1]инфо!$C$15:$C$28,[1]инфо!$A$15:$A$28,F285)*H284</f>
        <v/>
      </c>
    </row>
    <row r="286">
      <c r="A286" s="71">
        <f>A284+1</f>
        <v/>
      </c>
      <c r="B286" s="86" t="n"/>
      <c r="C286" s="77" t="n"/>
      <c r="D286" s="78" t="n"/>
      <c r="E286" s="66" t="n"/>
      <c r="F286" s="67" t="n"/>
      <c r="G286" s="68" t="n"/>
      <c r="H286" s="68" t="n"/>
      <c r="I286" s="57">
        <f>IFERROR(H286*VLOOKUP(F286,[1]инфо!$A$15:$C$28,3,FALSE)/1000,0)</f>
        <v/>
      </c>
      <c r="J286" s="55" t="n"/>
      <c r="K286" s="55" t="n"/>
      <c r="L286" s="55" t="n"/>
      <c r="M286" s="55" t="n"/>
      <c r="N286" s="56" t="n"/>
      <c r="O286" s="79" t="n"/>
      <c r="P286" s="79" t="n"/>
      <c r="Q286" s="79" t="n"/>
      <c r="R286" s="79" t="n"/>
      <c r="S286" s="80">
        <f>SUM(O286:R286)</f>
        <v/>
      </c>
      <c r="T286" s="77" t="n"/>
      <c r="U286" s="78" t="n"/>
      <c r="V286" s="79" t="n"/>
      <c r="W286" s="68" t="n"/>
      <c r="X286" s="79" t="n"/>
      <c r="Y286" s="77" t="n"/>
      <c r="Z286" s="79" t="n"/>
      <c r="AA286" s="79" t="n"/>
      <c r="AB286" s="79" t="n"/>
      <c r="AC286" s="69" t="n"/>
      <c r="AD286" s="78" t="n"/>
      <c r="AE286" s="81">
        <f>SUMIFS([1]инфо!$D$15:$D$28,[1]инфо!$A$15:$A$28,F286)</f>
        <v/>
      </c>
      <c r="AF286" s="62">
        <f>IF(H286=0,0,N286/H286)</f>
        <v/>
      </c>
      <c r="AG286" s="82">
        <f>AF286-AE286</f>
        <v/>
      </c>
      <c r="AH286" s="81">
        <f>SUMIFS([1]инфо!$E$15:$E$28,[1]инфо!$A$15:$A$28,F286)</f>
        <v/>
      </c>
      <c r="AI286" s="64">
        <f>IF(H286=0,0,S286/H286)</f>
        <v/>
      </c>
      <c r="AJ286" s="82">
        <f>AI286-AH286</f>
        <v/>
      </c>
      <c r="AK286" s="81">
        <f>SUMIFS([1]инфо!$F$15:$F$28,[1]инфо!$A$15:$A$28,F286)</f>
        <v/>
      </c>
      <c r="AL286" s="64">
        <f>IF(H286=0,0,Y286/H286)</f>
        <v/>
      </c>
      <c r="AM286" s="82">
        <f>AL286-AK286</f>
        <v/>
      </c>
      <c r="AN286" s="81">
        <f>SUMIFS([1]инфо!$G$15:$G$28,[1]инфо!$A$15:$A$28,F286)</f>
        <v/>
      </c>
      <c r="AO286" s="64">
        <f>IF(H286=0,0,AA286/H286)</f>
        <v/>
      </c>
      <c r="AP286" s="82">
        <f>AO286-AN286</f>
        <v/>
      </c>
      <c r="AQ286" s="81">
        <f>SUMIFS([1]инфо!$H$15:$H$28,[1]инфо!$A$15:$A$28,F286)</f>
        <v/>
      </c>
      <c r="AR286" s="85">
        <f>IF(H285=0,0,AC286/H285)</f>
        <v/>
      </c>
      <c r="AS286" s="82">
        <f>AR286-AQ286</f>
        <v/>
      </c>
      <c r="AT286" s="81">
        <f>SUMIFS([1]инфо!$I$15:$I$28,[1]инфо!$A$15:$A$28,F286)</f>
        <v/>
      </c>
      <c r="AU286" s="62">
        <f>IF(H286=0,0,AD286/H286)</f>
        <v/>
      </c>
      <c r="AV286" s="82">
        <f>AU286-AT286</f>
        <v/>
      </c>
      <c r="AX286" s="80">
        <f>SUMIFS([1]инфо!$C$15:$C$28,[1]инфо!$A$15:$A$28,F286)*H285</f>
        <v/>
      </c>
    </row>
    <row r="287">
      <c r="A287" s="71">
        <f>A285+1</f>
        <v/>
      </c>
      <c r="B287" s="86" t="n"/>
      <c r="C287" s="72" t="n"/>
      <c r="D287" s="73" t="n"/>
      <c r="E287" s="66" t="n"/>
      <c r="F287" s="67" t="n"/>
      <c r="G287" s="68" t="n"/>
      <c r="H287" s="68" t="n"/>
      <c r="I287" s="57">
        <f>IFERROR(H287*VLOOKUP(F287,[1]инфо!$A$15:$C$28,3,FALSE)/1000,0)</f>
        <v/>
      </c>
      <c r="J287" s="55" t="n"/>
      <c r="K287" s="55" t="n"/>
      <c r="L287" s="55" t="n"/>
      <c r="M287" s="55" t="n"/>
      <c r="N287" s="67" t="n"/>
      <c r="O287" s="74" t="n"/>
      <c r="P287" s="74" t="n"/>
      <c r="Q287" s="74" t="n"/>
      <c r="R287" s="74" t="n"/>
      <c r="S287" s="70">
        <f>SUM(O287:R287)</f>
        <v/>
      </c>
      <c r="T287" s="72" t="n"/>
      <c r="U287" s="73" t="n"/>
      <c r="V287" s="74" t="n"/>
      <c r="W287" s="68" t="n"/>
      <c r="X287" s="74" t="n"/>
      <c r="Y287" s="72" t="n"/>
      <c r="Z287" s="74" t="n"/>
      <c r="AA287" s="74" t="n"/>
      <c r="AB287" s="74" t="n"/>
      <c r="AC287" s="69" t="n"/>
      <c r="AD287" s="73" t="n"/>
      <c r="AE287" s="75">
        <f>SUMIFS([1]инфо!$D$15:$D$28,[1]инфо!$A$15:$A$28,F287)</f>
        <v/>
      </c>
      <c r="AF287" s="62">
        <f>IF(H287=0,0,N287/H287)</f>
        <v/>
      </c>
      <c r="AG287" s="76">
        <f>AF287-AE287</f>
        <v/>
      </c>
      <c r="AH287" s="75">
        <f>SUMIFS([1]инфо!$E$15:$E$28,[1]инфо!$A$15:$A$28,F287)</f>
        <v/>
      </c>
      <c r="AI287" s="64">
        <f>IF(H287=0,0,S287/H287)</f>
        <v/>
      </c>
      <c r="AJ287" s="76">
        <f>AI287-AH287</f>
        <v/>
      </c>
      <c r="AK287" s="75">
        <f>SUMIFS([1]инфо!$F$15:$F$28,[1]инфо!$A$15:$A$28,F287)</f>
        <v/>
      </c>
      <c r="AL287" s="64">
        <f>IF(H287=0,0,Y287/H287)</f>
        <v/>
      </c>
      <c r="AM287" s="76">
        <f>AL287-AK287</f>
        <v/>
      </c>
      <c r="AN287" s="75">
        <f>SUMIFS([1]инфо!$G$15:$G$28,[1]инфо!$A$15:$A$28,F287)</f>
        <v/>
      </c>
      <c r="AO287" s="64">
        <f>IF(H287=0,0,AA287/H287)</f>
        <v/>
      </c>
      <c r="AP287" s="76">
        <f>AO287-AN287</f>
        <v/>
      </c>
      <c r="AQ287" s="75">
        <f>SUMIFS([1]инфо!$H$15:$H$28,[1]инфо!$A$15:$A$28,F287)</f>
        <v/>
      </c>
      <c r="AR287" s="64">
        <f>IF(H286=0,0,AC287/H286)</f>
        <v/>
      </c>
      <c r="AS287" s="76">
        <f>AR287-AQ287</f>
        <v/>
      </c>
      <c r="AT287" s="75">
        <f>SUMIFS([1]инфо!$I$15:$I$28,[1]инфо!$A$15:$A$28,F287)</f>
        <v/>
      </c>
      <c r="AU287" s="62">
        <f>IF(H287=0,0,AD287/H287)</f>
        <v/>
      </c>
      <c r="AV287" s="76">
        <f>AU287-AT287</f>
        <v/>
      </c>
      <c r="AX287" s="70">
        <f>SUMIFS([1]инфо!$C$15:$C$28,[1]инфо!$A$15:$A$28,F287)*H286</f>
        <v/>
      </c>
    </row>
    <row r="288">
      <c r="A288" s="71">
        <f>A286+1</f>
        <v/>
      </c>
      <c r="B288" s="86" t="n"/>
      <c r="C288" s="52" t="n"/>
      <c r="D288" s="53" t="n"/>
      <c r="E288" s="66" t="n"/>
      <c r="F288" s="67" t="n"/>
      <c r="G288" s="68" t="n"/>
      <c r="H288" s="68" t="n"/>
      <c r="I288" s="57">
        <f>IFERROR(H288*VLOOKUP(F288,[1]инфо!$A$15:$C$28,3,FALSE)/1000,0)</f>
        <v/>
      </c>
      <c r="J288" s="55" t="n"/>
      <c r="K288" s="55" t="n"/>
      <c r="L288" s="55" t="n"/>
      <c r="M288" s="55" t="n"/>
      <c r="N288" s="55" t="n"/>
      <c r="O288" s="58" t="n"/>
      <c r="P288" s="58" t="n"/>
      <c r="Q288" s="58" t="n"/>
      <c r="R288" s="58" t="n"/>
      <c r="S288" s="59">
        <f>SUM(O288:R288)</f>
        <v/>
      </c>
      <c r="T288" s="52" t="n"/>
      <c r="U288" s="53" t="n"/>
      <c r="V288" s="58" t="n"/>
      <c r="W288" s="68" t="n"/>
      <c r="X288" s="58" t="n"/>
      <c r="Y288" s="52" t="n"/>
      <c r="Z288" s="58" t="n"/>
      <c r="AA288" s="58" t="n"/>
      <c r="AB288" s="58" t="n"/>
      <c r="AC288" s="69" t="n"/>
      <c r="AD288" s="53" t="n"/>
      <c r="AE288" s="61">
        <f>SUMIFS([1]инфо!$D$15:$D$28,[1]инфо!$A$15:$A$28,F288)</f>
        <v/>
      </c>
      <c r="AF288" s="62">
        <f>IF(H288=0,0,N288/H288)</f>
        <v/>
      </c>
      <c r="AG288" s="63">
        <f>AF288-AE288</f>
        <v/>
      </c>
      <c r="AH288" s="61">
        <f>SUMIFS([1]инфо!$E$15:$E$28,[1]инфо!$A$15:$A$28,F288)</f>
        <v/>
      </c>
      <c r="AI288" s="64">
        <f>IF(H288=0,0,S288/H288)</f>
        <v/>
      </c>
      <c r="AJ288" s="63">
        <f>AI288-AH288</f>
        <v/>
      </c>
      <c r="AK288" s="61">
        <f>SUMIFS([1]инфо!$F$15:$F$28,[1]инфо!$A$15:$A$28,F288)</f>
        <v/>
      </c>
      <c r="AL288" s="64">
        <f>IF(H288=0,0,Y288/H288)</f>
        <v/>
      </c>
      <c r="AM288" s="63">
        <f>AL288-AK288</f>
        <v/>
      </c>
      <c r="AN288" s="61">
        <f>SUMIFS([1]инфо!$G$15:$G$28,[1]инфо!$A$15:$A$28,F288)</f>
        <v/>
      </c>
      <c r="AO288" s="64">
        <f>IF(H288=0,0,AA288/H288)</f>
        <v/>
      </c>
      <c r="AP288" s="63">
        <f>AO288-AN288</f>
        <v/>
      </c>
      <c r="AQ288" s="61">
        <f>SUMIFS([1]инфо!$H$15:$H$28,[1]инфо!$A$15:$A$28,F288)</f>
        <v/>
      </c>
      <c r="AR288" s="62">
        <f>IF(H287=0,0,AC288/H287)</f>
        <v/>
      </c>
      <c r="AS288" s="63">
        <f>AR288-AQ288</f>
        <v/>
      </c>
      <c r="AT288" s="61">
        <f>SUMIFS([1]инфо!$I$15:$I$28,[1]инфо!$A$15:$A$28,F288)</f>
        <v/>
      </c>
      <c r="AU288" s="62">
        <f>IF(H288=0,0,AD288/H288)</f>
        <v/>
      </c>
      <c r="AV288" s="63">
        <f>AU288-AT288</f>
        <v/>
      </c>
      <c r="AX288" s="59">
        <f>SUMIFS([1]инфо!$C$15:$C$28,[1]инфо!$A$15:$A$28,F288)*H287</f>
        <v/>
      </c>
    </row>
    <row r="289">
      <c r="A289" s="71">
        <f>A287+1</f>
        <v/>
      </c>
      <c r="B289" s="86" t="n"/>
      <c r="C289" s="52" t="n"/>
      <c r="D289" s="53" t="n"/>
      <c r="E289" s="66" t="n"/>
      <c r="F289" s="67" t="n"/>
      <c r="G289" s="68" t="n"/>
      <c r="H289" s="68" t="n"/>
      <c r="I289" s="57">
        <f>IFERROR(H289*VLOOKUP(F289,[1]инфо!$A$15:$C$28,3,FALSE)/1000,0)</f>
        <v/>
      </c>
      <c r="J289" s="55" t="n"/>
      <c r="K289" s="55" t="n"/>
      <c r="L289" s="55" t="n"/>
      <c r="M289" s="55" t="n"/>
      <c r="N289" s="55" t="n"/>
      <c r="O289" s="58" t="n"/>
      <c r="P289" s="58" t="n"/>
      <c r="Q289" s="58" t="n"/>
      <c r="R289" s="58" t="n"/>
      <c r="S289" s="59">
        <f>SUM(O289:R289)</f>
        <v/>
      </c>
      <c r="T289" s="52" t="n"/>
      <c r="U289" s="53" t="n"/>
      <c r="V289" s="58" t="n"/>
      <c r="W289" s="68" t="n"/>
      <c r="X289" s="58" t="n"/>
      <c r="Y289" s="52" t="n"/>
      <c r="Z289" s="58" t="n"/>
      <c r="AA289" s="58" t="n"/>
      <c r="AB289" s="58" t="n"/>
      <c r="AC289" s="69" t="n"/>
      <c r="AD289" s="53" t="n"/>
      <c r="AE289" s="61">
        <f>SUMIFS([1]инфо!$D$15:$D$28,[1]инфо!$A$15:$A$28,F289)</f>
        <v/>
      </c>
      <c r="AF289" s="62">
        <f>IF(H289=0,0,N289/H289)</f>
        <v/>
      </c>
      <c r="AG289" s="63">
        <f>AF289-AE289</f>
        <v/>
      </c>
      <c r="AH289" s="61">
        <f>SUMIFS([1]инфо!$E$15:$E$28,[1]инфо!$A$15:$A$28,F289)</f>
        <v/>
      </c>
      <c r="AI289" s="64">
        <f>IF(H289=0,0,S289/H289)</f>
        <v/>
      </c>
      <c r="AJ289" s="63">
        <f>AI289-AH289</f>
        <v/>
      </c>
      <c r="AK289" s="61">
        <f>SUMIFS([1]инфо!$F$15:$F$28,[1]инфо!$A$15:$A$28,F289)</f>
        <v/>
      </c>
      <c r="AL289" s="64">
        <f>IF(H289=0,0,Y289/H289)</f>
        <v/>
      </c>
      <c r="AM289" s="63">
        <f>AL289-AK289</f>
        <v/>
      </c>
      <c r="AN289" s="61">
        <f>SUMIFS([1]инфо!$G$15:$G$28,[1]инфо!$A$15:$A$28,F289)</f>
        <v/>
      </c>
      <c r="AO289" s="64">
        <f>IF(H289=0,0,AA289/H289)</f>
        <v/>
      </c>
      <c r="AP289" s="63">
        <f>AO289-AN289</f>
        <v/>
      </c>
      <c r="AQ289" s="61">
        <f>SUMIFS([1]инфо!$H$15:$H$28,[1]инфо!$A$15:$A$28,F289)</f>
        <v/>
      </c>
      <c r="AR289" s="62">
        <f>IF(H288=0,0,AC289/H288)</f>
        <v/>
      </c>
      <c r="AS289" s="63">
        <f>AR289-AQ289</f>
        <v/>
      </c>
      <c r="AT289" s="61">
        <f>SUMIFS([1]инфо!$I$15:$I$28,[1]инфо!$A$15:$A$28,F289)</f>
        <v/>
      </c>
      <c r="AU289" s="62">
        <f>IF(H289=0,0,AD289/H289)</f>
        <v/>
      </c>
      <c r="AV289" s="63">
        <f>AU289-AT289</f>
        <v/>
      </c>
      <c r="AX289" s="59">
        <f>SUMIFS([1]инфо!$C$15:$C$28,[1]инфо!$A$15:$A$28,F289)*H288</f>
        <v/>
      </c>
    </row>
    <row r="290">
      <c r="A290" s="71">
        <f>A288+1</f>
        <v/>
      </c>
      <c r="B290" s="86" t="n"/>
      <c r="C290" s="77" t="n"/>
      <c r="D290" s="78" t="n"/>
      <c r="E290" s="66" t="n"/>
      <c r="F290" s="67" t="n"/>
      <c r="G290" s="68" t="n"/>
      <c r="H290" s="68" t="n"/>
      <c r="I290" s="57">
        <f>IFERROR(H290*VLOOKUP(F290,[1]инфо!$A$15:$C$28,3,FALSE)/1000,0)</f>
        <v/>
      </c>
      <c r="J290" s="55" t="n"/>
      <c r="K290" s="55" t="n"/>
      <c r="L290" s="55" t="n"/>
      <c r="M290" s="55" t="n"/>
      <c r="N290" s="56" t="n"/>
      <c r="O290" s="79" t="n"/>
      <c r="P290" s="79" t="n"/>
      <c r="Q290" s="79" t="n"/>
      <c r="R290" s="79" t="n"/>
      <c r="S290" s="80">
        <f>SUM(O290:R290)</f>
        <v/>
      </c>
      <c r="T290" s="77" t="n"/>
      <c r="U290" s="78" t="n"/>
      <c r="V290" s="79" t="n"/>
      <c r="W290" s="68" t="n"/>
      <c r="X290" s="79" t="n"/>
      <c r="Y290" s="77" t="n"/>
      <c r="Z290" s="79" t="n"/>
      <c r="AA290" s="79" t="n"/>
      <c r="AB290" s="79" t="n"/>
      <c r="AC290" s="69" t="n"/>
      <c r="AD290" s="78" t="n"/>
      <c r="AE290" s="81">
        <f>SUMIFS([1]инфо!$D$15:$D$28,[1]инфо!$A$15:$A$28,F290)</f>
        <v/>
      </c>
      <c r="AF290" s="62">
        <f>IF(H290=0,0,N290/H290)</f>
        <v/>
      </c>
      <c r="AG290" s="82">
        <f>AF290-AE290</f>
        <v/>
      </c>
      <c r="AH290" s="81">
        <f>SUMIFS([1]инфо!$E$15:$E$28,[1]инфо!$A$15:$A$28,F290)</f>
        <v/>
      </c>
      <c r="AI290" s="64">
        <f>IF(H290=0,0,S290/H290)</f>
        <v/>
      </c>
      <c r="AJ290" s="82">
        <f>AI290-AH290</f>
        <v/>
      </c>
      <c r="AK290" s="81">
        <f>SUMIFS([1]инфо!$F$15:$F$28,[1]инфо!$A$15:$A$28,F290)</f>
        <v/>
      </c>
      <c r="AL290" s="64">
        <f>IF(H290=0,0,Y290/H290)</f>
        <v/>
      </c>
      <c r="AM290" s="82">
        <f>AL290-AK290</f>
        <v/>
      </c>
      <c r="AN290" s="81">
        <f>SUMIFS([1]инфо!$G$15:$G$28,[1]инфо!$A$15:$A$28,F290)</f>
        <v/>
      </c>
      <c r="AO290" s="64">
        <f>IF(H290=0,0,AA290/H290)</f>
        <v/>
      </c>
      <c r="AP290" s="82">
        <f>AO290-AN290</f>
        <v/>
      </c>
      <c r="AQ290" s="81">
        <f>SUMIFS([1]инфо!$H$15:$H$28,[1]инфо!$A$15:$A$28,F290)</f>
        <v/>
      </c>
      <c r="AR290" s="85">
        <f>IF(H289=0,0,AC290/H289)</f>
        <v/>
      </c>
      <c r="AS290" s="82">
        <f>AR290-AQ290</f>
        <v/>
      </c>
      <c r="AT290" s="81">
        <f>SUMIFS([1]инфо!$I$15:$I$28,[1]инфо!$A$15:$A$28,F290)</f>
        <v/>
      </c>
      <c r="AU290" s="62">
        <f>IF(H290=0,0,AD290/H290)</f>
        <v/>
      </c>
      <c r="AV290" s="82">
        <f>AU290-AT290</f>
        <v/>
      </c>
      <c r="AX290" s="80">
        <f>SUMIFS([1]инфо!$C$15:$C$28,[1]инфо!$A$15:$A$28,F290)*H289</f>
        <v/>
      </c>
    </row>
    <row r="291">
      <c r="A291" s="71">
        <f>A289+1</f>
        <v/>
      </c>
      <c r="B291" s="86" t="n"/>
      <c r="C291" s="72" t="n"/>
      <c r="D291" s="73" t="n"/>
      <c r="E291" s="66" t="n"/>
      <c r="F291" s="67" t="n"/>
      <c r="G291" s="68" t="n"/>
      <c r="H291" s="68" t="n"/>
      <c r="I291" s="57">
        <f>IFERROR(H291*VLOOKUP(F291,[1]инфо!$A$15:$C$28,3,FALSE)/1000,0)</f>
        <v/>
      </c>
      <c r="J291" s="55" t="n"/>
      <c r="K291" s="55" t="n"/>
      <c r="L291" s="55" t="n"/>
      <c r="M291" s="55" t="n"/>
      <c r="N291" s="67" t="n"/>
      <c r="O291" s="74" t="n"/>
      <c r="P291" s="74" t="n"/>
      <c r="Q291" s="74" t="n"/>
      <c r="R291" s="74" t="n"/>
      <c r="S291" s="70">
        <f>SUM(O291:R291)</f>
        <v/>
      </c>
      <c r="T291" s="72" t="n"/>
      <c r="U291" s="73" t="n"/>
      <c r="V291" s="74" t="n"/>
      <c r="W291" s="68" t="n"/>
      <c r="X291" s="74" t="n"/>
      <c r="Y291" s="72" t="n"/>
      <c r="Z291" s="74" t="n"/>
      <c r="AA291" s="74" t="n"/>
      <c r="AB291" s="74" t="n"/>
      <c r="AC291" s="69" t="n"/>
      <c r="AD291" s="73" t="n"/>
      <c r="AE291" s="75">
        <f>SUMIFS([1]инфо!$D$15:$D$28,[1]инфо!$A$15:$A$28,F291)</f>
        <v/>
      </c>
      <c r="AF291" s="62">
        <f>IF(H291=0,0,N291/H291)</f>
        <v/>
      </c>
      <c r="AG291" s="76">
        <f>AF291-AE291</f>
        <v/>
      </c>
      <c r="AH291" s="75">
        <f>SUMIFS([1]инфо!$E$15:$E$28,[1]инфо!$A$15:$A$28,F291)</f>
        <v/>
      </c>
      <c r="AI291" s="64">
        <f>IF(H291=0,0,S291/H291)</f>
        <v/>
      </c>
      <c r="AJ291" s="76">
        <f>AI291-AH291</f>
        <v/>
      </c>
      <c r="AK291" s="75">
        <f>SUMIFS([1]инфо!$F$15:$F$28,[1]инфо!$A$15:$A$28,F291)</f>
        <v/>
      </c>
      <c r="AL291" s="64">
        <f>IF(H291=0,0,Y291/H291)</f>
        <v/>
      </c>
      <c r="AM291" s="76">
        <f>AL291-AK291</f>
        <v/>
      </c>
      <c r="AN291" s="75">
        <f>SUMIFS([1]инфо!$G$15:$G$28,[1]инфо!$A$15:$A$28,F291)</f>
        <v/>
      </c>
      <c r="AO291" s="64">
        <f>IF(H291=0,0,AA291/H291)</f>
        <v/>
      </c>
      <c r="AP291" s="76">
        <f>AO291-AN291</f>
        <v/>
      </c>
      <c r="AQ291" s="75">
        <f>SUMIFS([1]инфо!$H$15:$H$28,[1]инфо!$A$15:$A$28,F291)</f>
        <v/>
      </c>
      <c r="AR291" s="64">
        <f>IF(H290=0,0,AC291/H290)</f>
        <v/>
      </c>
      <c r="AS291" s="76">
        <f>AR291-AQ291</f>
        <v/>
      </c>
      <c r="AT291" s="75">
        <f>SUMIFS([1]инфо!$I$15:$I$28,[1]инфо!$A$15:$A$28,F291)</f>
        <v/>
      </c>
      <c r="AU291" s="62">
        <f>IF(H291=0,0,AD291/H291)</f>
        <v/>
      </c>
      <c r="AV291" s="76">
        <f>AU291-AT291</f>
        <v/>
      </c>
      <c r="AX291" s="70">
        <f>SUMIFS([1]инфо!$C$15:$C$28,[1]инфо!$A$15:$A$28,F291)*H290</f>
        <v/>
      </c>
    </row>
    <row r="292">
      <c r="A292" s="71">
        <f>A290+1</f>
        <v/>
      </c>
      <c r="B292" s="86" t="n"/>
      <c r="C292" s="52" t="n"/>
      <c r="D292" s="53" t="n"/>
      <c r="E292" s="66" t="n"/>
      <c r="F292" s="67" t="n"/>
      <c r="G292" s="68" t="n"/>
      <c r="H292" s="68" t="n"/>
      <c r="I292" s="57">
        <f>IFERROR(H292*VLOOKUP(F292,[1]инфо!$A$15:$C$28,3,FALSE)/1000,0)</f>
        <v/>
      </c>
      <c r="J292" s="55" t="n"/>
      <c r="K292" s="55" t="n"/>
      <c r="L292" s="55" t="n"/>
      <c r="M292" s="55" t="n"/>
      <c r="N292" s="55" t="n"/>
      <c r="O292" s="58" t="n"/>
      <c r="P292" s="58" t="n"/>
      <c r="Q292" s="58" t="n"/>
      <c r="R292" s="58" t="n"/>
      <c r="S292" s="59">
        <f>SUM(O292:R292)</f>
        <v/>
      </c>
      <c r="T292" s="52" t="n"/>
      <c r="U292" s="53" t="n"/>
      <c r="V292" s="58" t="n"/>
      <c r="W292" s="68" t="n"/>
      <c r="X292" s="58" t="n"/>
      <c r="Y292" s="52" t="n"/>
      <c r="Z292" s="58" t="n"/>
      <c r="AA292" s="58" t="n"/>
      <c r="AB292" s="58" t="n"/>
      <c r="AC292" s="69" t="n"/>
      <c r="AD292" s="53" t="n"/>
      <c r="AE292" s="61">
        <f>SUMIFS([1]инфо!$D$15:$D$28,[1]инфо!$A$15:$A$28,F292)</f>
        <v/>
      </c>
      <c r="AF292" s="62">
        <f>IF(H292=0,0,N292/H292)</f>
        <v/>
      </c>
      <c r="AG292" s="63">
        <f>AF292-AE292</f>
        <v/>
      </c>
      <c r="AH292" s="61">
        <f>SUMIFS([1]инфо!$E$15:$E$28,[1]инфо!$A$15:$A$28,F292)</f>
        <v/>
      </c>
      <c r="AI292" s="64">
        <f>IF(H292=0,0,S292/H292)</f>
        <v/>
      </c>
      <c r="AJ292" s="63">
        <f>AI292-AH292</f>
        <v/>
      </c>
      <c r="AK292" s="61">
        <f>SUMIFS([1]инфо!$F$15:$F$28,[1]инфо!$A$15:$A$28,F292)</f>
        <v/>
      </c>
      <c r="AL292" s="64">
        <f>IF(H292=0,0,Y292/H292)</f>
        <v/>
      </c>
      <c r="AM292" s="63">
        <f>AL292-AK292</f>
        <v/>
      </c>
      <c r="AN292" s="61">
        <f>SUMIFS([1]инфо!$G$15:$G$28,[1]инфо!$A$15:$A$28,F292)</f>
        <v/>
      </c>
      <c r="AO292" s="64">
        <f>IF(H292=0,0,AA292/H292)</f>
        <v/>
      </c>
      <c r="AP292" s="63">
        <f>AO292-AN292</f>
        <v/>
      </c>
      <c r="AQ292" s="61">
        <f>SUMIFS([1]инфо!$H$15:$H$28,[1]инфо!$A$15:$A$28,F292)</f>
        <v/>
      </c>
      <c r="AR292" s="62">
        <f>IF(H291=0,0,AC292/H291)</f>
        <v/>
      </c>
      <c r="AS292" s="63">
        <f>AR292-AQ292</f>
        <v/>
      </c>
      <c r="AT292" s="61">
        <f>SUMIFS([1]инфо!$I$15:$I$28,[1]инфо!$A$15:$A$28,F292)</f>
        <v/>
      </c>
      <c r="AU292" s="62">
        <f>IF(H292=0,0,AD292/H292)</f>
        <v/>
      </c>
      <c r="AV292" s="63">
        <f>AU292-AT292</f>
        <v/>
      </c>
      <c r="AX292" s="59">
        <f>SUMIFS([1]инфо!$C$15:$C$28,[1]инфо!$A$15:$A$28,F292)*H291</f>
        <v/>
      </c>
    </row>
    <row r="293">
      <c r="A293" s="71">
        <f>A291+1</f>
        <v/>
      </c>
      <c r="B293" s="86" t="n"/>
      <c r="C293" s="52" t="n"/>
      <c r="D293" s="53" t="n"/>
      <c r="E293" s="66" t="n"/>
      <c r="F293" s="67" t="n"/>
      <c r="G293" s="68" t="n"/>
      <c r="H293" s="68" t="n"/>
      <c r="I293" s="57">
        <f>IFERROR(H293*VLOOKUP(F293,[1]инфо!$A$15:$C$28,3,FALSE)/1000,0)</f>
        <v/>
      </c>
      <c r="J293" s="55" t="n"/>
      <c r="K293" s="55" t="n"/>
      <c r="L293" s="55" t="n"/>
      <c r="M293" s="55" t="n"/>
      <c r="N293" s="55" t="n"/>
      <c r="O293" s="58" t="n"/>
      <c r="P293" s="58" t="n"/>
      <c r="Q293" s="58" t="n"/>
      <c r="R293" s="58" t="n"/>
      <c r="S293" s="59">
        <f>SUM(O293:R293)</f>
        <v/>
      </c>
      <c r="T293" s="52" t="n"/>
      <c r="U293" s="53" t="n"/>
      <c r="V293" s="58" t="n"/>
      <c r="W293" s="68" t="n"/>
      <c r="X293" s="58" t="n"/>
      <c r="Y293" s="52" t="n"/>
      <c r="Z293" s="58" t="n"/>
      <c r="AA293" s="58" t="n"/>
      <c r="AB293" s="58" t="n"/>
      <c r="AC293" s="69" t="n"/>
      <c r="AD293" s="53" t="n"/>
      <c r="AE293" s="61">
        <f>SUMIFS([1]инфо!$D$15:$D$28,[1]инфо!$A$15:$A$28,F293)</f>
        <v/>
      </c>
      <c r="AF293" s="62">
        <f>IF(H293=0,0,N293/H293)</f>
        <v/>
      </c>
      <c r="AG293" s="63">
        <f>AF293-AE293</f>
        <v/>
      </c>
      <c r="AH293" s="61">
        <f>SUMIFS([1]инфо!$E$15:$E$28,[1]инфо!$A$15:$A$28,F293)</f>
        <v/>
      </c>
      <c r="AI293" s="64">
        <f>IF(H293=0,0,S293/H293)</f>
        <v/>
      </c>
      <c r="AJ293" s="63">
        <f>AI293-AH293</f>
        <v/>
      </c>
      <c r="AK293" s="61">
        <f>SUMIFS([1]инфо!$F$15:$F$28,[1]инфо!$A$15:$A$28,F293)</f>
        <v/>
      </c>
      <c r="AL293" s="64">
        <f>IF(H293=0,0,Y293/H293)</f>
        <v/>
      </c>
      <c r="AM293" s="63">
        <f>AL293-AK293</f>
        <v/>
      </c>
      <c r="AN293" s="61">
        <f>SUMIFS([1]инфо!$G$15:$G$28,[1]инфо!$A$15:$A$28,F293)</f>
        <v/>
      </c>
      <c r="AO293" s="64">
        <f>IF(H293=0,0,AA293/H293)</f>
        <v/>
      </c>
      <c r="AP293" s="63">
        <f>AO293-AN293</f>
        <v/>
      </c>
      <c r="AQ293" s="61">
        <f>SUMIFS([1]инфо!$H$15:$H$28,[1]инфо!$A$15:$A$28,F293)</f>
        <v/>
      </c>
      <c r="AR293" s="62">
        <f>IF(H292=0,0,AC293/H292)</f>
        <v/>
      </c>
      <c r="AS293" s="63">
        <f>AR293-AQ293</f>
        <v/>
      </c>
      <c r="AT293" s="61">
        <f>SUMIFS([1]инфо!$I$15:$I$28,[1]инфо!$A$15:$A$28,F293)</f>
        <v/>
      </c>
      <c r="AU293" s="62">
        <f>IF(H293=0,0,AD293/H293)</f>
        <v/>
      </c>
      <c r="AV293" s="63">
        <f>AU293-AT293</f>
        <v/>
      </c>
      <c r="AX293" s="59">
        <f>SUMIFS([1]инфо!$C$15:$C$28,[1]инфо!$A$15:$A$28,F293)*H292</f>
        <v/>
      </c>
    </row>
    <row r="294">
      <c r="A294" s="71">
        <f>A292+1</f>
        <v/>
      </c>
      <c r="B294" s="86" t="n"/>
      <c r="C294" s="77" t="n"/>
      <c r="D294" s="78" t="n"/>
      <c r="E294" s="66" t="n"/>
      <c r="F294" s="67" t="n"/>
      <c r="G294" s="68" t="n"/>
      <c r="H294" s="68" t="n"/>
      <c r="I294" s="57">
        <f>IFERROR(H294*VLOOKUP(F294,[1]инфо!$A$15:$C$28,3,FALSE)/1000,0)</f>
        <v/>
      </c>
      <c r="J294" s="55" t="n"/>
      <c r="K294" s="55" t="n"/>
      <c r="L294" s="55" t="n"/>
      <c r="M294" s="55" t="n"/>
      <c r="N294" s="56" t="n"/>
      <c r="O294" s="79" t="n"/>
      <c r="P294" s="79" t="n"/>
      <c r="Q294" s="79" t="n"/>
      <c r="R294" s="79" t="n"/>
      <c r="S294" s="80">
        <f>SUM(O294:R294)</f>
        <v/>
      </c>
      <c r="T294" s="77" t="n"/>
      <c r="U294" s="78" t="n"/>
      <c r="V294" s="79" t="n"/>
      <c r="W294" s="68" t="n"/>
      <c r="X294" s="79" t="n"/>
      <c r="Y294" s="77" t="n"/>
      <c r="Z294" s="79" t="n"/>
      <c r="AA294" s="79" t="n"/>
      <c r="AB294" s="79" t="n"/>
      <c r="AC294" s="69" t="n"/>
      <c r="AD294" s="78" t="n"/>
      <c r="AE294" s="81">
        <f>SUMIFS([1]инфо!$D$15:$D$28,[1]инфо!$A$15:$A$28,F294)</f>
        <v/>
      </c>
      <c r="AF294" s="62">
        <f>IF(H294=0,0,N294/H294)</f>
        <v/>
      </c>
      <c r="AG294" s="82">
        <f>AF294-AE294</f>
        <v/>
      </c>
      <c r="AH294" s="81">
        <f>SUMIFS([1]инфо!$E$15:$E$28,[1]инфо!$A$15:$A$28,F294)</f>
        <v/>
      </c>
      <c r="AI294" s="64">
        <f>IF(H294=0,0,S294/H294)</f>
        <v/>
      </c>
      <c r="AJ294" s="82">
        <f>AI294-AH294</f>
        <v/>
      </c>
      <c r="AK294" s="81">
        <f>SUMIFS([1]инфо!$F$15:$F$28,[1]инфо!$A$15:$A$28,F294)</f>
        <v/>
      </c>
      <c r="AL294" s="64">
        <f>IF(H294=0,0,Y294/H294)</f>
        <v/>
      </c>
      <c r="AM294" s="82">
        <f>AL294-AK294</f>
        <v/>
      </c>
      <c r="AN294" s="81">
        <f>SUMIFS([1]инфо!$G$15:$G$28,[1]инфо!$A$15:$A$28,F294)</f>
        <v/>
      </c>
      <c r="AO294" s="64">
        <f>IF(H294=0,0,AA294/H294)</f>
        <v/>
      </c>
      <c r="AP294" s="82">
        <f>AO294-AN294</f>
        <v/>
      </c>
      <c r="AQ294" s="81">
        <f>SUMIFS([1]инфо!$H$15:$H$28,[1]инфо!$A$15:$A$28,F294)</f>
        <v/>
      </c>
      <c r="AR294" s="85">
        <f>IF(H293=0,0,AC294/H293)</f>
        <v/>
      </c>
      <c r="AS294" s="82">
        <f>AR294-AQ294</f>
        <v/>
      </c>
      <c r="AT294" s="81">
        <f>SUMIFS([1]инфо!$I$15:$I$28,[1]инфо!$A$15:$A$28,F294)</f>
        <v/>
      </c>
      <c r="AU294" s="62">
        <f>IF(H294=0,0,AD294/H294)</f>
        <v/>
      </c>
      <c r="AV294" s="82">
        <f>AU294-AT294</f>
        <v/>
      </c>
      <c r="AX294" s="80">
        <f>SUMIFS([1]инфо!$C$15:$C$28,[1]инфо!$A$15:$A$28,F294)*H293</f>
        <v/>
      </c>
    </row>
    <row r="295">
      <c r="A295" s="71">
        <f>A293+1</f>
        <v/>
      </c>
      <c r="B295" s="86" t="n"/>
      <c r="C295" s="72" t="n"/>
      <c r="D295" s="73" t="n"/>
      <c r="E295" s="66" t="n"/>
      <c r="F295" s="67" t="n"/>
      <c r="G295" s="68" t="n"/>
      <c r="H295" s="68" t="n"/>
      <c r="I295" s="57">
        <f>IFERROR(H295*VLOOKUP(F295,[1]инфо!$A$15:$C$28,3,FALSE)/1000,0)</f>
        <v/>
      </c>
      <c r="J295" s="55" t="n"/>
      <c r="K295" s="55" t="n"/>
      <c r="L295" s="55" t="n"/>
      <c r="M295" s="55" t="n"/>
      <c r="N295" s="67" t="n"/>
      <c r="O295" s="74" t="n"/>
      <c r="P295" s="74" t="n"/>
      <c r="Q295" s="74" t="n"/>
      <c r="R295" s="74" t="n"/>
      <c r="S295" s="70">
        <f>SUM(O295:R295)</f>
        <v/>
      </c>
      <c r="T295" s="72" t="n"/>
      <c r="U295" s="73" t="n"/>
      <c r="V295" s="74" t="n"/>
      <c r="W295" s="68" t="n"/>
      <c r="X295" s="74" t="n"/>
      <c r="Y295" s="72" t="n"/>
      <c r="Z295" s="74" t="n"/>
      <c r="AA295" s="74" t="n"/>
      <c r="AB295" s="74" t="n"/>
      <c r="AC295" s="69" t="n"/>
      <c r="AD295" s="73" t="n"/>
      <c r="AE295" s="75">
        <f>SUMIFS([1]инфо!$D$15:$D$28,[1]инфо!$A$15:$A$28,F295)</f>
        <v/>
      </c>
      <c r="AF295" s="62">
        <f>IF(H295=0,0,N295/H295)</f>
        <v/>
      </c>
      <c r="AG295" s="76">
        <f>AF295-AE295</f>
        <v/>
      </c>
      <c r="AH295" s="75">
        <f>SUMIFS([1]инфо!$E$15:$E$28,[1]инфо!$A$15:$A$28,F295)</f>
        <v/>
      </c>
      <c r="AI295" s="64">
        <f>IF(H295=0,0,S295/H295)</f>
        <v/>
      </c>
      <c r="AJ295" s="76">
        <f>AI295-AH295</f>
        <v/>
      </c>
      <c r="AK295" s="75">
        <f>SUMIFS([1]инфо!$F$15:$F$28,[1]инфо!$A$15:$A$28,F295)</f>
        <v/>
      </c>
      <c r="AL295" s="64">
        <f>IF(H295=0,0,Y295/H295)</f>
        <v/>
      </c>
      <c r="AM295" s="76">
        <f>AL295-AK295</f>
        <v/>
      </c>
      <c r="AN295" s="75">
        <f>SUMIFS([1]инфо!$G$15:$G$28,[1]инфо!$A$15:$A$28,F295)</f>
        <v/>
      </c>
      <c r="AO295" s="64">
        <f>IF(H295=0,0,AA295/H295)</f>
        <v/>
      </c>
      <c r="AP295" s="76">
        <f>AO295-AN295</f>
        <v/>
      </c>
      <c r="AQ295" s="75">
        <f>SUMIFS([1]инфо!$H$15:$H$28,[1]инфо!$A$15:$A$28,F295)</f>
        <v/>
      </c>
      <c r="AR295" s="64">
        <f>IF(H294=0,0,AC295/H294)</f>
        <v/>
      </c>
      <c r="AS295" s="76">
        <f>AR295-AQ295</f>
        <v/>
      </c>
      <c r="AT295" s="75">
        <f>SUMIFS([1]инфо!$I$15:$I$28,[1]инфо!$A$15:$A$28,F295)</f>
        <v/>
      </c>
      <c r="AU295" s="62">
        <f>IF(H295=0,0,AD295/H295)</f>
        <v/>
      </c>
      <c r="AV295" s="76">
        <f>AU295-AT295</f>
        <v/>
      </c>
      <c r="AX295" s="70">
        <f>SUMIFS([1]инфо!$C$15:$C$28,[1]инфо!$A$15:$A$28,F295)*H294</f>
        <v/>
      </c>
    </row>
    <row r="296">
      <c r="A296" s="71">
        <f>A294+1</f>
        <v/>
      </c>
      <c r="B296" s="86" t="n"/>
      <c r="C296" s="52" t="n"/>
      <c r="D296" s="53" t="n"/>
      <c r="E296" s="66" t="n"/>
      <c r="F296" s="67" t="n"/>
      <c r="G296" s="68" t="n"/>
      <c r="H296" s="68" t="n"/>
      <c r="I296" s="57">
        <f>IFERROR(H296*VLOOKUP(F296,[1]инфо!$A$15:$C$28,3,FALSE)/1000,0)</f>
        <v/>
      </c>
      <c r="J296" s="55" t="n"/>
      <c r="K296" s="55" t="n"/>
      <c r="L296" s="55" t="n"/>
      <c r="M296" s="55" t="n"/>
      <c r="N296" s="55" t="n"/>
      <c r="O296" s="58" t="n"/>
      <c r="P296" s="58" t="n"/>
      <c r="Q296" s="58" t="n"/>
      <c r="R296" s="58" t="n"/>
      <c r="S296" s="59">
        <f>SUM(O296:R296)</f>
        <v/>
      </c>
      <c r="T296" s="52" t="n"/>
      <c r="U296" s="53" t="n"/>
      <c r="V296" s="58" t="n"/>
      <c r="W296" s="68" t="n"/>
      <c r="X296" s="58" t="n"/>
      <c r="Y296" s="52" t="n"/>
      <c r="Z296" s="58" t="n"/>
      <c r="AA296" s="58" t="n"/>
      <c r="AB296" s="58" t="n"/>
      <c r="AC296" s="69" t="n"/>
      <c r="AD296" s="53" t="n"/>
      <c r="AE296" s="61">
        <f>SUMIFS([1]инфо!$D$15:$D$28,[1]инфо!$A$15:$A$28,F296)</f>
        <v/>
      </c>
      <c r="AF296" s="62">
        <f>IF(H296=0,0,N296/H296)</f>
        <v/>
      </c>
      <c r="AG296" s="63">
        <f>AF296-AE296</f>
        <v/>
      </c>
      <c r="AH296" s="61">
        <f>SUMIFS([1]инфо!$E$15:$E$28,[1]инфо!$A$15:$A$28,F296)</f>
        <v/>
      </c>
      <c r="AI296" s="64">
        <f>IF(H296=0,0,S296/H296)</f>
        <v/>
      </c>
      <c r="AJ296" s="63">
        <f>AI296-AH296</f>
        <v/>
      </c>
      <c r="AK296" s="61">
        <f>SUMIFS([1]инфо!$F$15:$F$28,[1]инфо!$A$15:$A$28,F296)</f>
        <v/>
      </c>
      <c r="AL296" s="64">
        <f>IF(H296=0,0,Y296/H296)</f>
        <v/>
      </c>
      <c r="AM296" s="63">
        <f>AL296-AK296</f>
        <v/>
      </c>
      <c r="AN296" s="61">
        <f>SUMIFS([1]инфо!$G$15:$G$28,[1]инфо!$A$15:$A$28,F296)</f>
        <v/>
      </c>
      <c r="AO296" s="64">
        <f>IF(H296=0,0,AA296/H296)</f>
        <v/>
      </c>
      <c r="AP296" s="63">
        <f>AO296-AN296</f>
        <v/>
      </c>
      <c r="AQ296" s="61">
        <f>SUMIFS([1]инфо!$H$15:$H$28,[1]инфо!$A$15:$A$28,F296)</f>
        <v/>
      </c>
      <c r="AR296" s="62">
        <f>IF(H295=0,0,AC296/H295)</f>
        <v/>
      </c>
      <c r="AS296" s="63">
        <f>AR296-AQ296</f>
        <v/>
      </c>
      <c r="AT296" s="61">
        <f>SUMIFS([1]инфо!$I$15:$I$28,[1]инфо!$A$15:$A$28,F296)</f>
        <v/>
      </c>
      <c r="AU296" s="62">
        <f>IF(H296=0,0,AD296/H296)</f>
        <v/>
      </c>
      <c r="AV296" s="63">
        <f>AU296-AT296</f>
        <v/>
      </c>
      <c r="AX296" s="59">
        <f>SUMIFS([1]инфо!$C$15:$C$28,[1]инфо!$A$15:$A$28,F296)*H295</f>
        <v/>
      </c>
    </row>
    <row r="297">
      <c r="A297" s="71">
        <f>A295+1</f>
        <v/>
      </c>
      <c r="B297" s="86" t="n"/>
      <c r="C297" s="52" t="n"/>
      <c r="D297" s="53" t="n"/>
      <c r="E297" s="66" t="n"/>
      <c r="F297" s="67" t="n"/>
      <c r="G297" s="68" t="n"/>
      <c r="H297" s="68" t="n"/>
      <c r="I297" s="57">
        <f>IFERROR(H297*VLOOKUP(F297,[1]инфо!$A$15:$C$28,3,FALSE)/1000,0)</f>
        <v/>
      </c>
      <c r="J297" s="55" t="n"/>
      <c r="K297" s="55" t="n"/>
      <c r="L297" s="55" t="n"/>
      <c r="M297" s="55" t="n"/>
      <c r="N297" s="55" t="n"/>
      <c r="O297" s="58" t="n"/>
      <c r="P297" s="58" t="n"/>
      <c r="Q297" s="58" t="n"/>
      <c r="R297" s="58" t="n"/>
      <c r="S297" s="59">
        <f>SUM(O297:R297)</f>
        <v/>
      </c>
      <c r="T297" s="52" t="n"/>
      <c r="U297" s="53" t="n"/>
      <c r="V297" s="58" t="n"/>
      <c r="W297" s="68" t="n"/>
      <c r="X297" s="58" t="n"/>
      <c r="Y297" s="52" t="n"/>
      <c r="Z297" s="58" t="n"/>
      <c r="AA297" s="58" t="n"/>
      <c r="AB297" s="58" t="n"/>
      <c r="AC297" s="69" t="n"/>
      <c r="AD297" s="53" t="n"/>
      <c r="AE297" s="61">
        <f>SUMIFS([1]инфо!$D$15:$D$28,[1]инфо!$A$15:$A$28,F297)</f>
        <v/>
      </c>
      <c r="AF297" s="62">
        <f>IF(H297=0,0,N297/H297)</f>
        <v/>
      </c>
      <c r="AG297" s="63">
        <f>AF297-AE297</f>
        <v/>
      </c>
      <c r="AH297" s="61">
        <f>SUMIFS([1]инфо!$E$15:$E$28,[1]инфо!$A$15:$A$28,F297)</f>
        <v/>
      </c>
      <c r="AI297" s="64">
        <f>IF(H297=0,0,S297/H297)</f>
        <v/>
      </c>
      <c r="AJ297" s="63">
        <f>AI297-AH297</f>
        <v/>
      </c>
      <c r="AK297" s="61">
        <f>SUMIFS([1]инфо!$F$15:$F$28,[1]инфо!$A$15:$A$28,F297)</f>
        <v/>
      </c>
      <c r="AL297" s="64">
        <f>IF(H297=0,0,Y297/H297)</f>
        <v/>
      </c>
      <c r="AM297" s="63">
        <f>AL297-AK297</f>
        <v/>
      </c>
      <c r="AN297" s="61">
        <f>SUMIFS([1]инфо!$G$15:$G$28,[1]инфо!$A$15:$A$28,F297)</f>
        <v/>
      </c>
      <c r="AO297" s="64">
        <f>IF(H297=0,0,AA297/H297)</f>
        <v/>
      </c>
      <c r="AP297" s="63">
        <f>AO297-AN297</f>
        <v/>
      </c>
      <c r="AQ297" s="61">
        <f>SUMIFS([1]инфо!$H$15:$H$28,[1]инфо!$A$15:$A$28,F297)</f>
        <v/>
      </c>
      <c r="AR297" s="62">
        <f>IF(H296=0,0,AC297/H296)</f>
        <v/>
      </c>
      <c r="AS297" s="63">
        <f>AR297-AQ297</f>
        <v/>
      </c>
      <c r="AT297" s="61">
        <f>SUMIFS([1]инфо!$I$15:$I$28,[1]инфо!$A$15:$A$28,F297)</f>
        <v/>
      </c>
      <c r="AU297" s="62">
        <f>IF(H297=0,0,AD297/H297)</f>
        <v/>
      </c>
      <c r="AV297" s="63">
        <f>AU297-AT297</f>
        <v/>
      </c>
      <c r="AX297" s="59">
        <f>SUMIFS([1]инфо!$C$15:$C$28,[1]инфо!$A$15:$A$28,F297)*H296</f>
        <v/>
      </c>
    </row>
    <row r="298">
      <c r="A298" s="71">
        <f>A296+1</f>
        <v/>
      </c>
      <c r="B298" s="86" t="n"/>
      <c r="C298" s="77" t="n"/>
      <c r="D298" s="78" t="n"/>
      <c r="E298" s="66" t="n"/>
      <c r="F298" s="67" t="n"/>
      <c r="G298" s="68" t="n"/>
      <c r="H298" s="68" t="n"/>
      <c r="I298" s="57">
        <f>IFERROR(H298*VLOOKUP(F298,[1]инфо!$A$15:$C$28,3,FALSE)/1000,0)</f>
        <v/>
      </c>
      <c r="J298" s="55" t="n"/>
      <c r="K298" s="55" t="n"/>
      <c r="L298" s="55" t="n"/>
      <c r="M298" s="55" t="n"/>
      <c r="N298" s="56" t="n"/>
      <c r="O298" s="79" t="n"/>
      <c r="P298" s="79" t="n"/>
      <c r="Q298" s="79" t="n"/>
      <c r="R298" s="79" t="n"/>
      <c r="S298" s="80">
        <f>SUM(O298:R298)</f>
        <v/>
      </c>
      <c r="T298" s="77" t="n"/>
      <c r="U298" s="78" t="n"/>
      <c r="V298" s="79" t="n"/>
      <c r="W298" s="68" t="n"/>
      <c r="X298" s="79" t="n"/>
      <c r="Y298" s="77" t="n"/>
      <c r="Z298" s="79" t="n"/>
      <c r="AA298" s="79" t="n"/>
      <c r="AB298" s="79" t="n"/>
      <c r="AC298" s="69" t="n"/>
      <c r="AD298" s="78" t="n"/>
      <c r="AE298" s="81">
        <f>SUMIFS([1]инфо!$D$15:$D$28,[1]инфо!$A$15:$A$28,F298)</f>
        <v/>
      </c>
      <c r="AF298" s="62">
        <f>IF(H298=0,0,N298/H298)</f>
        <v/>
      </c>
      <c r="AG298" s="82">
        <f>AF298-AE298</f>
        <v/>
      </c>
      <c r="AH298" s="81">
        <f>SUMIFS([1]инфо!$E$15:$E$28,[1]инфо!$A$15:$A$28,F298)</f>
        <v/>
      </c>
      <c r="AI298" s="64">
        <f>IF(H298=0,0,S298/H298)</f>
        <v/>
      </c>
      <c r="AJ298" s="82">
        <f>AI298-AH298</f>
        <v/>
      </c>
      <c r="AK298" s="81">
        <f>SUMIFS([1]инфо!$F$15:$F$28,[1]инфо!$A$15:$A$28,F298)</f>
        <v/>
      </c>
      <c r="AL298" s="64">
        <f>IF(H298=0,0,Y298/H298)</f>
        <v/>
      </c>
      <c r="AM298" s="82">
        <f>AL298-AK298</f>
        <v/>
      </c>
      <c r="AN298" s="81">
        <f>SUMIFS([1]инфо!$G$15:$G$28,[1]инфо!$A$15:$A$28,F298)</f>
        <v/>
      </c>
      <c r="AO298" s="64">
        <f>IF(H298=0,0,AA298/H298)</f>
        <v/>
      </c>
      <c r="AP298" s="82">
        <f>AO298-AN298</f>
        <v/>
      </c>
      <c r="AQ298" s="81">
        <f>SUMIFS([1]инфо!$H$15:$H$28,[1]инфо!$A$15:$A$28,F298)</f>
        <v/>
      </c>
      <c r="AR298" s="85">
        <f>IF(H297=0,0,AC298/H297)</f>
        <v/>
      </c>
      <c r="AS298" s="82">
        <f>AR298-AQ298</f>
        <v/>
      </c>
      <c r="AT298" s="81">
        <f>SUMIFS([1]инфо!$I$15:$I$28,[1]инфо!$A$15:$A$28,F298)</f>
        <v/>
      </c>
      <c r="AU298" s="62">
        <f>IF(H298=0,0,AD298/H298)</f>
        <v/>
      </c>
      <c r="AV298" s="82">
        <f>AU298-AT298</f>
        <v/>
      </c>
      <c r="AX298" s="80">
        <f>SUMIFS([1]инфо!$C$15:$C$28,[1]инфо!$A$15:$A$28,F298)*H297</f>
        <v/>
      </c>
    </row>
    <row r="299">
      <c r="A299" s="71">
        <f>A297+1</f>
        <v/>
      </c>
      <c r="B299" s="86" t="n"/>
      <c r="C299" s="72" t="n"/>
      <c r="D299" s="73" t="n"/>
      <c r="E299" s="66" t="n"/>
      <c r="F299" s="67" t="n"/>
      <c r="G299" s="68" t="n"/>
      <c r="H299" s="68" t="n"/>
      <c r="I299" s="57">
        <f>IFERROR(H299*VLOOKUP(F299,[1]инфо!$A$15:$C$28,3,FALSE)/1000,0)</f>
        <v/>
      </c>
      <c r="J299" s="55" t="n"/>
      <c r="K299" s="55" t="n"/>
      <c r="L299" s="55" t="n"/>
      <c r="M299" s="55" t="n"/>
      <c r="N299" s="67" t="n"/>
      <c r="O299" s="74" t="n"/>
      <c r="P299" s="74" t="n"/>
      <c r="Q299" s="74" t="n"/>
      <c r="R299" s="74" t="n"/>
      <c r="S299" s="70">
        <f>SUM(O299:R299)</f>
        <v/>
      </c>
      <c r="T299" s="72" t="n"/>
      <c r="U299" s="73" t="n"/>
      <c r="V299" s="74" t="n"/>
      <c r="W299" s="68" t="n"/>
      <c r="X299" s="74" t="n"/>
      <c r="Y299" s="72" t="n"/>
      <c r="Z299" s="74" t="n"/>
      <c r="AA299" s="74" t="n"/>
      <c r="AB299" s="74" t="n"/>
      <c r="AC299" s="69" t="n"/>
      <c r="AD299" s="73" t="n"/>
      <c r="AE299" s="75">
        <f>SUMIFS([1]инфо!$D$15:$D$28,[1]инфо!$A$15:$A$28,F299)</f>
        <v/>
      </c>
      <c r="AF299" s="62">
        <f>IF(H299=0,0,N299/H299)</f>
        <v/>
      </c>
      <c r="AG299" s="76">
        <f>AF299-AE299</f>
        <v/>
      </c>
      <c r="AH299" s="75">
        <f>SUMIFS([1]инфо!$E$15:$E$28,[1]инфо!$A$15:$A$28,F299)</f>
        <v/>
      </c>
      <c r="AI299" s="64">
        <f>IF(H299=0,0,S299/H299)</f>
        <v/>
      </c>
      <c r="AJ299" s="76">
        <f>AI299-AH299</f>
        <v/>
      </c>
      <c r="AK299" s="75">
        <f>SUMIFS([1]инфо!$F$15:$F$28,[1]инфо!$A$15:$A$28,F299)</f>
        <v/>
      </c>
      <c r="AL299" s="64">
        <f>IF(H299=0,0,Y299/H299)</f>
        <v/>
      </c>
      <c r="AM299" s="76">
        <f>AL299-AK299</f>
        <v/>
      </c>
      <c r="AN299" s="75">
        <f>SUMIFS([1]инфо!$G$15:$G$28,[1]инфо!$A$15:$A$28,F299)</f>
        <v/>
      </c>
      <c r="AO299" s="64">
        <f>IF(H299=0,0,AA299/H299)</f>
        <v/>
      </c>
      <c r="AP299" s="76">
        <f>AO299-AN299</f>
        <v/>
      </c>
      <c r="AQ299" s="75">
        <f>SUMIFS([1]инфо!$H$15:$H$28,[1]инфо!$A$15:$A$28,F299)</f>
        <v/>
      </c>
      <c r="AR299" s="64">
        <f>IF(H298=0,0,AC299/H298)</f>
        <v/>
      </c>
      <c r="AS299" s="76">
        <f>AR299-AQ299</f>
        <v/>
      </c>
      <c r="AT299" s="75">
        <f>SUMIFS([1]инфо!$I$15:$I$28,[1]инфо!$A$15:$A$28,F299)</f>
        <v/>
      </c>
      <c r="AU299" s="62">
        <f>IF(H299=0,0,AD299/H299)</f>
        <v/>
      </c>
      <c r="AV299" s="76">
        <f>AU299-AT299</f>
        <v/>
      </c>
      <c r="AX299" s="70">
        <f>SUMIFS([1]инфо!$C$15:$C$28,[1]инфо!$A$15:$A$28,F299)*H298</f>
        <v/>
      </c>
    </row>
    <row r="300">
      <c r="A300" s="71">
        <f>A298+1</f>
        <v/>
      </c>
      <c r="B300" s="51" t="n"/>
      <c r="C300" s="52" t="n"/>
      <c r="D300" s="53" t="n"/>
      <c r="E300" s="66" t="n"/>
      <c r="F300" s="67" t="n"/>
      <c r="G300" s="68" t="n"/>
      <c r="H300" s="68" t="n"/>
      <c r="I300" s="57">
        <f>IFERROR(H300*VLOOKUP(F300,[1]инфо!$A$15:$C$28,3,FALSE)/1000,0)</f>
        <v/>
      </c>
      <c r="J300" s="55" t="n"/>
      <c r="K300" s="55" t="n"/>
      <c r="L300" s="55" t="n"/>
      <c r="M300" s="55" t="n"/>
      <c r="N300" s="55" t="n"/>
      <c r="O300" s="58" t="n"/>
      <c r="P300" s="58" t="n"/>
      <c r="Q300" s="58" t="n"/>
      <c r="R300" s="58" t="n"/>
      <c r="S300" s="59">
        <f>SUM(O300:R300)</f>
        <v/>
      </c>
      <c r="T300" s="52" t="n"/>
      <c r="U300" s="53" t="n"/>
      <c r="V300" s="58" t="n"/>
      <c r="W300" s="68" t="n"/>
      <c r="X300" s="58" t="n"/>
      <c r="Y300" s="52" t="n"/>
      <c r="Z300" s="58" t="n"/>
      <c r="AA300" s="58" t="n"/>
      <c r="AB300" s="58" t="n"/>
      <c r="AC300" s="69" t="n"/>
      <c r="AD300" s="53" t="n"/>
      <c r="AE300" s="61">
        <f>SUMIFS([1]инфо!$D$15:$D$28,[1]инфо!$A$15:$A$28,F300)</f>
        <v/>
      </c>
      <c r="AF300" s="62">
        <f>IF(H300=0,0,N300/H300)</f>
        <v/>
      </c>
      <c r="AG300" s="63">
        <f>AF300-AE300</f>
        <v/>
      </c>
      <c r="AH300" s="61">
        <f>SUMIFS([1]инфо!$E$15:$E$28,[1]инфо!$A$15:$A$28,F300)</f>
        <v/>
      </c>
      <c r="AI300" s="64">
        <f>IF(H300=0,0,S300/H300)</f>
        <v/>
      </c>
      <c r="AJ300" s="63">
        <f>AI300-AH300</f>
        <v/>
      </c>
      <c r="AK300" s="61">
        <f>SUMIFS([1]инфо!$F$15:$F$28,[1]инфо!$A$15:$A$28,F300)</f>
        <v/>
      </c>
      <c r="AL300" s="64">
        <f>IF(H300=0,0,Y300/H300)</f>
        <v/>
      </c>
      <c r="AM300" s="63">
        <f>AL300-AK300</f>
        <v/>
      </c>
      <c r="AN300" s="61">
        <f>SUMIFS([1]инфо!$G$15:$G$28,[1]инфо!$A$15:$A$28,F300)</f>
        <v/>
      </c>
      <c r="AO300" s="64">
        <f>IF(H300=0,0,AA300/H300)</f>
        <v/>
      </c>
      <c r="AP300" s="63">
        <f>AO300-AN300</f>
        <v/>
      </c>
      <c r="AQ300" s="61">
        <f>SUMIFS([1]инфо!$H$15:$H$28,[1]инфо!$A$15:$A$28,F300)</f>
        <v/>
      </c>
      <c r="AR300" s="62">
        <f>IF(H299=0,0,AC300/H299)</f>
        <v/>
      </c>
      <c r="AS300" s="63">
        <f>AR300-AQ300</f>
        <v/>
      </c>
      <c r="AT300" s="61">
        <f>SUMIFS([1]инфо!$I$15:$I$28,[1]инфо!$A$15:$A$28,F300)</f>
        <v/>
      </c>
      <c r="AU300" s="62">
        <f>IF(H300=0,0,AD300/H300)</f>
        <v/>
      </c>
      <c r="AV300" s="63">
        <f>AU300-AT300</f>
        <v/>
      </c>
      <c r="AX300" s="59">
        <f>SUMIFS([1]инфо!$C$15:$C$28,[1]инфо!$A$15:$A$28,F300)*H299</f>
        <v/>
      </c>
    </row>
    <row r="301">
      <c r="A301" s="71">
        <f>A299+1</f>
        <v/>
      </c>
      <c r="B301" s="51" t="n"/>
      <c r="C301" s="52" t="n"/>
      <c r="D301" s="53" t="n"/>
      <c r="E301" s="66" t="n"/>
      <c r="F301" s="67" t="n"/>
      <c r="G301" s="68" t="n"/>
      <c r="H301" s="68" t="n"/>
      <c r="I301" s="57">
        <f>IFERROR(H301*VLOOKUP(F301,[1]инфо!$A$15:$C$28,3,FALSE)/1000,0)</f>
        <v/>
      </c>
      <c r="J301" s="55" t="n"/>
      <c r="K301" s="55" t="n"/>
      <c r="L301" s="55" t="n"/>
      <c r="M301" s="55" t="n"/>
      <c r="N301" s="55" t="n"/>
      <c r="O301" s="58" t="n"/>
      <c r="P301" s="58" t="n"/>
      <c r="Q301" s="58" t="n"/>
      <c r="R301" s="58" t="n"/>
      <c r="S301" s="59">
        <f>SUM(O301:R301)</f>
        <v/>
      </c>
      <c r="T301" s="52" t="n"/>
      <c r="U301" s="53" t="n"/>
      <c r="V301" s="58" t="n"/>
      <c r="W301" s="68" t="n"/>
      <c r="X301" s="58" t="n"/>
      <c r="Y301" s="52" t="n"/>
      <c r="Z301" s="58" t="n"/>
      <c r="AA301" s="58" t="n"/>
      <c r="AB301" s="58" t="n"/>
      <c r="AC301" s="69" t="n"/>
      <c r="AD301" s="53" t="n"/>
      <c r="AE301" s="61">
        <f>SUMIFS([1]инфо!$D$15:$D$28,[1]инфо!$A$15:$A$28,F301)</f>
        <v/>
      </c>
      <c r="AF301" s="62">
        <f>IF(H301=0,0,N301/H301)</f>
        <v/>
      </c>
      <c r="AG301" s="63">
        <f>AF301-AE301</f>
        <v/>
      </c>
      <c r="AH301" s="61">
        <f>SUMIFS([1]инфо!$E$15:$E$28,[1]инфо!$A$15:$A$28,F301)</f>
        <v/>
      </c>
      <c r="AI301" s="64">
        <f>IF(H301=0,0,S301/H301)</f>
        <v/>
      </c>
      <c r="AJ301" s="63">
        <f>AI301-AH301</f>
        <v/>
      </c>
      <c r="AK301" s="61">
        <f>SUMIFS([1]инфо!$F$15:$F$28,[1]инфо!$A$15:$A$28,F301)</f>
        <v/>
      </c>
      <c r="AL301" s="64">
        <f>IF(H301=0,0,Y301/H301)</f>
        <v/>
      </c>
      <c r="AM301" s="63">
        <f>AL301-AK301</f>
        <v/>
      </c>
      <c r="AN301" s="61">
        <f>SUMIFS([1]инфо!$G$15:$G$28,[1]инфо!$A$15:$A$28,F301)</f>
        <v/>
      </c>
      <c r="AO301" s="64">
        <f>IF(H301=0,0,AA301/H301)</f>
        <v/>
      </c>
      <c r="AP301" s="63">
        <f>AO301-AN301</f>
        <v/>
      </c>
      <c r="AQ301" s="61">
        <f>SUMIFS([1]инфо!$H$15:$H$28,[1]инфо!$A$15:$A$28,F301)</f>
        <v/>
      </c>
      <c r="AR301" s="62">
        <f>IF(H300=0,0,AC301/H300)</f>
        <v/>
      </c>
      <c r="AS301" s="63">
        <f>AR301-AQ301</f>
        <v/>
      </c>
      <c r="AT301" s="61">
        <f>SUMIFS([1]инфо!$I$15:$I$28,[1]инфо!$A$15:$A$28,F301)</f>
        <v/>
      </c>
      <c r="AU301" s="62">
        <f>IF(H301=0,0,AD301/H301)</f>
        <v/>
      </c>
      <c r="AV301" s="63">
        <f>AU301-AT301</f>
        <v/>
      </c>
      <c r="AX301" s="59">
        <f>SUMIFS([1]инфо!$C$15:$C$28,[1]инфо!$A$15:$A$28,F301)*H300</f>
        <v/>
      </c>
    </row>
    <row r="302">
      <c r="A302" s="71">
        <f>A300+1</f>
        <v/>
      </c>
      <c r="B302" s="51" t="n"/>
      <c r="C302" s="77" t="n"/>
      <c r="D302" s="78" t="n"/>
      <c r="E302" s="66" t="n"/>
      <c r="F302" s="67" t="n"/>
      <c r="G302" s="68" t="n"/>
      <c r="H302" s="68" t="n"/>
      <c r="I302" s="57">
        <f>IFERROR(H302*VLOOKUP(F302,[1]инфо!$A$15:$C$28,3,FALSE)/1000,0)</f>
        <v/>
      </c>
      <c r="J302" s="55" t="n"/>
      <c r="K302" s="55" t="n"/>
      <c r="L302" s="55" t="n"/>
      <c r="M302" s="55" t="n"/>
      <c r="N302" s="56" t="n"/>
      <c r="O302" s="79" t="n"/>
      <c r="P302" s="79" t="n"/>
      <c r="Q302" s="79" t="n"/>
      <c r="R302" s="79" t="n"/>
      <c r="S302" s="80">
        <f>SUM(O302:R302)</f>
        <v/>
      </c>
      <c r="T302" s="77" t="n"/>
      <c r="U302" s="78" t="n"/>
      <c r="V302" s="79" t="n"/>
      <c r="W302" s="68" t="n"/>
      <c r="X302" s="79" t="n"/>
      <c r="Y302" s="77" t="n"/>
      <c r="Z302" s="79" t="n"/>
      <c r="AA302" s="79" t="n"/>
      <c r="AB302" s="79" t="n"/>
      <c r="AC302" s="69" t="n"/>
      <c r="AD302" s="78" t="n"/>
      <c r="AE302" s="81">
        <f>SUMIFS([1]инфо!$D$15:$D$28,[1]инфо!$A$15:$A$28,F302)</f>
        <v/>
      </c>
      <c r="AF302" s="62">
        <f>IF(H302=0,0,N302/H302)</f>
        <v/>
      </c>
      <c r="AG302" s="82">
        <f>AF302-AE302</f>
        <v/>
      </c>
      <c r="AH302" s="81">
        <f>SUMIFS([1]инфо!$E$15:$E$28,[1]инфо!$A$15:$A$28,F302)</f>
        <v/>
      </c>
      <c r="AI302" s="64">
        <f>IF(H302=0,0,S302/H302)</f>
        <v/>
      </c>
      <c r="AJ302" s="82">
        <f>AI302-AH302</f>
        <v/>
      </c>
      <c r="AK302" s="81">
        <f>SUMIFS([1]инфо!$F$15:$F$28,[1]инфо!$A$15:$A$28,F302)</f>
        <v/>
      </c>
      <c r="AL302" s="64">
        <f>IF(H302=0,0,Y302/H302)</f>
        <v/>
      </c>
      <c r="AM302" s="82">
        <f>AL302-AK302</f>
        <v/>
      </c>
      <c r="AN302" s="81">
        <f>SUMIFS([1]инфо!$G$15:$G$28,[1]инфо!$A$15:$A$28,F302)</f>
        <v/>
      </c>
      <c r="AO302" s="64">
        <f>IF(H302=0,0,AA302/H302)</f>
        <v/>
      </c>
      <c r="AP302" s="82">
        <f>AO302-AN302</f>
        <v/>
      </c>
      <c r="AQ302" s="81">
        <f>SUMIFS([1]инфо!$H$15:$H$28,[1]инфо!$A$15:$A$28,F302)</f>
        <v/>
      </c>
      <c r="AR302" s="85">
        <f>IF(H301=0,0,AC302/H301)</f>
        <v/>
      </c>
      <c r="AS302" s="82">
        <f>AR302-AQ302</f>
        <v/>
      </c>
      <c r="AT302" s="81">
        <f>SUMIFS([1]инфо!$I$15:$I$28,[1]инфо!$A$15:$A$28,F302)</f>
        <v/>
      </c>
      <c r="AU302" s="62">
        <f>IF(H302=0,0,AD302/H302)</f>
        <v/>
      </c>
      <c r="AV302" s="82">
        <f>AU302-AT302</f>
        <v/>
      </c>
      <c r="AX302" s="80">
        <f>SUMIFS([1]инфо!$C$15:$C$28,[1]инфо!$A$15:$A$28,F302)*H301</f>
        <v/>
      </c>
    </row>
    <row r="303">
      <c r="A303" s="71">
        <f>A301+1</f>
        <v/>
      </c>
      <c r="B303" s="51" t="n"/>
      <c r="C303" s="72" t="n"/>
      <c r="D303" s="73" t="n"/>
      <c r="E303" s="66" t="n"/>
      <c r="F303" s="67" t="n"/>
      <c r="G303" s="68" t="n"/>
      <c r="H303" s="68" t="n"/>
      <c r="I303" s="57">
        <f>IFERROR(H303*VLOOKUP(F303,[1]инфо!$A$15:$C$28,3,FALSE)/1000,0)</f>
        <v/>
      </c>
      <c r="J303" s="55" t="n"/>
      <c r="K303" s="55" t="n"/>
      <c r="L303" s="55" t="n"/>
      <c r="M303" s="55" t="n"/>
      <c r="N303" s="67" t="n"/>
      <c r="O303" s="74" t="n"/>
      <c r="P303" s="74" t="n"/>
      <c r="Q303" s="74" t="n"/>
      <c r="R303" s="74" t="n"/>
      <c r="S303" s="70">
        <f>SUM(O303:R303)</f>
        <v/>
      </c>
      <c r="T303" s="72" t="n"/>
      <c r="U303" s="73" t="n"/>
      <c r="V303" s="74" t="n"/>
      <c r="W303" s="68" t="n"/>
      <c r="X303" s="74" t="n"/>
      <c r="Y303" s="72" t="n"/>
      <c r="Z303" s="74" t="n"/>
      <c r="AA303" s="74" t="n"/>
      <c r="AB303" s="74" t="n"/>
      <c r="AC303" s="69" t="n"/>
      <c r="AD303" s="73" t="n"/>
      <c r="AE303" s="75">
        <f>SUMIFS([1]инфо!$D$15:$D$28,[1]инфо!$A$15:$A$28,F303)</f>
        <v/>
      </c>
      <c r="AF303" s="62">
        <f>IF(H303=0,0,N303/H303)</f>
        <v/>
      </c>
      <c r="AG303" s="76">
        <f>AF303-AE303</f>
        <v/>
      </c>
      <c r="AH303" s="75">
        <f>SUMIFS([1]инфо!$E$15:$E$28,[1]инфо!$A$15:$A$28,F303)</f>
        <v/>
      </c>
      <c r="AI303" s="64">
        <f>IF(H303=0,0,S303/H303)</f>
        <v/>
      </c>
      <c r="AJ303" s="76">
        <f>AI303-AH303</f>
        <v/>
      </c>
      <c r="AK303" s="75">
        <f>SUMIFS([1]инфо!$F$15:$F$28,[1]инфо!$A$15:$A$28,F303)</f>
        <v/>
      </c>
      <c r="AL303" s="64">
        <f>IF(H303=0,0,Y303/H303)</f>
        <v/>
      </c>
      <c r="AM303" s="76">
        <f>AL303-AK303</f>
        <v/>
      </c>
      <c r="AN303" s="75">
        <f>SUMIFS([1]инфо!$G$15:$G$28,[1]инфо!$A$15:$A$28,F303)</f>
        <v/>
      </c>
      <c r="AO303" s="64">
        <f>IF(H303=0,0,AA303/H303)</f>
        <v/>
      </c>
      <c r="AP303" s="76">
        <f>AO303-AN303</f>
        <v/>
      </c>
      <c r="AQ303" s="75">
        <f>SUMIFS([1]инфо!$H$15:$H$28,[1]инфо!$A$15:$A$28,F303)</f>
        <v/>
      </c>
      <c r="AR303" s="64">
        <f>IF(H302=0,0,AC303/H302)</f>
        <v/>
      </c>
      <c r="AS303" s="76">
        <f>AR303-AQ303</f>
        <v/>
      </c>
      <c r="AT303" s="75">
        <f>SUMIFS([1]инфо!$I$15:$I$28,[1]инфо!$A$15:$A$28,F303)</f>
        <v/>
      </c>
      <c r="AU303" s="62">
        <f>IF(H303=0,0,AD303/H303)</f>
        <v/>
      </c>
      <c r="AV303" s="76">
        <f>AU303-AT303</f>
        <v/>
      </c>
      <c r="AX303" s="70">
        <f>SUMIFS([1]инфо!$C$15:$C$28,[1]инфо!$A$15:$A$28,F303)*H302</f>
        <v/>
      </c>
    </row>
    <row r="304">
      <c r="A304" s="71">
        <f>A302+1</f>
        <v/>
      </c>
      <c r="B304" s="51" t="n"/>
      <c r="C304" s="52" t="n"/>
      <c r="D304" s="53" t="n"/>
      <c r="E304" s="66" t="n"/>
      <c r="F304" s="67" t="n"/>
      <c r="G304" s="68" t="n"/>
      <c r="H304" s="68" t="n"/>
      <c r="I304" s="57">
        <f>IFERROR(H304*VLOOKUP(F304,[1]инфо!$A$15:$C$28,3,FALSE)/1000,0)</f>
        <v/>
      </c>
      <c r="J304" s="55" t="n"/>
      <c r="K304" s="55" t="n"/>
      <c r="L304" s="55" t="n"/>
      <c r="M304" s="55" t="n"/>
      <c r="N304" s="55" t="n"/>
      <c r="O304" s="58" t="n"/>
      <c r="P304" s="58" t="n"/>
      <c r="Q304" s="58" t="n"/>
      <c r="R304" s="58" t="n"/>
      <c r="S304" s="59">
        <f>SUM(O304:R304)</f>
        <v/>
      </c>
      <c r="T304" s="52" t="n"/>
      <c r="U304" s="53" t="n"/>
      <c r="V304" s="58" t="n"/>
      <c r="W304" s="68" t="n"/>
      <c r="X304" s="58" t="n"/>
      <c r="Y304" s="52" t="n"/>
      <c r="Z304" s="58" t="n"/>
      <c r="AA304" s="58" t="n"/>
      <c r="AB304" s="58" t="n"/>
      <c r="AC304" s="69" t="n"/>
      <c r="AD304" s="53" t="n"/>
      <c r="AE304" s="61">
        <f>SUMIFS([1]инфо!$D$15:$D$28,[1]инфо!$A$15:$A$28,F304)</f>
        <v/>
      </c>
      <c r="AF304" s="62">
        <f>IF(H304=0,0,N304/H304)</f>
        <v/>
      </c>
      <c r="AG304" s="63">
        <f>AF304-AE304</f>
        <v/>
      </c>
      <c r="AH304" s="61">
        <f>SUMIFS([1]инфо!$E$15:$E$28,[1]инфо!$A$15:$A$28,F304)</f>
        <v/>
      </c>
      <c r="AI304" s="64">
        <f>IF(H304=0,0,S304/H304)</f>
        <v/>
      </c>
      <c r="AJ304" s="63">
        <f>AI304-AH304</f>
        <v/>
      </c>
      <c r="AK304" s="61">
        <f>SUMIFS([1]инфо!$F$15:$F$28,[1]инфо!$A$15:$A$28,F304)</f>
        <v/>
      </c>
      <c r="AL304" s="64">
        <f>IF(H304=0,0,Y304/H304)</f>
        <v/>
      </c>
      <c r="AM304" s="63">
        <f>AL304-AK304</f>
        <v/>
      </c>
      <c r="AN304" s="61">
        <f>SUMIFS([1]инфо!$G$15:$G$28,[1]инфо!$A$15:$A$28,F304)</f>
        <v/>
      </c>
      <c r="AO304" s="64">
        <f>IF(H304=0,0,AA304/H304)</f>
        <v/>
      </c>
      <c r="AP304" s="63">
        <f>AO304-AN304</f>
        <v/>
      </c>
      <c r="AQ304" s="61">
        <f>SUMIFS([1]инфо!$H$15:$H$28,[1]инфо!$A$15:$A$28,F304)</f>
        <v/>
      </c>
      <c r="AR304" s="62">
        <f>IF(H303=0,0,AC304/H303)</f>
        <v/>
      </c>
      <c r="AS304" s="63">
        <f>AR304-AQ304</f>
        <v/>
      </c>
      <c r="AT304" s="61">
        <f>SUMIFS([1]инфо!$I$15:$I$28,[1]инфо!$A$15:$A$28,F304)</f>
        <v/>
      </c>
      <c r="AU304" s="62">
        <f>IF(H304=0,0,AD304/H304)</f>
        <v/>
      </c>
      <c r="AV304" s="63">
        <f>AU304-AT304</f>
        <v/>
      </c>
      <c r="AX304" s="59">
        <f>SUMIFS([1]инфо!$C$15:$C$28,[1]инфо!$A$15:$A$28,F304)*H303</f>
        <v/>
      </c>
    </row>
    <row r="305">
      <c r="A305" s="71">
        <f>A303+1</f>
        <v/>
      </c>
      <c r="B305" s="51" t="n"/>
      <c r="C305" s="52" t="n"/>
      <c r="D305" s="53" t="n"/>
      <c r="E305" s="66" t="n"/>
      <c r="F305" s="67" t="n"/>
      <c r="G305" s="68" t="n"/>
      <c r="H305" s="68" t="n"/>
      <c r="I305" s="57">
        <f>IFERROR(H305*VLOOKUP(F305,[1]инфо!$A$15:$C$28,3,FALSE)/1000,0)</f>
        <v/>
      </c>
      <c r="J305" s="55" t="n"/>
      <c r="K305" s="55" t="n"/>
      <c r="L305" s="55" t="n"/>
      <c r="M305" s="55" t="n"/>
      <c r="N305" s="55" t="n"/>
      <c r="O305" s="58" t="n"/>
      <c r="P305" s="58" t="n"/>
      <c r="Q305" s="58" t="n"/>
      <c r="R305" s="58" t="n"/>
      <c r="S305" s="59">
        <f>SUM(O305:R305)</f>
        <v/>
      </c>
      <c r="T305" s="52" t="n"/>
      <c r="U305" s="53" t="n"/>
      <c r="V305" s="58" t="n"/>
      <c r="W305" s="68" t="n"/>
      <c r="X305" s="58" t="n"/>
      <c r="Y305" s="52" t="n"/>
      <c r="Z305" s="58" t="n"/>
      <c r="AA305" s="58" t="n"/>
      <c r="AB305" s="58" t="n"/>
      <c r="AC305" s="69" t="n"/>
      <c r="AD305" s="53" t="n"/>
      <c r="AE305" s="61">
        <f>SUMIFS([1]инфо!$D$15:$D$28,[1]инфо!$A$15:$A$28,F305)</f>
        <v/>
      </c>
      <c r="AF305" s="62">
        <f>IF(H305=0,0,N305/H305)</f>
        <v/>
      </c>
      <c r="AG305" s="63">
        <f>AF305-AE305</f>
        <v/>
      </c>
      <c r="AH305" s="61">
        <f>SUMIFS([1]инфо!$E$15:$E$28,[1]инфо!$A$15:$A$28,F305)</f>
        <v/>
      </c>
      <c r="AI305" s="64">
        <f>IF(H305=0,0,S305/H305)</f>
        <v/>
      </c>
      <c r="AJ305" s="63">
        <f>AI305-AH305</f>
        <v/>
      </c>
      <c r="AK305" s="61">
        <f>SUMIFS([1]инфо!$F$15:$F$28,[1]инфо!$A$15:$A$28,F305)</f>
        <v/>
      </c>
      <c r="AL305" s="64">
        <f>IF(H305=0,0,Y305/H305)</f>
        <v/>
      </c>
      <c r="AM305" s="63">
        <f>AL305-AK305</f>
        <v/>
      </c>
      <c r="AN305" s="61">
        <f>SUMIFS([1]инфо!$G$15:$G$28,[1]инфо!$A$15:$A$28,F305)</f>
        <v/>
      </c>
      <c r="AO305" s="64">
        <f>IF(H305=0,0,AA305/H305)</f>
        <v/>
      </c>
      <c r="AP305" s="63">
        <f>AO305-AN305</f>
        <v/>
      </c>
      <c r="AQ305" s="61">
        <f>SUMIFS([1]инфо!$H$15:$H$28,[1]инфо!$A$15:$A$28,F305)</f>
        <v/>
      </c>
      <c r="AR305" s="62">
        <f>IF(H304=0,0,AC305/H304)</f>
        <v/>
      </c>
      <c r="AS305" s="63">
        <f>AR305-AQ305</f>
        <v/>
      </c>
      <c r="AT305" s="61">
        <f>SUMIFS([1]инфо!$I$15:$I$28,[1]инфо!$A$15:$A$28,F305)</f>
        <v/>
      </c>
      <c r="AU305" s="62">
        <f>IF(H305=0,0,AD305/H305)</f>
        <v/>
      </c>
      <c r="AV305" s="63">
        <f>AU305-AT305</f>
        <v/>
      </c>
      <c r="AX305" s="59">
        <f>SUMIFS([1]инфо!$C$15:$C$28,[1]инфо!$A$15:$A$28,F305)*H304</f>
        <v/>
      </c>
    </row>
    <row r="306">
      <c r="A306" s="71">
        <f>A304+1</f>
        <v/>
      </c>
      <c r="B306" s="51" t="n"/>
      <c r="C306" s="77" t="n"/>
      <c r="D306" s="78" t="n"/>
      <c r="E306" s="66" t="n"/>
      <c r="F306" s="67" t="n"/>
      <c r="G306" s="68" t="n"/>
      <c r="H306" s="68" t="n"/>
      <c r="I306" s="57">
        <f>IFERROR(H306*VLOOKUP(F306,[1]инфо!$A$15:$C$28,3,FALSE)/1000,0)</f>
        <v/>
      </c>
      <c r="J306" s="55" t="n"/>
      <c r="K306" s="55" t="n"/>
      <c r="L306" s="55" t="n"/>
      <c r="M306" s="55" t="n"/>
      <c r="N306" s="56" t="n"/>
      <c r="O306" s="79" t="n"/>
      <c r="P306" s="79" t="n"/>
      <c r="Q306" s="79" t="n"/>
      <c r="R306" s="79" t="n"/>
      <c r="S306" s="80">
        <f>SUM(O306:R306)</f>
        <v/>
      </c>
      <c r="T306" s="77" t="n"/>
      <c r="U306" s="78" t="n"/>
      <c r="V306" s="79" t="n"/>
      <c r="W306" s="68" t="n"/>
      <c r="X306" s="79" t="n"/>
      <c r="Y306" s="77" t="n"/>
      <c r="Z306" s="79" t="n"/>
      <c r="AA306" s="79" t="n"/>
      <c r="AB306" s="79" t="n"/>
      <c r="AC306" s="69" t="n"/>
      <c r="AD306" s="78" t="n"/>
      <c r="AE306" s="81">
        <f>SUMIFS([1]инфо!$D$15:$D$28,[1]инфо!$A$15:$A$28,F306)</f>
        <v/>
      </c>
      <c r="AF306" s="62">
        <f>IF(H306=0,0,N306/H306)</f>
        <v/>
      </c>
      <c r="AG306" s="82">
        <f>AF306-AE306</f>
        <v/>
      </c>
      <c r="AH306" s="81">
        <f>SUMIFS([1]инфо!$E$15:$E$28,[1]инфо!$A$15:$A$28,F306)</f>
        <v/>
      </c>
      <c r="AI306" s="64">
        <f>IF(H306=0,0,S306/H306)</f>
        <v/>
      </c>
      <c r="AJ306" s="82">
        <f>AI306-AH306</f>
        <v/>
      </c>
      <c r="AK306" s="81">
        <f>SUMIFS([1]инфо!$F$15:$F$28,[1]инфо!$A$15:$A$28,F306)</f>
        <v/>
      </c>
      <c r="AL306" s="64">
        <f>IF(H306=0,0,Y306/H306)</f>
        <v/>
      </c>
      <c r="AM306" s="82">
        <f>AL306-AK306</f>
        <v/>
      </c>
      <c r="AN306" s="81">
        <f>SUMIFS([1]инфо!$G$15:$G$28,[1]инфо!$A$15:$A$28,F306)</f>
        <v/>
      </c>
      <c r="AO306" s="64">
        <f>IF(H306=0,0,AA306/H306)</f>
        <v/>
      </c>
      <c r="AP306" s="82">
        <f>AO306-AN306</f>
        <v/>
      </c>
      <c r="AQ306" s="81">
        <f>SUMIFS([1]инфо!$H$15:$H$28,[1]инфо!$A$15:$A$28,F306)</f>
        <v/>
      </c>
      <c r="AR306" s="85">
        <f>IF(H305=0,0,AC306/H305)</f>
        <v/>
      </c>
      <c r="AS306" s="82">
        <f>AR306-AQ306</f>
        <v/>
      </c>
      <c r="AT306" s="81">
        <f>SUMIFS([1]инфо!$I$15:$I$28,[1]инфо!$A$15:$A$28,F306)</f>
        <v/>
      </c>
      <c r="AU306" s="62">
        <f>IF(H306=0,0,AD306/H306)</f>
        <v/>
      </c>
      <c r="AV306" s="82">
        <f>AU306-AT306</f>
        <v/>
      </c>
      <c r="AX306" s="80">
        <f>SUMIFS([1]инфо!$C$15:$C$28,[1]инфо!$A$15:$A$28,F306)*H305</f>
        <v/>
      </c>
    </row>
    <row r="307">
      <c r="A307" s="71">
        <f>A305+1</f>
        <v/>
      </c>
      <c r="B307" s="51" t="n"/>
      <c r="C307" s="72" t="n"/>
      <c r="D307" s="73" t="n"/>
      <c r="E307" s="66" t="n"/>
      <c r="F307" s="67" t="n"/>
      <c r="G307" s="68" t="n"/>
      <c r="H307" s="68" t="n"/>
      <c r="I307" s="57">
        <f>IFERROR(H307*VLOOKUP(F307,[1]инфо!$A$15:$C$28,3,FALSE)/1000,0)</f>
        <v/>
      </c>
      <c r="J307" s="55" t="n"/>
      <c r="K307" s="55" t="n"/>
      <c r="L307" s="55" t="n"/>
      <c r="M307" s="55" t="n"/>
      <c r="N307" s="67" t="n"/>
      <c r="O307" s="74" t="n"/>
      <c r="P307" s="74" t="n"/>
      <c r="Q307" s="74" t="n"/>
      <c r="R307" s="74" t="n"/>
      <c r="S307" s="70">
        <f>SUM(O307:R307)</f>
        <v/>
      </c>
      <c r="T307" s="72" t="n"/>
      <c r="U307" s="73" t="n"/>
      <c r="V307" s="74" t="n"/>
      <c r="W307" s="68" t="n"/>
      <c r="X307" s="74" t="n"/>
      <c r="Y307" s="72" t="n"/>
      <c r="Z307" s="74" t="n"/>
      <c r="AA307" s="74" t="n"/>
      <c r="AB307" s="74" t="n"/>
      <c r="AC307" s="69" t="n"/>
      <c r="AD307" s="73" t="n"/>
      <c r="AE307" s="75">
        <f>SUMIFS([1]инфо!$D$15:$D$28,[1]инфо!$A$15:$A$28,F307)</f>
        <v/>
      </c>
      <c r="AF307" s="62">
        <f>IF(H307=0,0,N307/H307)</f>
        <v/>
      </c>
      <c r="AG307" s="76">
        <f>AF307-AE307</f>
        <v/>
      </c>
      <c r="AH307" s="75">
        <f>SUMIFS([1]инфо!$E$15:$E$28,[1]инфо!$A$15:$A$28,F307)</f>
        <v/>
      </c>
      <c r="AI307" s="64">
        <f>IF(H307=0,0,S307/H307)</f>
        <v/>
      </c>
      <c r="AJ307" s="76">
        <f>AI307-AH307</f>
        <v/>
      </c>
      <c r="AK307" s="75">
        <f>SUMIFS([1]инфо!$F$15:$F$28,[1]инфо!$A$15:$A$28,F307)</f>
        <v/>
      </c>
      <c r="AL307" s="64">
        <f>IF(H307=0,0,Y307/H307)</f>
        <v/>
      </c>
      <c r="AM307" s="76">
        <f>AL307-AK307</f>
        <v/>
      </c>
      <c r="AN307" s="75">
        <f>SUMIFS([1]инфо!$G$15:$G$28,[1]инфо!$A$15:$A$28,F307)</f>
        <v/>
      </c>
      <c r="AO307" s="64">
        <f>IF(H307=0,0,AA307/H307)</f>
        <v/>
      </c>
      <c r="AP307" s="76">
        <f>AO307-AN307</f>
        <v/>
      </c>
      <c r="AQ307" s="75">
        <f>SUMIFS([1]инфо!$H$15:$H$28,[1]инфо!$A$15:$A$28,F307)</f>
        <v/>
      </c>
      <c r="AR307" s="64">
        <f>IF(H306=0,0,AC307/H306)</f>
        <v/>
      </c>
      <c r="AS307" s="76">
        <f>AR307-AQ307</f>
        <v/>
      </c>
      <c r="AT307" s="75">
        <f>SUMIFS([1]инфо!$I$15:$I$28,[1]инфо!$A$15:$A$28,F307)</f>
        <v/>
      </c>
      <c r="AU307" s="62">
        <f>IF(H307=0,0,AD307/H307)</f>
        <v/>
      </c>
      <c r="AV307" s="76">
        <f>AU307-AT307</f>
        <v/>
      </c>
      <c r="AX307" s="70">
        <f>SUMIFS([1]инфо!$C$15:$C$28,[1]инфо!$A$15:$A$28,F307)*H306</f>
        <v/>
      </c>
    </row>
    <row r="308">
      <c r="A308" s="71">
        <f>A306+1</f>
        <v/>
      </c>
      <c r="B308" s="51" t="n"/>
      <c r="C308" s="52" t="n"/>
      <c r="D308" s="53" t="n"/>
      <c r="E308" s="66" t="n"/>
      <c r="F308" s="67" t="n"/>
      <c r="G308" s="68" t="n"/>
      <c r="H308" s="68" t="n"/>
      <c r="I308" s="57">
        <f>IFERROR(H308*VLOOKUP(F308,[1]инфо!$A$15:$C$28,3,FALSE)/1000,0)</f>
        <v/>
      </c>
      <c r="J308" s="55" t="n"/>
      <c r="K308" s="55" t="n"/>
      <c r="L308" s="55" t="n"/>
      <c r="M308" s="55" t="n"/>
      <c r="N308" s="55" t="n"/>
      <c r="O308" s="58" t="n"/>
      <c r="P308" s="58" t="n"/>
      <c r="Q308" s="58" t="n"/>
      <c r="R308" s="58" t="n"/>
      <c r="S308" s="59">
        <f>SUM(O308:R308)</f>
        <v/>
      </c>
      <c r="T308" s="52" t="n"/>
      <c r="U308" s="53" t="n"/>
      <c r="V308" s="58" t="n"/>
      <c r="W308" s="68" t="n"/>
      <c r="X308" s="58" t="n"/>
      <c r="Y308" s="52" t="n"/>
      <c r="Z308" s="58" t="n"/>
      <c r="AA308" s="58" t="n"/>
      <c r="AB308" s="58" t="n"/>
      <c r="AC308" s="69" t="n"/>
      <c r="AD308" s="53" t="n"/>
      <c r="AE308" s="61">
        <f>SUMIFS([1]инфо!$D$15:$D$28,[1]инфо!$A$15:$A$28,F308)</f>
        <v/>
      </c>
      <c r="AF308" s="62">
        <f>IF(H308=0,0,N308/H308)</f>
        <v/>
      </c>
      <c r="AG308" s="63">
        <f>AF308-AE308</f>
        <v/>
      </c>
      <c r="AH308" s="61">
        <f>SUMIFS([1]инфо!$E$15:$E$28,[1]инфо!$A$15:$A$28,F308)</f>
        <v/>
      </c>
      <c r="AI308" s="64">
        <f>IF(H308=0,0,S308/H308)</f>
        <v/>
      </c>
      <c r="AJ308" s="63">
        <f>AI308-AH308</f>
        <v/>
      </c>
      <c r="AK308" s="61">
        <f>SUMIFS([1]инфо!$F$15:$F$28,[1]инфо!$A$15:$A$28,F308)</f>
        <v/>
      </c>
      <c r="AL308" s="64">
        <f>IF(H308=0,0,Y308/H308)</f>
        <v/>
      </c>
      <c r="AM308" s="63">
        <f>AL308-AK308</f>
        <v/>
      </c>
      <c r="AN308" s="61">
        <f>SUMIFS([1]инфо!$G$15:$G$28,[1]инфо!$A$15:$A$28,F308)</f>
        <v/>
      </c>
      <c r="AO308" s="64">
        <f>IF(H308=0,0,AA308/H308)</f>
        <v/>
      </c>
      <c r="AP308" s="63">
        <f>AO308-AN308</f>
        <v/>
      </c>
      <c r="AQ308" s="61">
        <f>SUMIFS([1]инфо!$H$15:$H$28,[1]инфо!$A$15:$A$28,F308)</f>
        <v/>
      </c>
      <c r="AR308" s="62">
        <f>IF(H307=0,0,AC308/H307)</f>
        <v/>
      </c>
      <c r="AS308" s="63">
        <f>AR308-AQ308</f>
        <v/>
      </c>
      <c r="AT308" s="61">
        <f>SUMIFS([1]инфо!$I$15:$I$28,[1]инфо!$A$15:$A$28,F308)</f>
        <v/>
      </c>
      <c r="AU308" s="62">
        <f>IF(H308=0,0,AD308/H308)</f>
        <v/>
      </c>
      <c r="AV308" s="63">
        <f>AU308-AT308</f>
        <v/>
      </c>
      <c r="AX308" s="59">
        <f>SUMIFS([1]инфо!$C$15:$C$28,[1]инфо!$A$15:$A$28,F308)*H307</f>
        <v/>
      </c>
    </row>
    <row r="309">
      <c r="A309" s="71">
        <f>A307+1</f>
        <v/>
      </c>
      <c r="B309" s="51" t="n"/>
      <c r="C309" s="52" t="n"/>
      <c r="D309" s="53" t="n"/>
      <c r="E309" s="66" t="n"/>
      <c r="F309" s="67" t="n"/>
      <c r="G309" s="68" t="n"/>
      <c r="H309" s="68" t="n"/>
      <c r="I309" s="57">
        <f>IFERROR(H309*VLOOKUP(F309,[1]инфо!$A$15:$C$28,3,FALSE)/1000,0)</f>
        <v/>
      </c>
      <c r="J309" s="55" t="n"/>
      <c r="K309" s="55" t="n"/>
      <c r="L309" s="55" t="n"/>
      <c r="M309" s="55" t="n"/>
      <c r="N309" s="55" t="n"/>
      <c r="O309" s="58" t="n"/>
      <c r="P309" s="58" t="n"/>
      <c r="Q309" s="58" t="n"/>
      <c r="R309" s="58" t="n"/>
      <c r="S309" s="59">
        <f>SUM(O309:R309)</f>
        <v/>
      </c>
      <c r="T309" s="52" t="n"/>
      <c r="U309" s="53" t="n"/>
      <c r="V309" s="58" t="n"/>
      <c r="W309" s="68" t="n"/>
      <c r="X309" s="58" t="n"/>
      <c r="Y309" s="52" t="n"/>
      <c r="Z309" s="58" t="n"/>
      <c r="AA309" s="58" t="n"/>
      <c r="AB309" s="58" t="n"/>
      <c r="AC309" s="69" t="n"/>
      <c r="AD309" s="53" t="n"/>
      <c r="AE309" s="61">
        <f>SUMIFS([1]инфо!$D$15:$D$28,[1]инфо!$A$15:$A$28,F309)</f>
        <v/>
      </c>
      <c r="AF309" s="62">
        <f>IF(H309=0,0,N309/H309)</f>
        <v/>
      </c>
      <c r="AG309" s="63">
        <f>AF309-AE309</f>
        <v/>
      </c>
      <c r="AH309" s="61">
        <f>SUMIFS([1]инфо!$E$15:$E$28,[1]инфо!$A$15:$A$28,F309)</f>
        <v/>
      </c>
      <c r="AI309" s="64">
        <f>IF(H309=0,0,S309/H309)</f>
        <v/>
      </c>
      <c r="AJ309" s="63">
        <f>AI309-AH309</f>
        <v/>
      </c>
      <c r="AK309" s="61">
        <f>SUMIFS([1]инфо!$F$15:$F$28,[1]инфо!$A$15:$A$28,F309)</f>
        <v/>
      </c>
      <c r="AL309" s="64">
        <f>IF(H309=0,0,Y309/H309)</f>
        <v/>
      </c>
      <c r="AM309" s="63">
        <f>AL309-AK309</f>
        <v/>
      </c>
      <c r="AN309" s="61">
        <f>SUMIFS([1]инфо!$G$15:$G$28,[1]инфо!$A$15:$A$28,F309)</f>
        <v/>
      </c>
      <c r="AO309" s="64">
        <f>IF(H309=0,0,AA309/H309)</f>
        <v/>
      </c>
      <c r="AP309" s="63">
        <f>AO309-AN309</f>
        <v/>
      </c>
      <c r="AQ309" s="61">
        <f>SUMIFS([1]инфо!$H$15:$H$28,[1]инфо!$A$15:$A$28,F309)</f>
        <v/>
      </c>
      <c r="AR309" s="62">
        <f>IF(H308=0,0,AC309/H308)</f>
        <v/>
      </c>
      <c r="AS309" s="63">
        <f>AR309-AQ309</f>
        <v/>
      </c>
      <c r="AT309" s="61">
        <f>SUMIFS([1]инфо!$I$15:$I$28,[1]инфо!$A$15:$A$28,F309)</f>
        <v/>
      </c>
      <c r="AU309" s="62">
        <f>IF(H309=0,0,AD309/H309)</f>
        <v/>
      </c>
      <c r="AV309" s="63">
        <f>AU309-AT309</f>
        <v/>
      </c>
      <c r="AX309" s="59">
        <f>SUMIFS([1]инфо!$C$15:$C$28,[1]инфо!$A$15:$A$28,F309)*H308</f>
        <v/>
      </c>
    </row>
    <row r="310">
      <c r="A310" s="71">
        <f>A308+1</f>
        <v/>
      </c>
      <c r="B310" s="51" t="n"/>
      <c r="C310" s="77" t="n"/>
      <c r="D310" s="78" t="n"/>
      <c r="E310" s="66" t="n"/>
      <c r="F310" s="67" t="n"/>
      <c r="G310" s="68" t="n"/>
      <c r="H310" s="68" t="n"/>
      <c r="I310" s="57">
        <f>IFERROR(H310*VLOOKUP(F310,[1]инфо!$A$15:$C$28,3,FALSE)/1000,0)</f>
        <v/>
      </c>
      <c r="J310" s="55" t="n"/>
      <c r="K310" s="55" t="n"/>
      <c r="L310" s="55" t="n"/>
      <c r="M310" s="55" t="n"/>
      <c r="N310" s="56" t="n"/>
      <c r="O310" s="79" t="n"/>
      <c r="P310" s="79" t="n"/>
      <c r="Q310" s="79" t="n"/>
      <c r="R310" s="79" t="n"/>
      <c r="S310" s="80">
        <f>SUM(O310:R310)</f>
        <v/>
      </c>
      <c r="T310" s="77" t="n"/>
      <c r="U310" s="78" t="n"/>
      <c r="V310" s="79" t="n"/>
      <c r="W310" s="68" t="n"/>
      <c r="X310" s="79" t="n"/>
      <c r="Y310" s="77" t="n"/>
      <c r="Z310" s="79" t="n"/>
      <c r="AA310" s="79" t="n"/>
      <c r="AB310" s="79" t="n"/>
      <c r="AC310" s="69" t="n"/>
      <c r="AD310" s="78" t="n"/>
      <c r="AE310" s="81">
        <f>SUMIFS([1]инфо!$D$15:$D$28,[1]инфо!$A$15:$A$28,F310)</f>
        <v/>
      </c>
      <c r="AF310" s="62">
        <f>IF(H310=0,0,N310/H310)</f>
        <v/>
      </c>
      <c r="AG310" s="82">
        <f>AF310-AE310</f>
        <v/>
      </c>
      <c r="AH310" s="81">
        <f>SUMIFS([1]инфо!$E$15:$E$28,[1]инфо!$A$15:$A$28,F310)</f>
        <v/>
      </c>
      <c r="AI310" s="64">
        <f>IF(H310=0,0,S310/H310)</f>
        <v/>
      </c>
      <c r="AJ310" s="82">
        <f>AI310-AH310</f>
        <v/>
      </c>
      <c r="AK310" s="81">
        <f>SUMIFS([1]инфо!$F$15:$F$28,[1]инфо!$A$15:$A$28,F310)</f>
        <v/>
      </c>
      <c r="AL310" s="64">
        <f>IF(H310=0,0,Y310/H310)</f>
        <v/>
      </c>
      <c r="AM310" s="82">
        <f>AL310-AK310</f>
        <v/>
      </c>
      <c r="AN310" s="81">
        <f>SUMIFS([1]инфо!$G$15:$G$28,[1]инфо!$A$15:$A$28,F310)</f>
        <v/>
      </c>
      <c r="AO310" s="64">
        <f>IF(H310=0,0,AA310/H310)</f>
        <v/>
      </c>
      <c r="AP310" s="82">
        <f>AO310-AN310</f>
        <v/>
      </c>
      <c r="AQ310" s="81">
        <f>SUMIFS([1]инфо!$H$15:$H$28,[1]инфо!$A$15:$A$28,F310)</f>
        <v/>
      </c>
      <c r="AR310" s="85">
        <f>IF(H309=0,0,AC310/H309)</f>
        <v/>
      </c>
      <c r="AS310" s="82">
        <f>AR310-AQ310</f>
        <v/>
      </c>
      <c r="AT310" s="81">
        <f>SUMIFS([1]инфо!$I$15:$I$28,[1]инфо!$A$15:$A$28,F310)</f>
        <v/>
      </c>
      <c r="AU310" s="62">
        <f>IF(H310=0,0,AD310/H310)</f>
        <v/>
      </c>
      <c r="AV310" s="82">
        <f>AU310-AT310</f>
        <v/>
      </c>
      <c r="AX310" s="80">
        <f>SUMIFS([1]инфо!$C$15:$C$28,[1]инфо!$A$15:$A$28,F310)*H309</f>
        <v/>
      </c>
    </row>
    <row r="311">
      <c r="A311" s="71">
        <f>A309+1</f>
        <v/>
      </c>
      <c r="B311" s="51" t="n"/>
      <c r="C311" s="72" t="n"/>
      <c r="D311" s="73" t="n"/>
      <c r="E311" s="66" t="n"/>
      <c r="F311" s="67" t="n"/>
      <c r="G311" s="68" t="n"/>
      <c r="H311" s="68" t="n"/>
      <c r="I311" s="57">
        <f>IFERROR(H311*VLOOKUP(F311,[1]инфо!$A$15:$C$28,3,FALSE)/1000,0)</f>
        <v/>
      </c>
      <c r="J311" s="55" t="n"/>
      <c r="K311" s="55" t="n"/>
      <c r="L311" s="55" t="n"/>
      <c r="M311" s="55" t="n"/>
      <c r="N311" s="67" t="n"/>
      <c r="O311" s="74" t="n"/>
      <c r="P311" s="74" t="n"/>
      <c r="Q311" s="74" t="n"/>
      <c r="R311" s="74" t="n"/>
      <c r="S311" s="70">
        <f>SUM(O311:R311)</f>
        <v/>
      </c>
      <c r="T311" s="72" t="n"/>
      <c r="U311" s="73" t="n"/>
      <c r="V311" s="74" t="n"/>
      <c r="W311" s="68" t="n"/>
      <c r="X311" s="74" t="n"/>
      <c r="Y311" s="72" t="n"/>
      <c r="Z311" s="74" t="n"/>
      <c r="AA311" s="74" t="n"/>
      <c r="AB311" s="74" t="n"/>
      <c r="AC311" s="69" t="n"/>
      <c r="AD311" s="73" t="n"/>
      <c r="AE311" s="75">
        <f>SUMIFS([1]инфо!$D$15:$D$28,[1]инфо!$A$15:$A$28,F311)</f>
        <v/>
      </c>
      <c r="AF311" s="62">
        <f>IF(H311=0,0,N311/H311)</f>
        <v/>
      </c>
      <c r="AG311" s="76">
        <f>AF311-AE311</f>
        <v/>
      </c>
      <c r="AH311" s="75">
        <f>SUMIFS([1]инфо!$E$15:$E$28,[1]инфо!$A$15:$A$28,F311)</f>
        <v/>
      </c>
      <c r="AI311" s="64">
        <f>IF(H311=0,0,S311/H311)</f>
        <v/>
      </c>
      <c r="AJ311" s="76">
        <f>AI311-AH311</f>
        <v/>
      </c>
      <c r="AK311" s="75">
        <f>SUMIFS([1]инфо!$F$15:$F$28,[1]инфо!$A$15:$A$28,F311)</f>
        <v/>
      </c>
      <c r="AL311" s="64">
        <f>IF(H311=0,0,Y311/H311)</f>
        <v/>
      </c>
      <c r="AM311" s="76">
        <f>AL311-AK311</f>
        <v/>
      </c>
      <c r="AN311" s="75">
        <f>SUMIFS([1]инфо!$G$15:$G$28,[1]инфо!$A$15:$A$28,F311)</f>
        <v/>
      </c>
      <c r="AO311" s="64">
        <f>IF(H311=0,0,AA311/H311)</f>
        <v/>
      </c>
      <c r="AP311" s="76">
        <f>AO311-AN311</f>
        <v/>
      </c>
      <c r="AQ311" s="75">
        <f>SUMIFS([1]инфо!$H$15:$H$28,[1]инфо!$A$15:$A$28,F311)</f>
        <v/>
      </c>
      <c r="AR311" s="64">
        <f>IF(H310=0,0,AC311/H310)</f>
        <v/>
      </c>
      <c r="AS311" s="76">
        <f>AR311-AQ311</f>
        <v/>
      </c>
      <c r="AT311" s="75">
        <f>SUMIFS([1]инфо!$I$15:$I$28,[1]инфо!$A$15:$A$28,F311)</f>
        <v/>
      </c>
      <c r="AU311" s="62">
        <f>IF(H311=0,0,AD311/H311)</f>
        <v/>
      </c>
      <c r="AV311" s="76">
        <f>AU311-AT311</f>
        <v/>
      </c>
      <c r="AX311" s="70">
        <f>SUMIFS([1]инфо!$C$15:$C$28,[1]инфо!$A$15:$A$28,F311)*H310</f>
        <v/>
      </c>
    </row>
    <row r="312">
      <c r="A312" s="71">
        <f>A310+1</f>
        <v/>
      </c>
      <c r="B312" s="51" t="n"/>
      <c r="C312" s="52" t="n"/>
      <c r="D312" s="53" t="n"/>
      <c r="E312" s="66" t="n"/>
      <c r="F312" s="67" t="n"/>
      <c r="G312" s="58" t="n"/>
      <c r="H312" s="55" t="n"/>
      <c r="I312" s="57">
        <f>IFERROR(H312*VLOOKUP(F312,[1]инфо!$A$15:$C$28,3,FALSE)/1000,0)</f>
        <v/>
      </c>
      <c r="J312" s="55" t="n"/>
      <c r="K312" s="55" t="n"/>
      <c r="L312" s="55" t="n"/>
      <c r="M312" s="55" t="n"/>
      <c r="N312" s="55" t="n"/>
      <c r="O312" s="58" t="n"/>
      <c r="P312" s="58" t="n"/>
      <c r="Q312" s="58" t="n"/>
      <c r="R312" s="58" t="n"/>
      <c r="S312" s="59">
        <f>SUM(O312:R312)</f>
        <v/>
      </c>
      <c r="T312" s="52" t="n"/>
      <c r="U312" s="53" t="n"/>
      <c r="V312" s="58" t="n"/>
      <c r="W312" s="68" t="n"/>
      <c r="X312" s="58" t="n"/>
      <c r="Y312" s="52" t="n"/>
      <c r="Z312" s="58" t="n"/>
      <c r="AA312" s="58" t="n"/>
      <c r="AB312" s="58" t="n"/>
      <c r="AC312" s="69" t="n"/>
      <c r="AD312" s="53" t="n"/>
      <c r="AE312" s="61">
        <f>SUMIFS([1]инфо!$D$15:$D$28,[1]инфо!$A$15:$A$28,F312)</f>
        <v/>
      </c>
      <c r="AF312" s="62">
        <f>IF(H312=0,0,N312/H312)</f>
        <v/>
      </c>
      <c r="AG312" s="63">
        <f>AF312-AE312</f>
        <v/>
      </c>
      <c r="AH312" s="61">
        <f>SUMIFS([1]инфо!$E$15:$E$28,[1]инфо!$A$15:$A$28,F312)</f>
        <v/>
      </c>
      <c r="AI312" s="64">
        <f>IF(H312=0,0,S312/H312)</f>
        <v/>
      </c>
      <c r="AJ312" s="63">
        <f>AI312-AH312</f>
        <v/>
      </c>
      <c r="AK312" s="61">
        <f>SUMIFS([1]инфо!$F$15:$F$28,[1]инфо!$A$15:$A$28,F312)</f>
        <v/>
      </c>
      <c r="AL312" s="64">
        <f>IF(H312=0,0,Y312/H312)</f>
        <v/>
      </c>
      <c r="AM312" s="63">
        <f>AL312-AK312</f>
        <v/>
      </c>
      <c r="AN312" s="61">
        <f>SUMIFS([1]инфо!$G$15:$G$28,[1]инфо!$A$15:$A$28,F312)</f>
        <v/>
      </c>
      <c r="AO312" s="64">
        <f>IF(H312=0,0,AA312/H312)</f>
        <v/>
      </c>
      <c r="AP312" s="63">
        <f>AO312-AN312</f>
        <v/>
      </c>
      <c r="AQ312" s="61">
        <f>SUMIFS([1]инфо!$H$15:$H$28,[1]инфо!$A$15:$A$28,F312)</f>
        <v/>
      </c>
      <c r="AR312" s="62">
        <f>IF(H311=0,0,AC312/H311)</f>
        <v/>
      </c>
      <c r="AS312" s="63">
        <f>AR312-AQ312</f>
        <v/>
      </c>
      <c r="AT312" s="61">
        <f>SUMIFS([1]инфо!$I$15:$I$28,[1]инфо!$A$15:$A$28,F312)</f>
        <v/>
      </c>
      <c r="AU312" s="62">
        <f>IF(H312=0,0,AD312/H312)</f>
        <v/>
      </c>
      <c r="AV312" s="63">
        <f>AU312-AT312</f>
        <v/>
      </c>
      <c r="AX312" s="59">
        <f>SUMIFS([1]инфо!$C$15:$C$28,[1]инфо!$A$15:$A$28,F312)*H311</f>
        <v/>
      </c>
    </row>
    <row r="313">
      <c r="A313" s="71">
        <f>A311+1</f>
        <v/>
      </c>
      <c r="B313" s="51" t="n"/>
      <c r="C313" s="52" t="n"/>
      <c r="D313" s="53" t="n"/>
      <c r="E313" s="66" t="n"/>
      <c r="F313" s="67" t="n"/>
      <c r="G313" s="58" t="n"/>
      <c r="H313" s="56" t="n"/>
      <c r="I313" s="57">
        <f>IFERROR(H313*VLOOKUP(F313,[1]инфо!$A$15:$C$28,3,FALSE)/1000,0)</f>
        <v/>
      </c>
      <c r="J313" s="55" t="n"/>
      <c r="K313" s="55" t="n"/>
      <c r="L313" s="55" t="n"/>
      <c r="M313" s="55" t="n"/>
      <c r="N313" s="55" t="n"/>
      <c r="O313" s="58" t="n"/>
      <c r="P313" s="58" t="n"/>
      <c r="Q313" s="58" t="n"/>
      <c r="R313" s="58" t="n"/>
      <c r="S313" s="59">
        <f>SUM(O313:R313)</f>
        <v/>
      </c>
      <c r="T313" s="52" t="n"/>
      <c r="U313" s="53" t="n"/>
      <c r="V313" s="58" t="n"/>
      <c r="W313" s="68" t="n"/>
      <c r="X313" s="58" t="n"/>
      <c r="Y313" s="52" t="n"/>
      <c r="Z313" s="58" t="n"/>
      <c r="AA313" s="58" t="n"/>
      <c r="AB313" s="58" t="n"/>
      <c r="AC313" s="69" t="n"/>
      <c r="AD313" s="53" t="n"/>
      <c r="AE313" s="61">
        <f>SUMIFS([1]инфо!$D$15:$D$28,[1]инфо!$A$15:$A$28,F313)</f>
        <v/>
      </c>
      <c r="AF313" s="62">
        <f>IF(H313=0,0,N313/H313)</f>
        <v/>
      </c>
      <c r="AG313" s="63">
        <f>AF313-AE313</f>
        <v/>
      </c>
      <c r="AH313" s="61">
        <f>SUMIFS([1]инфо!$E$15:$E$28,[1]инфо!$A$15:$A$28,F313)</f>
        <v/>
      </c>
      <c r="AI313" s="64">
        <f>IF(H313=0,0,S313/H313)</f>
        <v/>
      </c>
      <c r="AJ313" s="63">
        <f>AI313-AH313</f>
        <v/>
      </c>
      <c r="AK313" s="61">
        <f>SUMIFS([1]инфо!$F$15:$F$28,[1]инфо!$A$15:$A$28,F313)</f>
        <v/>
      </c>
      <c r="AL313" s="64">
        <f>IF(H313=0,0,Y313/H313)</f>
        <v/>
      </c>
      <c r="AM313" s="63">
        <f>AL313-AK313</f>
        <v/>
      </c>
      <c r="AN313" s="61">
        <f>SUMIFS([1]инфо!$G$15:$G$28,[1]инфо!$A$15:$A$28,F313)</f>
        <v/>
      </c>
      <c r="AO313" s="64">
        <f>IF(H313=0,0,AA313/H313)</f>
        <v/>
      </c>
      <c r="AP313" s="63">
        <f>AO313-AN313</f>
        <v/>
      </c>
      <c r="AQ313" s="61">
        <f>SUMIFS([1]инфо!$H$15:$H$28,[1]инфо!$A$15:$A$28,F313)</f>
        <v/>
      </c>
      <c r="AR313" s="62">
        <f>IF(H312=0,0,AC313/H312)</f>
        <v/>
      </c>
      <c r="AS313" s="63">
        <f>AR313-AQ313</f>
        <v/>
      </c>
      <c r="AT313" s="61">
        <f>SUMIFS([1]инфо!$I$15:$I$28,[1]инфо!$A$15:$A$28,F313)</f>
        <v/>
      </c>
      <c r="AU313" s="62">
        <f>IF(H313=0,0,AD313/H313)</f>
        <v/>
      </c>
      <c r="AV313" s="63">
        <f>AU313-AT313</f>
        <v/>
      </c>
      <c r="AX313" s="59">
        <f>SUMIFS([1]инфо!$C$15:$C$28,[1]инфо!$A$15:$A$28,F313)*H312</f>
        <v/>
      </c>
    </row>
    <row r="314">
      <c r="A314" s="71">
        <f>A312+1</f>
        <v/>
      </c>
      <c r="B314" s="51" t="n"/>
      <c r="C314" s="77" t="n"/>
      <c r="D314" s="78" t="n"/>
      <c r="E314" s="66" t="n"/>
      <c r="F314" s="67" t="n"/>
      <c r="G314" s="79" t="n"/>
      <c r="H314" s="67" t="n"/>
      <c r="I314" s="57">
        <f>IFERROR(H314*VLOOKUP(F314,[1]инфо!$A$15:$C$28,3,FALSE)/1000,0)</f>
        <v/>
      </c>
      <c r="J314" s="55" t="n"/>
      <c r="K314" s="55" t="n"/>
      <c r="L314" s="55" t="n"/>
      <c r="M314" s="55" t="n"/>
      <c r="N314" s="56" t="n"/>
      <c r="O314" s="79" t="n"/>
      <c r="P314" s="79" t="n"/>
      <c r="Q314" s="79" t="n"/>
      <c r="R314" s="79" t="n"/>
      <c r="S314" s="80">
        <f>SUM(O314:R314)</f>
        <v/>
      </c>
      <c r="T314" s="77" t="n"/>
      <c r="U314" s="78" t="n"/>
      <c r="V314" s="79" t="n"/>
      <c r="W314" s="68" t="n"/>
      <c r="X314" s="79" t="n"/>
      <c r="Y314" s="77" t="n"/>
      <c r="Z314" s="79" t="n"/>
      <c r="AA314" s="79" t="n"/>
      <c r="AB314" s="79" t="n"/>
      <c r="AC314" s="69" t="n"/>
      <c r="AD314" s="78" t="n"/>
      <c r="AE314" s="81">
        <f>SUMIFS([1]инфо!$D$15:$D$28,[1]инфо!$A$15:$A$28,F314)</f>
        <v/>
      </c>
      <c r="AF314" s="62">
        <f>IF(H314=0,0,N314/H314)</f>
        <v/>
      </c>
      <c r="AG314" s="82">
        <f>AF314-AE314</f>
        <v/>
      </c>
      <c r="AH314" s="81">
        <f>SUMIFS([1]инфо!$E$15:$E$28,[1]инфо!$A$15:$A$28,F314)</f>
        <v/>
      </c>
      <c r="AI314" s="64">
        <f>IF(H314=0,0,S314/H314)</f>
        <v/>
      </c>
      <c r="AJ314" s="82">
        <f>AI314-AH314</f>
        <v/>
      </c>
      <c r="AK314" s="81">
        <f>SUMIFS([1]инфо!$F$15:$F$28,[1]инфо!$A$15:$A$28,F314)</f>
        <v/>
      </c>
      <c r="AL314" s="64">
        <f>IF(H314=0,0,Y314/H314)</f>
        <v/>
      </c>
      <c r="AM314" s="82">
        <f>AL314-AK314</f>
        <v/>
      </c>
      <c r="AN314" s="81">
        <f>SUMIFS([1]инфо!$G$15:$G$28,[1]инфо!$A$15:$A$28,F314)</f>
        <v/>
      </c>
      <c r="AO314" s="64">
        <f>IF(H314=0,0,AA314/H314)</f>
        <v/>
      </c>
      <c r="AP314" s="82">
        <f>AO314-AN314</f>
        <v/>
      </c>
      <c r="AQ314" s="81">
        <f>SUMIFS([1]инфо!$H$15:$H$28,[1]инфо!$A$15:$A$28,F314)</f>
        <v/>
      </c>
      <c r="AR314" s="85">
        <f>IF(H313=0,0,AC314/H313)</f>
        <v/>
      </c>
      <c r="AS314" s="82">
        <f>AR314-AQ314</f>
        <v/>
      </c>
      <c r="AT314" s="81">
        <f>SUMIFS([1]инфо!$I$15:$I$28,[1]инфо!$A$15:$A$28,F314)</f>
        <v/>
      </c>
      <c r="AU314" s="62">
        <f>IF(H314=0,0,AD314/H314)</f>
        <v/>
      </c>
      <c r="AV314" s="82">
        <f>AU314-AT314</f>
        <v/>
      </c>
      <c r="AX314" s="80">
        <f>SUMIFS([1]инфо!$C$15:$C$28,[1]инфо!$A$15:$A$28,F314)*H313</f>
        <v/>
      </c>
    </row>
    <row r="315">
      <c r="A315" s="71">
        <f>A313+1</f>
        <v/>
      </c>
      <c r="B315" s="51" t="n"/>
      <c r="C315" s="72" t="n"/>
      <c r="D315" s="73" t="n"/>
      <c r="E315" s="66" t="n"/>
      <c r="F315" s="67" t="n"/>
      <c r="G315" s="74" t="n"/>
      <c r="H315" s="55" t="n"/>
      <c r="I315" s="57">
        <f>IFERROR(H315*VLOOKUP(F315,[1]инфо!$A$15:$C$28,3,FALSE)/1000,0)</f>
        <v/>
      </c>
      <c r="J315" s="55" t="n"/>
      <c r="K315" s="55" t="n"/>
      <c r="L315" s="55" t="n"/>
      <c r="M315" s="55" t="n"/>
      <c r="N315" s="67" t="n"/>
      <c r="O315" s="74" t="n"/>
      <c r="P315" s="74" t="n"/>
      <c r="Q315" s="74" t="n"/>
      <c r="R315" s="74" t="n"/>
      <c r="S315" s="70">
        <f>SUM(O315:R315)</f>
        <v/>
      </c>
      <c r="T315" s="72" t="n"/>
      <c r="U315" s="73" t="n"/>
      <c r="V315" s="74" t="n"/>
      <c r="W315" s="68" t="n"/>
      <c r="X315" s="74" t="n"/>
      <c r="Y315" s="72" t="n"/>
      <c r="Z315" s="74" t="n"/>
      <c r="AA315" s="74" t="n"/>
      <c r="AB315" s="74" t="n"/>
      <c r="AC315" s="69" t="n"/>
      <c r="AD315" s="73" t="n"/>
      <c r="AE315" s="75">
        <f>SUMIFS([1]инфо!$D$15:$D$28,[1]инфо!$A$15:$A$28,F315)</f>
        <v/>
      </c>
      <c r="AF315" s="62">
        <f>IF(H315=0,0,N315/H315)</f>
        <v/>
      </c>
      <c r="AG315" s="76">
        <f>AF315-AE315</f>
        <v/>
      </c>
      <c r="AH315" s="75">
        <f>SUMIFS([1]инфо!$E$15:$E$28,[1]инфо!$A$15:$A$28,F315)</f>
        <v/>
      </c>
      <c r="AI315" s="64">
        <f>IF(H315=0,0,S315/H315)</f>
        <v/>
      </c>
      <c r="AJ315" s="76">
        <f>AI315-AH315</f>
        <v/>
      </c>
      <c r="AK315" s="75">
        <f>SUMIFS([1]инфо!$F$15:$F$28,[1]инфо!$A$15:$A$28,F315)</f>
        <v/>
      </c>
      <c r="AL315" s="64">
        <f>IF(H315=0,0,Y315/H315)</f>
        <v/>
      </c>
      <c r="AM315" s="76">
        <f>AL315-AK315</f>
        <v/>
      </c>
      <c r="AN315" s="75">
        <f>SUMIFS([1]инфо!$G$15:$G$28,[1]инфо!$A$15:$A$28,F315)</f>
        <v/>
      </c>
      <c r="AO315" s="64">
        <f>IF(H315=0,0,AA315/H315)</f>
        <v/>
      </c>
      <c r="AP315" s="76">
        <f>AO315-AN315</f>
        <v/>
      </c>
      <c r="AQ315" s="75">
        <f>SUMIFS([1]инфо!$H$15:$H$28,[1]инфо!$A$15:$A$28,F315)</f>
        <v/>
      </c>
      <c r="AR315" s="64">
        <f>IF(H314=0,0,AC315/H314)</f>
        <v/>
      </c>
      <c r="AS315" s="76">
        <f>AR315-AQ315</f>
        <v/>
      </c>
      <c r="AT315" s="75">
        <f>SUMIFS([1]инфо!$I$15:$I$28,[1]инфо!$A$15:$A$28,F315)</f>
        <v/>
      </c>
      <c r="AU315" s="62">
        <f>IF(H315=0,0,AD315/H315)</f>
        <v/>
      </c>
      <c r="AV315" s="76">
        <f>AU315-AT315</f>
        <v/>
      </c>
      <c r="AX315" s="70">
        <f>SUMIFS([1]инфо!$C$15:$C$28,[1]инфо!$A$15:$A$28,F315)*H314</f>
        <v/>
      </c>
    </row>
    <row r="316">
      <c r="A316" s="71">
        <f>A314+1</f>
        <v/>
      </c>
      <c r="B316" s="51" t="n"/>
      <c r="C316" s="52" t="n"/>
      <c r="D316" s="53" t="n"/>
      <c r="E316" s="66" t="n"/>
      <c r="F316" s="67" t="n"/>
      <c r="G316" s="58" t="n"/>
      <c r="H316" s="55" t="n"/>
      <c r="I316" s="57">
        <f>IFERROR(H316*VLOOKUP(F316,[1]инфо!$A$15:$C$28,3,FALSE)/1000,0)</f>
        <v/>
      </c>
      <c r="J316" s="55" t="n"/>
      <c r="K316" s="55" t="n"/>
      <c r="L316" s="55" t="n"/>
      <c r="M316" s="55" t="n"/>
      <c r="N316" s="55" t="n"/>
      <c r="O316" s="58" t="n"/>
      <c r="P316" s="58" t="n"/>
      <c r="Q316" s="58" t="n"/>
      <c r="R316" s="58" t="n"/>
      <c r="S316" s="59">
        <f>SUM(O316:R316)</f>
        <v/>
      </c>
      <c r="T316" s="52" t="n"/>
      <c r="U316" s="53" t="n"/>
      <c r="V316" s="58" t="n"/>
      <c r="W316" s="68" t="n"/>
      <c r="X316" s="58" t="n"/>
      <c r="Y316" s="52" t="n"/>
      <c r="Z316" s="58" t="n"/>
      <c r="AA316" s="58" t="n"/>
      <c r="AB316" s="58" t="n"/>
      <c r="AC316" s="69" t="n"/>
      <c r="AD316" s="53" t="n"/>
      <c r="AE316" s="61">
        <f>SUMIFS([1]инфо!$D$15:$D$28,[1]инфо!$A$15:$A$28,F316)</f>
        <v/>
      </c>
      <c r="AF316" s="62">
        <f>IF(H316=0,0,N316/H316)</f>
        <v/>
      </c>
      <c r="AG316" s="63">
        <f>AF316-AE316</f>
        <v/>
      </c>
      <c r="AH316" s="61">
        <f>SUMIFS([1]инфо!$E$15:$E$28,[1]инфо!$A$15:$A$28,F316)</f>
        <v/>
      </c>
      <c r="AI316" s="64">
        <f>IF(H316=0,0,S316/H316)</f>
        <v/>
      </c>
      <c r="AJ316" s="63">
        <f>AI316-AH316</f>
        <v/>
      </c>
      <c r="AK316" s="61">
        <f>SUMIFS([1]инфо!$F$15:$F$28,[1]инфо!$A$15:$A$28,F316)</f>
        <v/>
      </c>
      <c r="AL316" s="64">
        <f>IF(H316=0,0,Y316/H316)</f>
        <v/>
      </c>
      <c r="AM316" s="63">
        <f>AL316-AK316</f>
        <v/>
      </c>
      <c r="AN316" s="61">
        <f>SUMIFS([1]инфо!$G$15:$G$28,[1]инфо!$A$15:$A$28,F316)</f>
        <v/>
      </c>
      <c r="AO316" s="64">
        <f>IF(H316=0,0,AA316/H316)</f>
        <v/>
      </c>
      <c r="AP316" s="63">
        <f>AO316-AN316</f>
        <v/>
      </c>
      <c r="AQ316" s="61">
        <f>SUMIFS([1]инфо!$H$15:$H$28,[1]инфо!$A$15:$A$28,F316)</f>
        <v/>
      </c>
      <c r="AR316" s="62">
        <f>IF(H315=0,0,AC316/H315)</f>
        <v/>
      </c>
      <c r="AS316" s="63">
        <f>AR316-AQ316</f>
        <v/>
      </c>
      <c r="AT316" s="61">
        <f>SUMIFS([1]инфо!$I$15:$I$28,[1]инфо!$A$15:$A$28,F316)</f>
        <v/>
      </c>
      <c r="AU316" s="62">
        <f>IF(H316=0,0,AD316/H316)</f>
        <v/>
      </c>
      <c r="AV316" s="63">
        <f>AU316-AT316</f>
        <v/>
      </c>
      <c r="AX316" s="59">
        <f>SUMIFS([1]инфо!$C$15:$C$28,[1]инфо!$A$15:$A$28,F316)*H315</f>
        <v/>
      </c>
    </row>
    <row r="317">
      <c r="A317" s="71">
        <f>A315+1</f>
        <v/>
      </c>
      <c r="B317" s="51" t="n"/>
      <c r="C317" s="52" t="n"/>
      <c r="D317" s="53" t="n"/>
      <c r="E317" s="66" t="n"/>
      <c r="F317" s="67" t="n"/>
      <c r="G317" s="58" t="n"/>
      <c r="H317" s="56" t="n"/>
      <c r="I317" s="57">
        <f>IFERROR(H317*VLOOKUP(F317,[1]инфо!$A$15:$C$28,3,FALSE)/1000,0)</f>
        <v/>
      </c>
      <c r="J317" s="55" t="n"/>
      <c r="K317" s="55" t="n"/>
      <c r="L317" s="55" t="n"/>
      <c r="M317" s="55" t="n"/>
      <c r="N317" s="55" t="n"/>
      <c r="O317" s="58" t="n"/>
      <c r="P317" s="58" t="n"/>
      <c r="Q317" s="58" t="n"/>
      <c r="R317" s="58" t="n"/>
      <c r="S317" s="59">
        <f>SUM(O317:R317)</f>
        <v/>
      </c>
      <c r="T317" s="52" t="n"/>
      <c r="U317" s="53" t="n"/>
      <c r="V317" s="58" t="n"/>
      <c r="W317" s="68" t="n"/>
      <c r="X317" s="58" t="n"/>
      <c r="Y317" s="52" t="n"/>
      <c r="Z317" s="58" t="n"/>
      <c r="AA317" s="58" t="n"/>
      <c r="AB317" s="58" t="n"/>
      <c r="AC317" s="69" t="n"/>
      <c r="AD317" s="53" t="n"/>
      <c r="AE317" s="61">
        <f>SUMIFS([1]инфо!$D$15:$D$28,[1]инфо!$A$15:$A$28,F317)</f>
        <v/>
      </c>
      <c r="AF317" s="62">
        <f>IF(H317=0,0,N317/H317)</f>
        <v/>
      </c>
      <c r="AG317" s="63">
        <f>AF317-AE317</f>
        <v/>
      </c>
      <c r="AH317" s="61">
        <f>SUMIFS([1]инфо!$E$15:$E$28,[1]инфо!$A$15:$A$28,F317)</f>
        <v/>
      </c>
      <c r="AI317" s="64">
        <f>IF(H317=0,0,S317/H317)</f>
        <v/>
      </c>
      <c r="AJ317" s="63">
        <f>AI317-AH317</f>
        <v/>
      </c>
      <c r="AK317" s="61">
        <f>SUMIFS([1]инфо!$F$15:$F$28,[1]инфо!$A$15:$A$28,F317)</f>
        <v/>
      </c>
      <c r="AL317" s="64">
        <f>IF(H317=0,0,Y317/H317)</f>
        <v/>
      </c>
      <c r="AM317" s="63">
        <f>AL317-AK317</f>
        <v/>
      </c>
      <c r="AN317" s="61">
        <f>SUMIFS([1]инфо!$G$15:$G$28,[1]инфо!$A$15:$A$28,F317)</f>
        <v/>
      </c>
      <c r="AO317" s="64">
        <f>IF(H317=0,0,AA317/H317)</f>
        <v/>
      </c>
      <c r="AP317" s="63">
        <f>AO317-AN317</f>
        <v/>
      </c>
      <c r="AQ317" s="61">
        <f>SUMIFS([1]инфо!$H$15:$H$28,[1]инфо!$A$15:$A$28,F317)</f>
        <v/>
      </c>
      <c r="AR317" s="62">
        <f>IF(H316=0,0,AC317/H316)</f>
        <v/>
      </c>
      <c r="AS317" s="63">
        <f>AR317-AQ317</f>
        <v/>
      </c>
      <c r="AT317" s="61">
        <f>SUMIFS([1]инфо!$I$15:$I$28,[1]инфо!$A$15:$A$28,F317)</f>
        <v/>
      </c>
      <c r="AU317" s="62">
        <f>IF(H317=0,0,AD317/H317)</f>
        <v/>
      </c>
      <c r="AV317" s="63">
        <f>AU317-AT317</f>
        <v/>
      </c>
      <c r="AX317" s="59">
        <f>SUMIFS([1]инфо!$C$15:$C$28,[1]инфо!$A$15:$A$28,F317)*H316</f>
        <v/>
      </c>
    </row>
    <row r="318">
      <c r="A318" s="71">
        <f>A316+1</f>
        <v/>
      </c>
      <c r="B318" s="51" t="n"/>
      <c r="C318" s="77" t="n"/>
      <c r="D318" s="78" t="n"/>
      <c r="E318" s="66" t="n"/>
      <c r="F318" s="67" t="n"/>
      <c r="G318" s="79" t="n"/>
      <c r="H318" s="67" t="n"/>
      <c r="I318" s="57">
        <f>IFERROR(H318*VLOOKUP(F318,[1]инфо!$A$15:$C$28,3,FALSE)/1000,0)</f>
        <v/>
      </c>
      <c r="J318" s="55" t="n"/>
      <c r="K318" s="55" t="n"/>
      <c r="L318" s="55" t="n"/>
      <c r="M318" s="55" t="n"/>
      <c r="N318" s="56" t="n"/>
      <c r="O318" s="79" t="n"/>
      <c r="P318" s="79" t="n"/>
      <c r="Q318" s="79" t="n"/>
      <c r="R318" s="79" t="n"/>
      <c r="S318" s="80">
        <f>SUM(O318:R318)</f>
        <v/>
      </c>
      <c r="T318" s="77" t="n"/>
      <c r="U318" s="78" t="n"/>
      <c r="V318" s="79" t="n"/>
      <c r="W318" s="68" t="n"/>
      <c r="X318" s="79" t="n"/>
      <c r="Y318" s="77" t="n"/>
      <c r="Z318" s="79" t="n"/>
      <c r="AA318" s="79" t="n"/>
      <c r="AB318" s="79" t="n"/>
      <c r="AC318" s="69" t="n"/>
      <c r="AD318" s="78" t="n"/>
      <c r="AE318" s="81">
        <f>SUMIFS([1]инфо!$D$15:$D$28,[1]инфо!$A$15:$A$28,F318)</f>
        <v/>
      </c>
      <c r="AF318" s="62">
        <f>IF(H318=0,0,N318/H318)</f>
        <v/>
      </c>
      <c r="AG318" s="82">
        <f>AF318-AE318</f>
        <v/>
      </c>
      <c r="AH318" s="81">
        <f>SUMIFS([1]инфо!$E$15:$E$28,[1]инфо!$A$15:$A$28,F318)</f>
        <v/>
      </c>
      <c r="AI318" s="64">
        <f>IF(H318=0,0,S318/H318)</f>
        <v/>
      </c>
      <c r="AJ318" s="82">
        <f>AI318-AH318</f>
        <v/>
      </c>
      <c r="AK318" s="81">
        <f>SUMIFS([1]инфо!$F$15:$F$28,[1]инфо!$A$15:$A$28,F318)</f>
        <v/>
      </c>
      <c r="AL318" s="64">
        <f>IF(H318=0,0,Y318/H318)</f>
        <v/>
      </c>
      <c r="AM318" s="82">
        <f>AL318-AK318</f>
        <v/>
      </c>
      <c r="AN318" s="81">
        <f>SUMIFS([1]инфо!$G$15:$G$28,[1]инфо!$A$15:$A$28,F318)</f>
        <v/>
      </c>
      <c r="AO318" s="64">
        <f>IF(H318=0,0,AA318/H318)</f>
        <v/>
      </c>
      <c r="AP318" s="82">
        <f>AO318-AN318</f>
        <v/>
      </c>
      <c r="AQ318" s="81">
        <f>SUMIFS([1]инфо!$H$15:$H$28,[1]инфо!$A$15:$A$28,F318)</f>
        <v/>
      </c>
      <c r="AR318" s="85">
        <f>IF(H317=0,0,AC318/H317)</f>
        <v/>
      </c>
      <c r="AS318" s="82">
        <f>AR318-AQ318</f>
        <v/>
      </c>
      <c r="AT318" s="81">
        <f>SUMIFS([1]инфо!$I$15:$I$28,[1]инфо!$A$15:$A$28,F318)</f>
        <v/>
      </c>
      <c r="AU318" s="62">
        <f>IF(H318=0,0,AD318/H318)</f>
        <v/>
      </c>
      <c r="AV318" s="82">
        <f>AU318-AT318</f>
        <v/>
      </c>
      <c r="AX318" s="80">
        <f>SUMIFS([1]инфо!$C$15:$C$28,[1]инфо!$A$15:$A$28,F318)*H317</f>
        <v/>
      </c>
    </row>
    <row r="319">
      <c r="A319" s="71">
        <f>A317+1</f>
        <v/>
      </c>
      <c r="B319" s="51" t="n"/>
      <c r="C319" s="72" t="n"/>
      <c r="D319" s="73" t="n"/>
      <c r="E319" s="66" t="n"/>
      <c r="F319" s="67" t="n"/>
      <c r="G319" s="74" t="n"/>
      <c r="H319" s="55" t="n"/>
      <c r="I319" s="57">
        <f>IFERROR(H319*VLOOKUP(F319,[1]инфо!$A$15:$C$28,3,FALSE)/1000,0)</f>
        <v/>
      </c>
      <c r="J319" s="55" t="n"/>
      <c r="K319" s="55" t="n"/>
      <c r="L319" s="55" t="n"/>
      <c r="M319" s="55" t="n"/>
      <c r="N319" s="67" t="n"/>
      <c r="O319" s="74" t="n"/>
      <c r="P319" s="74" t="n"/>
      <c r="Q319" s="74" t="n"/>
      <c r="R319" s="74" t="n"/>
      <c r="S319" s="70">
        <f>SUM(O319:R319)</f>
        <v/>
      </c>
      <c r="T319" s="72" t="n"/>
      <c r="U319" s="73" t="n"/>
      <c r="V319" s="74" t="n"/>
      <c r="W319" s="68" t="n"/>
      <c r="X319" s="74" t="n"/>
      <c r="Y319" s="72" t="n"/>
      <c r="Z319" s="74" t="n"/>
      <c r="AA319" s="74" t="n"/>
      <c r="AB319" s="74" t="n"/>
      <c r="AC319" s="69" t="n"/>
      <c r="AD319" s="73" t="n"/>
      <c r="AE319" s="75">
        <f>SUMIFS([1]инфо!$D$15:$D$28,[1]инфо!$A$15:$A$28,F319)</f>
        <v/>
      </c>
      <c r="AF319" s="62">
        <f>IF(H319=0,0,N319/H319)</f>
        <v/>
      </c>
      <c r="AG319" s="76">
        <f>AF319-AE319</f>
        <v/>
      </c>
      <c r="AH319" s="75">
        <f>SUMIFS([1]инфо!$E$15:$E$28,[1]инфо!$A$15:$A$28,F319)</f>
        <v/>
      </c>
      <c r="AI319" s="64">
        <f>IF(H319=0,0,S319/H319)</f>
        <v/>
      </c>
      <c r="AJ319" s="76">
        <f>AI319-AH319</f>
        <v/>
      </c>
      <c r="AK319" s="75">
        <f>SUMIFS([1]инфо!$F$15:$F$28,[1]инфо!$A$15:$A$28,F319)</f>
        <v/>
      </c>
      <c r="AL319" s="64">
        <f>IF(H319=0,0,Y319/H319)</f>
        <v/>
      </c>
      <c r="AM319" s="76">
        <f>AL319-AK319</f>
        <v/>
      </c>
      <c r="AN319" s="75">
        <f>SUMIFS([1]инфо!$G$15:$G$28,[1]инфо!$A$15:$A$28,F319)</f>
        <v/>
      </c>
      <c r="AO319" s="64">
        <f>IF(H319=0,0,AA319/H319)</f>
        <v/>
      </c>
      <c r="AP319" s="76">
        <f>AO319-AN319</f>
        <v/>
      </c>
      <c r="AQ319" s="75">
        <f>SUMIFS([1]инфо!$H$15:$H$28,[1]инфо!$A$15:$A$28,F319)</f>
        <v/>
      </c>
      <c r="AR319" s="64">
        <f>IF(H318=0,0,AC319/H318)</f>
        <v/>
      </c>
      <c r="AS319" s="76">
        <f>AR319-AQ319</f>
        <v/>
      </c>
      <c r="AT319" s="75">
        <f>SUMIFS([1]инфо!$I$15:$I$28,[1]инфо!$A$15:$A$28,F319)</f>
        <v/>
      </c>
      <c r="AU319" s="62">
        <f>IF(H319=0,0,AD319/H319)</f>
        <v/>
      </c>
      <c r="AV319" s="76">
        <f>AU319-AT319</f>
        <v/>
      </c>
      <c r="AX319" s="70">
        <f>SUMIFS([1]инфо!$C$15:$C$28,[1]инфо!$A$15:$A$28,F319)*H318</f>
        <v/>
      </c>
    </row>
    <row r="320">
      <c r="A320" s="71">
        <f>A318+1</f>
        <v/>
      </c>
      <c r="B320" s="51" t="n"/>
      <c r="C320" s="52" t="n"/>
      <c r="D320" s="53" t="n"/>
      <c r="E320" s="66" t="n"/>
      <c r="F320" s="67" t="n"/>
      <c r="G320" s="58" t="n"/>
      <c r="H320" s="55" t="n"/>
      <c r="I320" s="57">
        <f>IFERROR(H320*VLOOKUP(F320,[1]инфо!$A$15:$C$28,3,FALSE)/1000,0)</f>
        <v/>
      </c>
      <c r="J320" s="55" t="n"/>
      <c r="K320" s="55" t="n"/>
      <c r="L320" s="55" t="n"/>
      <c r="M320" s="55" t="n"/>
      <c r="N320" s="55" t="n"/>
      <c r="O320" s="58" t="n"/>
      <c r="P320" s="58" t="n"/>
      <c r="Q320" s="58" t="n"/>
      <c r="R320" s="58" t="n"/>
      <c r="S320" s="59">
        <f>SUM(O320:R320)</f>
        <v/>
      </c>
      <c r="T320" s="52" t="n"/>
      <c r="U320" s="53" t="n"/>
      <c r="V320" s="58" t="n"/>
      <c r="W320" s="68" t="n"/>
      <c r="X320" s="58" t="n"/>
      <c r="Y320" s="52" t="n"/>
      <c r="Z320" s="58" t="n"/>
      <c r="AA320" s="58" t="n"/>
      <c r="AB320" s="58" t="n"/>
      <c r="AC320" s="69" t="n"/>
      <c r="AD320" s="53" t="n"/>
      <c r="AE320" s="61">
        <f>SUMIFS([1]инфо!$D$15:$D$28,[1]инфо!$A$15:$A$28,F320)</f>
        <v/>
      </c>
      <c r="AF320" s="62">
        <f>IF(H320=0,0,N320/H320)</f>
        <v/>
      </c>
      <c r="AG320" s="63">
        <f>AF320-AE320</f>
        <v/>
      </c>
      <c r="AH320" s="61">
        <f>SUMIFS([1]инфо!$E$15:$E$28,[1]инфо!$A$15:$A$28,F320)</f>
        <v/>
      </c>
      <c r="AI320" s="64">
        <f>IF(H320=0,0,S320/H320)</f>
        <v/>
      </c>
      <c r="AJ320" s="63">
        <f>AI320-AH320</f>
        <v/>
      </c>
      <c r="AK320" s="61">
        <f>SUMIFS([1]инфо!$F$15:$F$28,[1]инфо!$A$15:$A$28,F320)</f>
        <v/>
      </c>
      <c r="AL320" s="64">
        <f>IF(H320=0,0,Y320/H320)</f>
        <v/>
      </c>
      <c r="AM320" s="63">
        <f>AL320-AK320</f>
        <v/>
      </c>
      <c r="AN320" s="61">
        <f>SUMIFS([1]инфо!$G$15:$G$28,[1]инфо!$A$15:$A$28,F320)</f>
        <v/>
      </c>
      <c r="AO320" s="64">
        <f>IF(H320=0,0,AA320/H320)</f>
        <v/>
      </c>
      <c r="AP320" s="63">
        <f>AO320-AN320</f>
        <v/>
      </c>
      <c r="AQ320" s="61">
        <f>SUMIFS([1]инфо!$H$15:$H$28,[1]инфо!$A$15:$A$28,F320)</f>
        <v/>
      </c>
      <c r="AR320" s="62">
        <f>IF(H319=0,0,AC320/H319)</f>
        <v/>
      </c>
      <c r="AS320" s="63">
        <f>AR320-AQ320</f>
        <v/>
      </c>
      <c r="AT320" s="61">
        <f>SUMIFS([1]инфо!$I$15:$I$28,[1]инфо!$A$15:$A$28,F320)</f>
        <v/>
      </c>
      <c r="AU320" s="62">
        <f>IF(H320=0,0,AD320/H320)</f>
        <v/>
      </c>
      <c r="AV320" s="63">
        <f>AU320-AT320</f>
        <v/>
      </c>
      <c r="AX320" s="59">
        <f>SUMIFS([1]инфо!$C$15:$C$28,[1]инфо!$A$15:$A$28,F320)*H319</f>
        <v/>
      </c>
    </row>
    <row r="321">
      <c r="A321" s="71">
        <f>A319+1</f>
        <v/>
      </c>
      <c r="B321" s="51" t="n"/>
      <c r="C321" s="52" t="n"/>
      <c r="D321" s="53" t="n"/>
      <c r="E321" s="66" t="n"/>
      <c r="F321" s="67" t="n"/>
      <c r="G321" s="58" t="n"/>
      <c r="H321" s="56" t="n"/>
      <c r="I321" s="57">
        <f>IFERROR(H321*VLOOKUP(F321,[1]инфо!$A$15:$C$28,3,FALSE)/1000,0)</f>
        <v/>
      </c>
      <c r="J321" s="55" t="n"/>
      <c r="K321" s="55" t="n"/>
      <c r="L321" s="55" t="n"/>
      <c r="M321" s="55" t="n"/>
      <c r="N321" s="55" t="n"/>
      <c r="O321" s="58" t="n"/>
      <c r="P321" s="58" t="n"/>
      <c r="Q321" s="58" t="n"/>
      <c r="R321" s="58" t="n"/>
      <c r="S321" s="59">
        <f>SUM(O321:R321)</f>
        <v/>
      </c>
      <c r="T321" s="52" t="n"/>
      <c r="U321" s="53" t="n"/>
      <c r="V321" s="58" t="n"/>
      <c r="W321" s="68" t="n"/>
      <c r="X321" s="58" t="n"/>
      <c r="Y321" s="52" t="n"/>
      <c r="Z321" s="58" t="n"/>
      <c r="AA321" s="58" t="n"/>
      <c r="AB321" s="58" t="n"/>
      <c r="AC321" s="69" t="n"/>
      <c r="AD321" s="53" t="n"/>
      <c r="AE321" s="61">
        <f>SUMIFS([1]инфо!$D$15:$D$28,[1]инфо!$A$15:$A$28,F321)</f>
        <v/>
      </c>
      <c r="AF321" s="62">
        <f>IF(H321=0,0,N321/H321)</f>
        <v/>
      </c>
      <c r="AG321" s="63">
        <f>AF321-AE321</f>
        <v/>
      </c>
      <c r="AH321" s="61">
        <f>SUMIFS([1]инфо!$E$15:$E$28,[1]инфо!$A$15:$A$28,F321)</f>
        <v/>
      </c>
      <c r="AI321" s="64">
        <f>IF(H321=0,0,S321/H321)</f>
        <v/>
      </c>
      <c r="AJ321" s="63">
        <f>AI321-AH321</f>
        <v/>
      </c>
      <c r="AK321" s="61">
        <f>SUMIFS([1]инфо!$F$15:$F$28,[1]инфо!$A$15:$A$28,F321)</f>
        <v/>
      </c>
      <c r="AL321" s="64">
        <f>IF(H321=0,0,Y321/H321)</f>
        <v/>
      </c>
      <c r="AM321" s="63">
        <f>AL321-AK321</f>
        <v/>
      </c>
      <c r="AN321" s="61">
        <f>SUMIFS([1]инфо!$G$15:$G$28,[1]инфо!$A$15:$A$28,F321)</f>
        <v/>
      </c>
      <c r="AO321" s="64">
        <f>IF(H321=0,0,AA321/H321)</f>
        <v/>
      </c>
      <c r="AP321" s="63">
        <f>AO321-AN321</f>
        <v/>
      </c>
      <c r="AQ321" s="61">
        <f>SUMIFS([1]инфо!$H$15:$H$28,[1]инфо!$A$15:$A$28,F321)</f>
        <v/>
      </c>
      <c r="AR321" s="62">
        <f>IF(H320=0,0,AC321/H320)</f>
        <v/>
      </c>
      <c r="AS321" s="63">
        <f>AR321-AQ321</f>
        <v/>
      </c>
      <c r="AT321" s="61">
        <f>SUMIFS([1]инфо!$I$15:$I$28,[1]инфо!$A$15:$A$28,F321)</f>
        <v/>
      </c>
      <c r="AU321" s="62">
        <f>IF(H321=0,0,AD321/H321)</f>
        <v/>
      </c>
      <c r="AV321" s="63">
        <f>AU321-AT321</f>
        <v/>
      </c>
      <c r="AX321" s="59">
        <f>SUMIFS([1]инфо!$C$15:$C$28,[1]инфо!$A$15:$A$28,F321)*H320</f>
        <v/>
      </c>
    </row>
    <row r="322">
      <c r="A322" s="71">
        <f>A320+1</f>
        <v/>
      </c>
      <c r="B322" s="51" t="n"/>
      <c r="C322" s="77" t="n"/>
      <c r="D322" s="78" t="n"/>
      <c r="E322" s="66" t="n"/>
      <c r="F322" s="67" t="n"/>
      <c r="G322" s="79" t="n"/>
      <c r="H322" s="67" t="n"/>
      <c r="I322" s="57">
        <f>IFERROR(H322*VLOOKUP(F322,[1]инфо!$A$15:$C$28,3,FALSE)/1000,0)</f>
        <v/>
      </c>
      <c r="J322" s="55" t="n"/>
      <c r="K322" s="55" t="n"/>
      <c r="L322" s="55" t="n"/>
      <c r="M322" s="55" t="n"/>
      <c r="N322" s="56" t="n"/>
      <c r="O322" s="79" t="n"/>
      <c r="P322" s="79" t="n"/>
      <c r="Q322" s="79" t="n"/>
      <c r="R322" s="79" t="n"/>
      <c r="S322" s="80">
        <f>SUM(O322:R322)</f>
        <v/>
      </c>
      <c r="T322" s="77" t="n"/>
      <c r="U322" s="78" t="n"/>
      <c r="V322" s="79" t="n"/>
      <c r="W322" s="68" t="n"/>
      <c r="X322" s="79" t="n"/>
      <c r="Y322" s="77" t="n"/>
      <c r="Z322" s="79" t="n"/>
      <c r="AA322" s="79" t="n"/>
      <c r="AB322" s="79" t="n"/>
      <c r="AC322" s="69" t="n"/>
      <c r="AD322" s="78" t="n"/>
      <c r="AE322" s="81">
        <f>SUMIFS([1]инфо!$D$15:$D$28,[1]инфо!$A$15:$A$28,F322)</f>
        <v/>
      </c>
      <c r="AF322" s="62">
        <f>IF(H322=0,0,N322/H322)</f>
        <v/>
      </c>
      <c r="AG322" s="82">
        <f>AF322-AE322</f>
        <v/>
      </c>
      <c r="AH322" s="81">
        <f>SUMIFS([1]инфо!$E$15:$E$28,[1]инфо!$A$15:$A$28,F322)</f>
        <v/>
      </c>
      <c r="AI322" s="64">
        <f>IF(H322=0,0,S322/H322)</f>
        <v/>
      </c>
      <c r="AJ322" s="82">
        <f>AI322-AH322</f>
        <v/>
      </c>
      <c r="AK322" s="81">
        <f>SUMIFS([1]инфо!$F$15:$F$28,[1]инфо!$A$15:$A$28,F322)</f>
        <v/>
      </c>
      <c r="AL322" s="64">
        <f>IF(H322=0,0,Y322/H322)</f>
        <v/>
      </c>
      <c r="AM322" s="82">
        <f>AL322-AK322</f>
        <v/>
      </c>
      <c r="AN322" s="81">
        <f>SUMIFS([1]инфо!$G$15:$G$28,[1]инфо!$A$15:$A$28,F322)</f>
        <v/>
      </c>
      <c r="AO322" s="64">
        <f>IF(H322=0,0,AA322/H322)</f>
        <v/>
      </c>
      <c r="AP322" s="82">
        <f>AO322-AN322</f>
        <v/>
      </c>
      <c r="AQ322" s="81">
        <f>SUMIFS([1]инфо!$H$15:$H$28,[1]инфо!$A$15:$A$28,F322)</f>
        <v/>
      </c>
      <c r="AR322" s="85">
        <f>IF(H321=0,0,AC322/H321)</f>
        <v/>
      </c>
      <c r="AS322" s="82">
        <f>AR322-AQ322</f>
        <v/>
      </c>
      <c r="AT322" s="81">
        <f>SUMIFS([1]инфо!$I$15:$I$28,[1]инфо!$A$15:$A$28,F322)</f>
        <v/>
      </c>
      <c r="AU322" s="62">
        <f>IF(H322=0,0,AD322/H322)</f>
        <v/>
      </c>
      <c r="AV322" s="82">
        <f>AU322-AT322</f>
        <v/>
      </c>
      <c r="AX322" s="80">
        <f>SUMIFS([1]инфо!$C$15:$C$28,[1]инфо!$A$15:$A$28,F322)*H321</f>
        <v/>
      </c>
    </row>
    <row r="323">
      <c r="A323" s="71">
        <f>A321+1</f>
        <v/>
      </c>
      <c r="B323" s="51" t="n"/>
      <c r="C323" s="72" t="n"/>
      <c r="D323" s="73" t="n"/>
      <c r="E323" s="66" t="n"/>
      <c r="F323" s="67" t="n"/>
      <c r="G323" s="74" t="n"/>
      <c r="H323" s="55" t="n"/>
      <c r="I323" s="57">
        <f>IFERROR(H323*VLOOKUP(F323,[1]инфо!$A$15:$C$28,3,FALSE)/1000,0)</f>
        <v/>
      </c>
      <c r="J323" s="55" t="n"/>
      <c r="K323" s="55" t="n"/>
      <c r="L323" s="55" t="n"/>
      <c r="M323" s="55" t="n"/>
      <c r="N323" s="67" t="n"/>
      <c r="O323" s="74" t="n"/>
      <c r="P323" s="74" t="n"/>
      <c r="Q323" s="74" t="n"/>
      <c r="R323" s="74" t="n"/>
      <c r="S323" s="70">
        <f>SUM(O323:R323)</f>
        <v/>
      </c>
      <c r="T323" s="72" t="n"/>
      <c r="U323" s="73" t="n"/>
      <c r="V323" s="74" t="n"/>
      <c r="W323" s="68" t="n"/>
      <c r="X323" s="74" t="n"/>
      <c r="Y323" s="72" t="n"/>
      <c r="Z323" s="74" t="n"/>
      <c r="AA323" s="74" t="n"/>
      <c r="AB323" s="74" t="n"/>
      <c r="AC323" s="69" t="n"/>
      <c r="AD323" s="73" t="n"/>
      <c r="AE323" s="75">
        <f>SUMIFS([1]инфо!$D$15:$D$28,[1]инфо!$A$15:$A$28,F323)</f>
        <v/>
      </c>
      <c r="AF323" s="62">
        <f>IF(H323=0,0,N323/H323)</f>
        <v/>
      </c>
      <c r="AG323" s="76">
        <f>AF323-AE323</f>
        <v/>
      </c>
      <c r="AH323" s="75">
        <f>SUMIFS([1]инфо!$E$15:$E$28,[1]инфо!$A$15:$A$28,F323)</f>
        <v/>
      </c>
      <c r="AI323" s="64">
        <f>IF(H323=0,0,S323/H323)</f>
        <v/>
      </c>
      <c r="AJ323" s="76">
        <f>AI323-AH323</f>
        <v/>
      </c>
      <c r="AK323" s="75">
        <f>SUMIFS([1]инфо!$F$15:$F$28,[1]инфо!$A$15:$A$28,F323)</f>
        <v/>
      </c>
      <c r="AL323" s="64">
        <f>IF(H323=0,0,Y323/H323)</f>
        <v/>
      </c>
      <c r="AM323" s="76">
        <f>AL323-AK323</f>
        <v/>
      </c>
      <c r="AN323" s="75">
        <f>SUMIFS([1]инфо!$G$15:$G$28,[1]инфо!$A$15:$A$28,F323)</f>
        <v/>
      </c>
      <c r="AO323" s="64">
        <f>IF(H323=0,0,AA323/H323)</f>
        <v/>
      </c>
      <c r="AP323" s="76">
        <f>AO323-AN323</f>
        <v/>
      </c>
      <c r="AQ323" s="75">
        <f>SUMIFS([1]инфо!$H$15:$H$28,[1]инфо!$A$15:$A$28,F323)</f>
        <v/>
      </c>
      <c r="AR323" s="64">
        <f>IF(H322=0,0,AC323/H322)</f>
        <v/>
      </c>
      <c r="AS323" s="76">
        <f>AR323-AQ323</f>
        <v/>
      </c>
      <c r="AT323" s="75">
        <f>SUMIFS([1]инфо!$I$15:$I$28,[1]инфо!$A$15:$A$28,F323)</f>
        <v/>
      </c>
      <c r="AU323" s="62">
        <f>IF(H323=0,0,AD323/H323)</f>
        <v/>
      </c>
      <c r="AV323" s="76">
        <f>AU323-AT323</f>
        <v/>
      </c>
      <c r="AX323" s="70">
        <f>SUMIFS([1]инфо!$C$15:$C$28,[1]инфо!$A$15:$A$28,F323)*H322</f>
        <v/>
      </c>
    </row>
    <row r="324">
      <c r="A324" s="71">
        <f>A322+1</f>
        <v/>
      </c>
      <c r="B324" s="51" t="n"/>
      <c r="C324" s="52" t="n"/>
      <c r="D324" s="53" t="n"/>
      <c r="E324" s="66" t="n"/>
      <c r="F324" s="67" t="n"/>
      <c r="G324" s="58" t="n"/>
      <c r="H324" s="55" t="n"/>
      <c r="I324" s="57">
        <f>IFERROR(H324*VLOOKUP(F324,[1]инфо!$A$15:$C$28,3,FALSE)/1000,0)</f>
        <v/>
      </c>
      <c r="J324" s="55" t="n"/>
      <c r="K324" s="55" t="n"/>
      <c r="L324" s="55" t="n"/>
      <c r="M324" s="55" t="n"/>
      <c r="N324" s="55" t="n"/>
      <c r="O324" s="58" t="n"/>
      <c r="P324" s="58" t="n"/>
      <c r="Q324" s="58" t="n"/>
      <c r="R324" s="58" t="n"/>
      <c r="S324" s="59">
        <f>SUM(O324:R324)</f>
        <v/>
      </c>
      <c r="T324" s="52" t="n"/>
      <c r="U324" s="53" t="n"/>
      <c r="V324" s="58" t="n"/>
      <c r="W324" s="68" t="n"/>
      <c r="X324" s="58" t="n"/>
      <c r="Y324" s="52" t="n"/>
      <c r="Z324" s="58" t="n"/>
      <c r="AA324" s="58" t="n"/>
      <c r="AB324" s="58" t="n"/>
      <c r="AC324" s="69" t="n"/>
      <c r="AD324" s="53" t="n"/>
      <c r="AE324" s="61">
        <f>SUMIFS([1]инфо!$D$15:$D$28,[1]инфо!$A$15:$A$28,F324)</f>
        <v/>
      </c>
      <c r="AF324" s="62">
        <f>IF(H324=0,0,N324/H324)</f>
        <v/>
      </c>
      <c r="AG324" s="63">
        <f>AF324-AE324</f>
        <v/>
      </c>
      <c r="AH324" s="61">
        <f>SUMIFS([1]инфо!$E$15:$E$28,[1]инфо!$A$15:$A$28,F324)</f>
        <v/>
      </c>
      <c r="AI324" s="64">
        <f>IF(H324=0,0,S324/H324)</f>
        <v/>
      </c>
      <c r="AJ324" s="63">
        <f>AI324-AH324</f>
        <v/>
      </c>
      <c r="AK324" s="61">
        <f>SUMIFS([1]инфо!$F$15:$F$28,[1]инфо!$A$15:$A$28,F324)</f>
        <v/>
      </c>
      <c r="AL324" s="64">
        <f>IF(H324=0,0,Y324/H324)</f>
        <v/>
      </c>
      <c r="AM324" s="63">
        <f>AL324-AK324</f>
        <v/>
      </c>
      <c r="AN324" s="61">
        <f>SUMIFS([1]инфо!$G$15:$G$28,[1]инфо!$A$15:$A$28,F324)</f>
        <v/>
      </c>
      <c r="AO324" s="64">
        <f>IF(H324=0,0,AA324/H324)</f>
        <v/>
      </c>
      <c r="AP324" s="63">
        <f>AO324-AN324</f>
        <v/>
      </c>
      <c r="AQ324" s="61">
        <f>SUMIFS([1]инфо!$H$15:$H$28,[1]инфо!$A$15:$A$28,F324)</f>
        <v/>
      </c>
      <c r="AR324" s="62">
        <f>IF(H323=0,0,AC324/H323)</f>
        <v/>
      </c>
      <c r="AS324" s="63">
        <f>AR324-AQ324</f>
        <v/>
      </c>
      <c r="AT324" s="61">
        <f>SUMIFS([1]инфо!$I$15:$I$28,[1]инфо!$A$15:$A$28,F324)</f>
        <v/>
      </c>
      <c r="AU324" s="62">
        <f>IF(H324=0,0,AD324/H324)</f>
        <v/>
      </c>
      <c r="AV324" s="63">
        <f>AU324-AT324</f>
        <v/>
      </c>
      <c r="AX324" s="59">
        <f>SUMIFS([1]инфо!$C$15:$C$28,[1]инфо!$A$15:$A$28,F324)*H323</f>
        <v/>
      </c>
    </row>
    <row r="325">
      <c r="A325" s="71">
        <f>A323+1</f>
        <v/>
      </c>
      <c r="B325" s="51" t="n"/>
      <c r="C325" s="52" t="n"/>
      <c r="D325" s="53" t="n"/>
      <c r="E325" s="66" t="n"/>
      <c r="F325" s="67" t="n"/>
      <c r="G325" s="58" t="n"/>
      <c r="H325" s="56" t="n"/>
      <c r="I325" s="57">
        <f>IFERROR(H325*VLOOKUP(F325,[1]инфо!$A$15:$C$28,3,FALSE)/1000,0)</f>
        <v/>
      </c>
      <c r="J325" s="55" t="n"/>
      <c r="K325" s="55" t="n"/>
      <c r="L325" s="55" t="n"/>
      <c r="M325" s="55" t="n"/>
      <c r="N325" s="55" t="n"/>
      <c r="O325" s="58" t="n"/>
      <c r="P325" s="58" t="n"/>
      <c r="Q325" s="58" t="n"/>
      <c r="R325" s="58" t="n"/>
      <c r="S325" s="59">
        <f>SUM(O325:R325)</f>
        <v/>
      </c>
      <c r="T325" s="52" t="n"/>
      <c r="U325" s="53" t="n"/>
      <c r="V325" s="58" t="n"/>
      <c r="W325" s="68" t="n"/>
      <c r="X325" s="58" t="n"/>
      <c r="Y325" s="52" t="n"/>
      <c r="Z325" s="58" t="n"/>
      <c r="AA325" s="58" t="n"/>
      <c r="AB325" s="58" t="n"/>
      <c r="AC325" s="69" t="n"/>
      <c r="AD325" s="53" t="n"/>
      <c r="AE325" s="61">
        <f>SUMIFS([1]инфо!$D$15:$D$28,[1]инфо!$A$15:$A$28,F325)</f>
        <v/>
      </c>
      <c r="AF325" s="62">
        <f>IF(H325=0,0,N325/H325)</f>
        <v/>
      </c>
      <c r="AG325" s="63">
        <f>AF325-AE325</f>
        <v/>
      </c>
      <c r="AH325" s="61">
        <f>SUMIFS([1]инфо!$E$15:$E$28,[1]инфо!$A$15:$A$28,F325)</f>
        <v/>
      </c>
      <c r="AI325" s="64">
        <f>IF(H325=0,0,S325/H325)</f>
        <v/>
      </c>
      <c r="AJ325" s="63">
        <f>AI325-AH325</f>
        <v/>
      </c>
      <c r="AK325" s="61">
        <f>SUMIFS([1]инфо!$F$15:$F$28,[1]инфо!$A$15:$A$28,F325)</f>
        <v/>
      </c>
      <c r="AL325" s="64">
        <f>IF(H325=0,0,Y325/H325)</f>
        <v/>
      </c>
      <c r="AM325" s="63">
        <f>AL325-AK325</f>
        <v/>
      </c>
      <c r="AN325" s="61">
        <f>SUMIFS([1]инфо!$G$15:$G$28,[1]инфо!$A$15:$A$28,F325)</f>
        <v/>
      </c>
      <c r="AO325" s="64">
        <f>IF(H325=0,0,AA325/H325)</f>
        <v/>
      </c>
      <c r="AP325" s="63">
        <f>AO325-AN325</f>
        <v/>
      </c>
      <c r="AQ325" s="61">
        <f>SUMIFS([1]инфо!$H$15:$H$28,[1]инфо!$A$15:$A$28,F325)</f>
        <v/>
      </c>
      <c r="AR325" s="62">
        <f>IF(H324=0,0,AC325/H324)</f>
        <v/>
      </c>
      <c r="AS325" s="63">
        <f>AR325-AQ325</f>
        <v/>
      </c>
      <c r="AT325" s="61">
        <f>SUMIFS([1]инфо!$I$15:$I$28,[1]инфо!$A$15:$A$28,F325)</f>
        <v/>
      </c>
      <c r="AU325" s="62">
        <f>IF(H325=0,0,AD325/H325)</f>
        <v/>
      </c>
      <c r="AV325" s="63">
        <f>AU325-AT325</f>
        <v/>
      </c>
      <c r="AX325" s="59">
        <f>SUMIFS([1]инфо!$C$15:$C$28,[1]инфо!$A$15:$A$28,F325)*H324</f>
        <v/>
      </c>
    </row>
    <row r="326">
      <c r="A326" s="71">
        <f>A324+1</f>
        <v/>
      </c>
      <c r="B326" s="51" t="n"/>
      <c r="C326" s="77" t="n"/>
      <c r="D326" s="78" t="n"/>
      <c r="E326" s="66" t="n"/>
      <c r="F326" s="67" t="n"/>
      <c r="G326" s="79" t="n"/>
      <c r="H326" s="67" t="n"/>
      <c r="I326" s="57">
        <f>IFERROR(H326*VLOOKUP(F326,[1]инфо!$A$15:$C$28,3,FALSE)/1000,0)</f>
        <v/>
      </c>
      <c r="J326" s="55" t="n"/>
      <c r="K326" s="55" t="n"/>
      <c r="L326" s="55" t="n"/>
      <c r="M326" s="55" t="n"/>
      <c r="N326" s="56" t="n"/>
      <c r="O326" s="79" t="n"/>
      <c r="P326" s="79" t="n"/>
      <c r="Q326" s="79" t="n"/>
      <c r="R326" s="79" t="n"/>
      <c r="S326" s="80">
        <f>SUM(O326:R326)</f>
        <v/>
      </c>
      <c r="T326" s="77" t="n"/>
      <c r="U326" s="78" t="n"/>
      <c r="V326" s="79" t="n"/>
      <c r="W326" s="68" t="n"/>
      <c r="X326" s="79" t="n"/>
      <c r="Y326" s="77" t="n"/>
      <c r="Z326" s="79" t="n"/>
      <c r="AA326" s="79" t="n"/>
      <c r="AB326" s="79" t="n"/>
      <c r="AC326" s="69" t="n"/>
      <c r="AD326" s="78" t="n"/>
      <c r="AE326" s="81">
        <f>SUMIFS([1]инфо!$D$15:$D$28,[1]инфо!$A$15:$A$28,F326)</f>
        <v/>
      </c>
      <c r="AF326" s="62">
        <f>IF(H326=0,0,N326/H326)</f>
        <v/>
      </c>
      <c r="AG326" s="82">
        <f>AF326-AE326</f>
        <v/>
      </c>
      <c r="AH326" s="81">
        <f>SUMIFS([1]инфо!$E$15:$E$28,[1]инфо!$A$15:$A$28,F326)</f>
        <v/>
      </c>
      <c r="AI326" s="64">
        <f>IF(H326=0,0,S326/H326)</f>
        <v/>
      </c>
      <c r="AJ326" s="82">
        <f>AI326-AH326</f>
        <v/>
      </c>
      <c r="AK326" s="81">
        <f>SUMIFS([1]инфо!$F$15:$F$28,[1]инфо!$A$15:$A$28,F326)</f>
        <v/>
      </c>
      <c r="AL326" s="64">
        <f>IF(H326=0,0,Y326/H326)</f>
        <v/>
      </c>
      <c r="AM326" s="82">
        <f>AL326-AK326</f>
        <v/>
      </c>
      <c r="AN326" s="81">
        <f>SUMIFS([1]инфо!$G$15:$G$28,[1]инфо!$A$15:$A$28,F326)</f>
        <v/>
      </c>
      <c r="AO326" s="64">
        <f>IF(H326=0,0,AA326/H326)</f>
        <v/>
      </c>
      <c r="AP326" s="82">
        <f>AO326-AN326</f>
        <v/>
      </c>
      <c r="AQ326" s="81">
        <f>SUMIFS([1]инфо!$H$15:$H$28,[1]инфо!$A$15:$A$28,F326)</f>
        <v/>
      </c>
      <c r="AR326" s="85">
        <f>IF(H325=0,0,AC326/H325)</f>
        <v/>
      </c>
      <c r="AS326" s="82">
        <f>AR326-AQ326</f>
        <v/>
      </c>
      <c r="AT326" s="81">
        <f>SUMIFS([1]инфо!$I$15:$I$28,[1]инфо!$A$15:$A$28,F326)</f>
        <v/>
      </c>
      <c r="AU326" s="62">
        <f>IF(H326=0,0,AD326/H326)</f>
        <v/>
      </c>
      <c r="AV326" s="82">
        <f>AU326-AT326</f>
        <v/>
      </c>
      <c r="AX326" s="80">
        <f>SUMIFS([1]инфо!$C$15:$C$28,[1]инфо!$A$15:$A$28,F326)*H325</f>
        <v/>
      </c>
    </row>
    <row r="327">
      <c r="A327" s="71">
        <f>A325+1</f>
        <v/>
      </c>
      <c r="B327" s="51" t="n"/>
      <c r="C327" s="72" t="n"/>
      <c r="D327" s="73" t="n"/>
      <c r="E327" s="66" t="n"/>
      <c r="F327" s="67" t="n"/>
      <c r="G327" s="74" t="n"/>
      <c r="H327" s="55" t="n"/>
      <c r="I327" s="57">
        <f>IFERROR(H327*VLOOKUP(F327,[1]инфо!$A$15:$C$28,3,FALSE)/1000,0)</f>
        <v/>
      </c>
      <c r="J327" s="55" t="n"/>
      <c r="K327" s="55" t="n"/>
      <c r="L327" s="55" t="n"/>
      <c r="M327" s="55" t="n"/>
      <c r="N327" s="67" t="n"/>
      <c r="O327" s="74" t="n"/>
      <c r="P327" s="74" t="n"/>
      <c r="Q327" s="74" t="n"/>
      <c r="R327" s="74" t="n"/>
      <c r="S327" s="70">
        <f>SUM(O327:R327)</f>
        <v/>
      </c>
      <c r="T327" s="72" t="n"/>
      <c r="U327" s="73" t="n"/>
      <c r="V327" s="74" t="n"/>
      <c r="W327" s="68" t="n"/>
      <c r="X327" s="74" t="n"/>
      <c r="Y327" s="72" t="n"/>
      <c r="Z327" s="74" t="n"/>
      <c r="AA327" s="74" t="n"/>
      <c r="AB327" s="74" t="n"/>
      <c r="AC327" s="69" t="n"/>
      <c r="AD327" s="73" t="n"/>
      <c r="AE327" s="75">
        <f>SUMIFS([1]инфо!$D$15:$D$28,[1]инфо!$A$15:$A$28,F327)</f>
        <v/>
      </c>
      <c r="AF327" s="62">
        <f>IF(H327=0,0,N327/H327)</f>
        <v/>
      </c>
      <c r="AG327" s="76">
        <f>AF327-AE327</f>
        <v/>
      </c>
      <c r="AH327" s="75">
        <f>SUMIFS([1]инфо!$E$15:$E$28,[1]инфо!$A$15:$A$28,F327)</f>
        <v/>
      </c>
      <c r="AI327" s="64">
        <f>IF(H327=0,0,S327/H327)</f>
        <v/>
      </c>
      <c r="AJ327" s="76">
        <f>AI327-AH327</f>
        <v/>
      </c>
      <c r="AK327" s="75">
        <f>SUMIFS([1]инфо!$F$15:$F$28,[1]инфо!$A$15:$A$28,F327)</f>
        <v/>
      </c>
      <c r="AL327" s="64">
        <f>IF(H327=0,0,Y327/H327)</f>
        <v/>
      </c>
      <c r="AM327" s="76">
        <f>AL327-AK327</f>
        <v/>
      </c>
      <c r="AN327" s="75">
        <f>SUMIFS([1]инфо!$G$15:$G$28,[1]инфо!$A$15:$A$28,F327)</f>
        <v/>
      </c>
      <c r="AO327" s="64">
        <f>IF(H327=0,0,AA327/H327)</f>
        <v/>
      </c>
      <c r="AP327" s="76">
        <f>AO327-AN327</f>
        <v/>
      </c>
      <c r="AQ327" s="75">
        <f>SUMIFS([1]инфо!$H$15:$H$28,[1]инфо!$A$15:$A$28,F327)</f>
        <v/>
      </c>
      <c r="AR327" s="64">
        <f>IF(H326=0,0,AC327/H326)</f>
        <v/>
      </c>
      <c r="AS327" s="76">
        <f>AR327-AQ327</f>
        <v/>
      </c>
      <c r="AT327" s="75">
        <f>SUMIFS([1]инфо!$I$15:$I$28,[1]инфо!$A$15:$A$28,F327)</f>
        <v/>
      </c>
      <c r="AU327" s="62">
        <f>IF(H327=0,0,AD327/H327)</f>
        <v/>
      </c>
      <c r="AV327" s="76">
        <f>AU327-AT327</f>
        <v/>
      </c>
      <c r="AX327" s="70">
        <f>SUMIFS([1]инфо!$C$15:$C$28,[1]инфо!$A$15:$A$28,F327)*H326</f>
        <v/>
      </c>
    </row>
    <row r="328">
      <c r="A328" s="71">
        <f>A326+1</f>
        <v/>
      </c>
      <c r="B328" s="51" t="n"/>
      <c r="C328" s="52" t="n"/>
      <c r="D328" s="53" t="n"/>
      <c r="E328" s="66" t="n"/>
      <c r="F328" s="67" t="n"/>
      <c r="G328" s="58" t="n"/>
      <c r="H328" s="55" t="n"/>
      <c r="I328" s="57">
        <f>IFERROR(H328*VLOOKUP(F328,[1]инфо!$A$15:$C$28,3,FALSE)/1000,0)</f>
        <v/>
      </c>
      <c r="J328" s="55" t="n"/>
      <c r="K328" s="55" t="n"/>
      <c r="L328" s="55" t="n"/>
      <c r="M328" s="55" t="n"/>
      <c r="N328" s="55" t="n"/>
      <c r="O328" s="58" t="n"/>
      <c r="P328" s="58" t="n"/>
      <c r="Q328" s="58" t="n"/>
      <c r="R328" s="58" t="n"/>
      <c r="S328" s="59">
        <f>SUM(O328:R328)</f>
        <v/>
      </c>
      <c r="T328" s="52" t="n"/>
      <c r="U328" s="53" t="n"/>
      <c r="V328" s="58" t="n"/>
      <c r="W328" s="68" t="n"/>
      <c r="X328" s="58" t="n"/>
      <c r="Y328" s="52" t="n"/>
      <c r="Z328" s="58" t="n"/>
      <c r="AA328" s="58" t="n"/>
      <c r="AB328" s="58" t="n"/>
      <c r="AC328" s="69" t="n"/>
      <c r="AD328" s="53" t="n"/>
      <c r="AE328" s="61">
        <f>SUMIFS([1]инфо!$D$15:$D$28,[1]инфо!$A$15:$A$28,F328)</f>
        <v/>
      </c>
      <c r="AF328" s="62">
        <f>IF(H328=0,0,N328/H328)</f>
        <v/>
      </c>
      <c r="AG328" s="63">
        <f>AF328-AE328</f>
        <v/>
      </c>
      <c r="AH328" s="61">
        <f>SUMIFS([1]инфо!$E$15:$E$28,[1]инфо!$A$15:$A$28,F328)</f>
        <v/>
      </c>
      <c r="AI328" s="64">
        <f>IF(H328=0,0,S328/H328)</f>
        <v/>
      </c>
      <c r="AJ328" s="63">
        <f>AI328-AH328</f>
        <v/>
      </c>
      <c r="AK328" s="61">
        <f>SUMIFS([1]инфо!$F$15:$F$28,[1]инфо!$A$15:$A$28,F328)</f>
        <v/>
      </c>
      <c r="AL328" s="64">
        <f>IF(H328=0,0,Y328/H328)</f>
        <v/>
      </c>
      <c r="AM328" s="63">
        <f>AL328-AK328</f>
        <v/>
      </c>
      <c r="AN328" s="61">
        <f>SUMIFS([1]инфо!$G$15:$G$28,[1]инфо!$A$15:$A$28,F328)</f>
        <v/>
      </c>
      <c r="AO328" s="64">
        <f>IF(H328=0,0,AA328/H328)</f>
        <v/>
      </c>
      <c r="AP328" s="63">
        <f>AO328-AN328</f>
        <v/>
      </c>
      <c r="AQ328" s="61">
        <f>SUMIFS([1]инфо!$H$15:$H$28,[1]инфо!$A$15:$A$28,F328)</f>
        <v/>
      </c>
      <c r="AR328" s="62">
        <f>IF(H327=0,0,AC328/H327)</f>
        <v/>
      </c>
      <c r="AS328" s="63">
        <f>AR328-AQ328</f>
        <v/>
      </c>
      <c r="AT328" s="61">
        <f>SUMIFS([1]инфо!$I$15:$I$28,[1]инфо!$A$15:$A$28,F328)</f>
        <v/>
      </c>
      <c r="AU328" s="62">
        <f>IF(H328=0,0,AD328/H328)</f>
        <v/>
      </c>
      <c r="AV328" s="63">
        <f>AU328-AT328</f>
        <v/>
      </c>
      <c r="AX328" s="59">
        <f>SUMIFS([1]инфо!$C$15:$C$28,[1]инфо!$A$15:$A$28,F328)*H327</f>
        <v/>
      </c>
    </row>
    <row r="329">
      <c r="A329" s="71">
        <f>A327+1</f>
        <v/>
      </c>
      <c r="B329" s="51" t="n"/>
      <c r="C329" s="52" t="n"/>
      <c r="D329" s="53" t="n"/>
      <c r="E329" s="66" t="n"/>
      <c r="F329" s="67" t="n"/>
      <c r="G329" s="58" t="n"/>
      <c r="H329" s="56" t="n"/>
      <c r="I329" s="57">
        <f>IFERROR(H329*VLOOKUP(F329,[1]инфо!$A$15:$C$28,3,FALSE)/1000,0)</f>
        <v/>
      </c>
      <c r="J329" s="55" t="n"/>
      <c r="K329" s="55" t="n"/>
      <c r="L329" s="55" t="n"/>
      <c r="M329" s="55" t="n"/>
      <c r="N329" s="55" t="n"/>
      <c r="O329" s="58" t="n"/>
      <c r="P329" s="58" t="n"/>
      <c r="Q329" s="58" t="n"/>
      <c r="R329" s="58" t="n"/>
      <c r="S329" s="59">
        <f>SUM(O329:R329)</f>
        <v/>
      </c>
      <c r="T329" s="52" t="n"/>
      <c r="U329" s="53" t="n"/>
      <c r="V329" s="58" t="n"/>
      <c r="W329" s="68" t="n"/>
      <c r="X329" s="58" t="n"/>
      <c r="Y329" s="52" t="n"/>
      <c r="Z329" s="58" t="n"/>
      <c r="AA329" s="58" t="n"/>
      <c r="AB329" s="58" t="n"/>
      <c r="AC329" s="69" t="n"/>
      <c r="AD329" s="53" t="n"/>
      <c r="AE329" s="61">
        <f>SUMIFS([1]инфо!$D$15:$D$28,[1]инфо!$A$15:$A$28,F329)</f>
        <v/>
      </c>
      <c r="AF329" s="62">
        <f>IF(H329=0,0,N329/H329)</f>
        <v/>
      </c>
      <c r="AG329" s="63">
        <f>AF329-AE329</f>
        <v/>
      </c>
      <c r="AH329" s="61">
        <f>SUMIFS([1]инфо!$E$15:$E$28,[1]инфо!$A$15:$A$28,F329)</f>
        <v/>
      </c>
      <c r="AI329" s="64">
        <f>IF(H329=0,0,S329/H329)</f>
        <v/>
      </c>
      <c r="AJ329" s="63">
        <f>AI329-AH329</f>
        <v/>
      </c>
      <c r="AK329" s="61">
        <f>SUMIFS([1]инфо!$F$15:$F$28,[1]инфо!$A$15:$A$28,F329)</f>
        <v/>
      </c>
      <c r="AL329" s="64">
        <f>IF(H329=0,0,Y329/H329)</f>
        <v/>
      </c>
      <c r="AM329" s="63">
        <f>AL329-AK329</f>
        <v/>
      </c>
      <c r="AN329" s="61">
        <f>SUMIFS([1]инфо!$G$15:$G$28,[1]инфо!$A$15:$A$28,F329)</f>
        <v/>
      </c>
      <c r="AO329" s="64">
        <f>IF(H329=0,0,AA329/H329)</f>
        <v/>
      </c>
      <c r="AP329" s="63">
        <f>AO329-AN329</f>
        <v/>
      </c>
      <c r="AQ329" s="61">
        <f>SUMIFS([1]инфо!$H$15:$H$28,[1]инфо!$A$15:$A$28,F329)</f>
        <v/>
      </c>
      <c r="AR329" s="62">
        <f>IF(H328=0,0,AC329/H328)</f>
        <v/>
      </c>
      <c r="AS329" s="63">
        <f>AR329-AQ329</f>
        <v/>
      </c>
      <c r="AT329" s="61">
        <f>SUMIFS([1]инфо!$I$15:$I$28,[1]инфо!$A$15:$A$28,F329)</f>
        <v/>
      </c>
      <c r="AU329" s="62">
        <f>IF(H329=0,0,AD329/H329)</f>
        <v/>
      </c>
      <c r="AV329" s="63">
        <f>AU329-AT329</f>
        <v/>
      </c>
      <c r="AX329" s="59">
        <f>SUMIFS([1]инфо!$C$15:$C$28,[1]инфо!$A$15:$A$28,F329)*H328</f>
        <v/>
      </c>
    </row>
    <row r="330">
      <c r="A330" s="71">
        <f>A328+1</f>
        <v/>
      </c>
      <c r="B330" s="51" t="n"/>
      <c r="C330" s="77" t="n"/>
      <c r="D330" s="78" t="n"/>
      <c r="E330" s="66" t="n"/>
      <c r="F330" s="67" t="n"/>
      <c r="G330" s="79" t="n"/>
      <c r="H330" s="67" t="n"/>
      <c r="I330" s="57">
        <f>IFERROR(H330*VLOOKUP(F330,[1]инфо!$A$15:$C$28,3,FALSE)/1000,0)</f>
        <v/>
      </c>
      <c r="J330" s="55" t="n"/>
      <c r="K330" s="55" t="n"/>
      <c r="L330" s="55" t="n"/>
      <c r="M330" s="55" t="n"/>
      <c r="N330" s="56" t="n"/>
      <c r="O330" s="79" t="n"/>
      <c r="P330" s="79" t="n"/>
      <c r="Q330" s="79" t="n"/>
      <c r="R330" s="79" t="n"/>
      <c r="S330" s="80">
        <f>SUM(O330:R330)</f>
        <v/>
      </c>
      <c r="T330" s="77" t="n"/>
      <c r="U330" s="78" t="n"/>
      <c r="V330" s="79" t="n"/>
      <c r="W330" s="68" t="n"/>
      <c r="X330" s="79" t="n"/>
      <c r="Y330" s="77" t="n"/>
      <c r="Z330" s="79" t="n"/>
      <c r="AA330" s="79" t="n"/>
      <c r="AB330" s="79" t="n"/>
      <c r="AC330" s="69" t="n"/>
      <c r="AD330" s="78" t="n"/>
      <c r="AE330" s="81">
        <f>SUMIFS([1]инфо!$D$15:$D$28,[1]инфо!$A$15:$A$28,F330)</f>
        <v/>
      </c>
      <c r="AF330" s="62">
        <f>IF(H330=0,0,N330/H330)</f>
        <v/>
      </c>
      <c r="AG330" s="82">
        <f>AF330-AE330</f>
        <v/>
      </c>
      <c r="AH330" s="81">
        <f>SUMIFS([1]инфо!$E$15:$E$28,[1]инфо!$A$15:$A$28,F330)</f>
        <v/>
      </c>
      <c r="AI330" s="64">
        <f>IF(H330=0,0,S330/H330)</f>
        <v/>
      </c>
      <c r="AJ330" s="82">
        <f>AI330-AH330</f>
        <v/>
      </c>
      <c r="AK330" s="81">
        <f>SUMIFS([1]инфо!$F$15:$F$28,[1]инфо!$A$15:$A$28,F330)</f>
        <v/>
      </c>
      <c r="AL330" s="64">
        <f>IF(H330=0,0,Y330/H330)</f>
        <v/>
      </c>
      <c r="AM330" s="82">
        <f>AL330-AK330</f>
        <v/>
      </c>
      <c r="AN330" s="81">
        <f>SUMIFS([1]инфо!$G$15:$G$28,[1]инфо!$A$15:$A$28,F330)</f>
        <v/>
      </c>
      <c r="AO330" s="64">
        <f>IF(H330=0,0,AA330/H330)</f>
        <v/>
      </c>
      <c r="AP330" s="82">
        <f>AO330-AN330</f>
        <v/>
      </c>
      <c r="AQ330" s="81">
        <f>SUMIFS([1]инфо!$H$15:$H$28,[1]инфо!$A$15:$A$28,F330)</f>
        <v/>
      </c>
      <c r="AR330" s="85">
        <f>IF(H329=0,0,AC330/H329)</f>
        <v/>
      </c>
      <c r="AS330" s="82">
        <f>AR330-AQ330</f>
        <v/>
      </c>
      <c r="AT330" s="81">
        <f>SUMIFS([1]инфо!$I$15:$I$28,[1]инфо!$A$15:$A$28,F330)</f>
        <v/>
      </c>
      <c r="AU330" s="62">
        <f>IF(H330=0,0,AD330/H330)</f>
        <v/>
      </c>
      <c r="AV330" s="82">
        <f>AU330-AT330</f>
        <v/>
      </c>
      <c r="AX330" s="80">
        <f>SUMIFS([1]инфо!$C$15:$C$28,[1]инфо!$A$15:$A$28,F330)*H329</f>
        <v/>
      </c>
    </row>
    <row r="331">
      <c r="A331" s="71">
        <f>A329+1</f>
        <v/>
      </c>
      <c r="B331" s="51" t="n"/>
      <c r="C331" s="72" t="n"/>
      <c r="D331" s="73" t="n"/>
      <c r="E331" s="66" t="n"/>
      <c r="F331" s="67" t="n"/>
      <c r="G331" s="74" t="n"/>
      <c r="H331" s="55" t="n"/>
      <c r="I331" s="57">
        <f>IFERROR(H331*VLOOKUP(F331,[1]инфо!$A$15:$C$28,3,FALSE)/1000,0)</f>
        <v/>
      </c>
      <c r="J331" s="55" t="n"/>
      <c r="K331" s="55" t="n"/>
      <c r="L331" s="55" t="n"/>
      <c r="M331" s="55" t="n"/>
      <c r="N331" s="67" t="n"/>
      <c r="O331" s="74" t="n"/>
      <c r="P331" s="74" t="n"/>
      <c r="Q331" s="74" t="n"/>
      <c r="R331" s="74" t="n"/>
      <c r="S331" s="70">
        <f>SUM(O331:R331)</f>
        <v/>
      </c>
      <c r="T331" s="72" t="n"/>
      <c r="U331" s="73" t="n"/>
      <c r="V331" s="74" t="n"/>
      <c r="W331" s="68" t="n"/>
      <c r="X331" s="74" t="n"/>
      <c r="Y331" s="72" t="n"/>
      <c r="Z331" s="74" t="n"/>
      <c r="AA331" s="74" t="n"/>
      <c r="AB331" s="74" t="n"/>
      <c r="AC331" s="69" t="n"/>
      <c r="AD331" s="73" t="n"/>
      <c r="AE331" s="75">
        <f>SUMIFS([1]инфо!$D$15:$D$28,[1]инфо!$A$15:$A$28,F331)</f>
        <v/>
      </c>
      <c r="AF331" s="62">
        <f>IF(H331=0,0,N331/H331)</f>
        <v/>
      </c>
      <c r="AG331" s="76">
        <f>AF331-AE331</f>
        <v/>
      </c>
      <c r="AH331" s="75">
        <f>SUMIFS([1]инфо!$E$15:$E$28,[1]инфо!$A$15:$A$28,F331)</f>
        <v/>
      </c>
      <c r="AI331" s="64">
        <f>IF(H331=0,0,S331/H331)</f>
        <v/>
      </c>
      <c r="AJ331" s="76">
        <f>AI331-AH331</f>
        <v/>
      </c>
      <c r="AK331" s="75">
        <f>SUMIFS([1]инфо!$F$15:$F$28,[1]инфо!$A$15:$A$28,F331)</f>
        <v/>
      </c>
      <c r="AL331" s="64">
        <f>IF(H331=0,0,Y331/H331)</f>
        <v/>
      </c>
      <c r="AM331" s="76">
        <f>AL331-AK331</f>
        <v/>
      </c>
      <c r="AN331" s="75">
        <f>SUMIFS([1]инфо!$G$15:$G$28,[1]инфо!$A$15:$A$28,F331)</f>
        <v/>
      </c>
      <c r="AO331" s="64">
        <f>IF(H331=0,0,AA331/H331)</f>
        <v/>
      </c>
      <c r="AP331" s="76">
        <f>AO331-AN331</f>
        <v/>
      </c>
      <c r="AQ331" s="75">
        <f>SUMIFS([1]инфо!$H$15:$H$28,[1]инфо!$A$15:$A$28,F331)</f>
        <v/>
      </c>
      <c r="AR331" s="64">
        <f>IF(H330=0,0,AC331/H330)</f>
        <v/>
      </c>
      <c r="AS331" s="76">
        <f>AR331-AQ331</f>
        <v/>
      </c>
      <c r="AT331" s="75">
        <f>SUMIFS([1]инфо!$I$15:$I$28,[1]инфо!$A$15:$A$28,F331)</f>
        <v/>
      </c>
      <c r="AU331" s="62">
        <f>IF(H331=0,0,AD331/H331)</f>
        <v/>
      </c>
      <c r="AV331" s="76">
        <f>AU331-AT331</f>
        <v/>
      </c>
      <c r="AX331" s="70">
        <f>SUMIFS([1]инфо!$C$15:$C$28,[1]инфо!$A$15:$A$28,F331)*H330</f>
        <v/>
      </c>
    </row>
    <row r="332">
      <c r="A332" s="71">
        <f>A330+1</f>
        <v/>
      </c>
      <c r="B332" s="51" t="n"/>
      <c r="C332" s="52" t="n"/>
      <c r="D332" s="53" t="n"/>
      <c r="E332" s="66" t="n"/>
      <c r="F332" s="67" t="n"/>
      <c r="G332" s="58" t="n"/>
      <c r="H332" s="55" t="n"/>
      <c r="I332" s="57">
        <f>IFERROR(H332*VLOOKUP(F332,[1]инфо!$A$15:$C$28,3,FALSE)/1000,0)</f>
        <v/>
      </c>
      <c r="J332" s="55" t="n"/>
      <c r="K332" s="55" t="n"/>
      <c r="L332" s="55" t="n"/>
      <c r="M332" s="55" t="n"/>
      <c r="N332" s="55" t="n"/>
      <c r="O332" s="58" t="n"/>
      <c r="P332" s="58" t="n"/>
      <c r="Q332" s="58" t="n"/>
      <c r="R332" s="58" t="n"/>
      <c r="S332" s="59">
        <f>SUM(O332:R332)</f>
        <v/>
      </c>
      <c r="T332" s="52" t="n"/>
      <c r="U332" s="53" t="n"/>
      <c r="V332" s="58" t="n"/>
      <c r="W332" s="68" t="n"/>
      <c r="X332" s="58" t="n"/>
      <c r="Y332" s="52" t="n"/>
      <c r="Z332" s="58" t="n"/>
      <c r="AA332" s="58" t="n"/>
      <c r="AB332" s="58" t="n"/>
      <c r="AC332" s="69" t="n"/>
      <c r="AD332" s="53" t="n"/>
      <c r="AE332" s="61">
        <f>SUMIFS([1]инфо!$D$15:$D$28,[1]инфо!$A$15:$A$28,F332)</f>
        <v/>
      </c>
      <c r="AF332" s="62">
        <f>IF(H332=0,0,N332/H332)</f>
        <v/>
      </c>
      <c r="AG332" s="63">
        <f>AF332-AE332</f>
        <v/>
      </c>
      <c r="AH332" s="61">
        <f>SUMIFS([1]инфо!$E$15:$E$28,[1]инфо!$A$15:$A$28,F332)</f>
        <v/>
      </c>
      <c r="AI332" s="64">
        <f>IF(H332=0,0,S332/H332)</f>
        <v/>
      </c>
      <c r="AJ332" s="63">
        <f>AI332-AH332</f>
        <v/>
      </c>
      <c r="AK332" s="61">
        <f>SUMIFS([1]инфо!$F$15:$F$28,[1]инфо!$A$15:$A$28,F332)</f>
        <v/>
      </c>
      <c r="AL332" s="64">
        <f>IF(H332=0,0,Y332/H332)</f>
        <v/>
      </c>
      <c r="AM332" s="63">
        <f>AL332-AK332</f>
        <v/>
      </c>
      <c r="AN332" s="61">
        <f>SUMIFS([1]инфо!$G$15:$G$28,[1]инфо!$A$15:$A$28,F332)</f>
        <v/>
      </c>
      <c r="AO332" s="64">
        <f>IF(H332=0,0,AA332/H332)</f>
        <v/>
      </c>
      <c r="AP332" s="63">
        <f>AO332-AN332</f>
        <v/>
      </c>
      <c r="AQ332" s="61">
        <f>SUMIFS([1]инфо!$H$15:$H$28,[1]инфо!$A$15:$A$28,F332)</f>
        <v/>
      </c>
      <c r="AR332" s="62">
        <f>IF(H331=0,0,AC332/H331)</f>
        <v/>
      </c>
      <c r="AS332" s="63">
        <f>AR332-AQ332</f>
        <v/>
      </c>
      <c r="AT332" s="61">
        <f>SUMIFS([1]инфо!$I$15:$I$28,[1]инфо!$A$15:$A$28,F332)</f>
        <v/>
      </c>
      <c r="AU332" s="62">
        <f>IF(H332=0,0,AD332/H332)</f>
        <v/>
      </c>
      <c r="AV332" s="63">
        <f>AU332-AT332</f>
        <v/>
      </c>
      <c r="AX332" s="59">
        <f>SUMIFS([1]инфо!$C$15:$C$28,[1]инфо!$A$15:$A$28,F332)*H331</f>
        <v/>
      </c>
    </row>
    <row r="333">
      <c r="A333" s="71">
        <f>A331+1</f>
        <v/>
      </c>
      <c r="B333" s="51" t="n"/>
      <c r="C333" s="52" t="n"/>
      <c r="D333" s="53" t="n"/>
      <c r="E333" s="66" t="n"/>
      <c r="F333" s="67" t="n"/>
      <c r="G333" s="58" t="n"/>
      <c r="H333" s="56" t="n"/>
      <c r="I333" s="57">
        <f>IFERROR(H333*VLOOKUP(F333,[1]инфо!$A$15:$C$28,3,FALSE)/1000,0)</f>
        <v/>
      </c>
      <c r="J333" s="55" t="n"/>
      <c r="K333" s="55" t="n"/>
      <c r="L333" s="55" t="n"/>
      <c r="M333" s="55" t="n"/>
      <c r="N333" s="55" t="n"/>
      <c r="O333" s="58" t="n"/>
      <c r="P333" s="58" t="n"/>
      <c r="Q333" s="58" t="n"/>
      <c r="R333" s="58" t="n"/>
      <c r="S333" s="59">
        <f>SUM(O333:R333)</f>
        <v/>
      </c>
      <c r="T333" s="52" t="n"/>
      <c r="U333" s="53" t="n"/>
      <c r="V333" s="58" t="n"/>
      <c r="W333" s="68" t="n"/>
      <c r="X333" s="58" t="n"/>
      <c r="Y333" s="52" t="n"/>
      <c r="Z333" s="58" t="n"/>
      <c r="AA333" s="58" t="n"/>
      <c r="AB333" s="58" t="n"/>
      <c r="AC333" s="69" t="n"/>
      <c r="AD333" s="53" t="n"/>
      <c r="AE333" s="61">
        <f>SUMIFS([1]инфо!$D$15:$D$28,[1]инфо!$A$15:$A$28,F333)</f>
        <v/>
      </c>
      <c r="AF333" s="62">
        <f>IF(H333=0,0,N333/H333)</f>
        <v/>
      </c>
      <c r="AG333" s="63">
        <f>AF333-AE333</f>
        <v/>
      </c>
      <c r="AH333" s="61">
        <f>SUMIFS([1]инфо!$E$15:$E$28,[1]инфо!$A$15:$A$28,F333)</f>
        <v/>
      </c>
      <c r="AI333" s="64">
        <f>IF(H333=0,0,S333/H333)</f>
        <v/>
      </c>
      <c r="AJ333" s="63">
        <f>AI333-AH333</f>
        <v/>
      </c>
      <c r="AK333" s="61">
        <f>SUMIFS([1]инфо!$F$15:$F$28,[1]инфо!$A$15:$A$28,F333)</f>
        <v/>
      </c>
      <c r="AL333" s="64">
        <f>IF(H333=0,0,Y333/H333)</f>
        <v/>
      </c>
      <c r="AM333" s="63">
        <f>AL333-AK333</f>
        <v/>
      </c>
      <c r="AN333" s="61">
        <f>SUMIFS([1]инфо!$G$15:$G$28,[1]инфо!$A$15:$A$28,F333)</f>
        <v/>
      </c>
      <c r="AO333" s="64">
        <f>IF(H333=0,0,AA333/H333)</f>
        <v/>
      </c>
      <c r="AP333" s="63">
        <f>AO333-AN333</f>
        <v/>
      </c>
      <c r="AQ333" s="61">
        <f>SUMIFS([1]инфо!$H$15:$H$28,[1]инфо!$A$15:$A$28,F333)</f>
        <v/>
      </c>
      <c r="AR333" s="62">
        <f>IF(H332=0,0,AC333/H332)</f>
        <v/>
      </c>
      <c r="AS333" s="63">
        <f>AR333-AQ333</f>
        <v/>
      </c>
      <c r="AT333" s="61">
        <f>SUMIFS([1]инфо!$I$15:$I$28,[1]инфо!$A$15:$A$28,F333)</f>
        <v/>
      </c>
      <c r="AU333" s="62">
        <f>IF(H333=0,0,AD333/H333)</f>
        <v/>
      </c>
      <c r="AV333" s="63">
        <f>AU333-AT333</f>
        <v/>
      </c>
      <c r="AX333" s="59">
        <f>SUMIFS([1]инфо!$C$15:$C$28,[1]инфо!$A$15:$A$28,F333)*H332</f>
        <v/>
      </c>
    </row>
    <row r="334">
      <c r="A334" s="71">
        <f>A332+1</f>
        <v/>
      </c>
      <c r="B334" s="51" t="n"/>
      <c r="C334" s="77" t="n"/>
      <c r="D334" s="78" t="n"/>
      <c r="E334" s="66" t="n"/>
      <c r="F334" s="67" t="n"/>
      <c r="G334" s="79" t="n"/>
      <c r="H334" s="67" t="n"/>
      <c r="I334" s="57">
        <f>IFERROR(H334*VLOOKUP(F334,[1]инфо!$A$15:$C$28,3,FALSE)/1000,0)</f>
        <v/>
      </c>
      <c r="J334" s="55" t="n"/>
      <c r="K334" s="55" t="n"/>
      <c r="L334" s="55" t="n"/>
      <c r="M334" s="55" t="n"/>
      <c r="N334" s="56" t="n"/>
      <c r="O334" s="79" t="n"/>
      <c r="P334" s="79" t="n"/>
      <c r="Q334" s="79" t="n"/>
      <c r="R334" s="79" t="n"/>
      <c r="S334" s="80">
        <f>SUM(O334:R334)</f>
        <v/>
      </c>
      <c r="T334" s="77" t="n"/>
      <c r="U334" s="78" t="n"/>
      <c r="V334" s="79" t="n"/>
      <c r="W334" s="68" t="n"/>
      <c r="X334" s="79" t="n"/>
      <c r="Y334" s="77" t="n"/>
      <c r="Z334" s="79" t="n"/>
      <c r="AA334" s="79" t="n"/>
      <c r="AB334" s="79" t="n"/>
      <c r="AC334" s="69" t="n"/>
      <c r="AD334" s="78" t="n"/>
      <c r="AE334" s="81">
        <f>SUMIFS([1]инфо!$D$15:$D$28,[1]инфо!$A$15:$A$28,F334)</f>
        <v/>
      </c>
      <c r="AF334" s="62">
        <f>IF(H334=0,0,N334/H334)</f>
        <v/>
      </c>
      <c r="AG334" s="82">
        <f>AF334-AE334</f>
        <v/>
      </c>
      <c r="AH334" s="81">
        <f>SUMIFS([1]инфо!$E$15:$E$28,[1]инфо!$A$15:$A$28,F334)</f>
        <v/>
      </c>
      <c r="AI334" s="64">
        <f>IF(H334=0,0,S334/H334)</f>
        <v/>
      </c>
      <c r="AJ334" s="82">
        <f>AI334-AH334</f>
        <v/>
      </c>
      <c r="AK334" s="81">
        <f>SUMIFS([1]инфо!$F$15:$F$28,[1]инфо!$A$15:$A$28,F334)</f>
        <v/>
      </c>
      <c r="AL334" s="64">
        <f>IF(H334=0,0,Y334/H334)</f>
        <v/>
      </c>
      <c r="AM334" s="82">
        <f>AL334-AK334</f>
        <v/>
      </c>
      <c r="AN334" s="81">
        <f>SUMIFS([1]инфо!$G$15:$G$28,[1]инфо!$A$15:$A$28,F334)</f>
        <v/>
      </c>
      <c r="AO334" s="64">
        <f>IF(H334=0,0,AA334/H334)</f>
        <v/>
      </c>
      <c r="AP334" s="82">
        <f>AO334-AN334</f>
        <v/>
      </c>
      <c r="AQ334" s="81">
        <f>SUMIFS([1]инфо!$H$15:$H$28,[1]инфо!$A$15:$A$28,F334)</f>
        <v/>
      </c>
      <c r="AR334" s="85">
        <f>IF(H333=0,0,AC334/H333)</f>
        <v/>
      </c>
      <c r="AS334" s="82">
        <f>AR334-AQ334</f>
        <v/>
      </c>
      <c r="AT334" s="81">
        <f>SUMIFS([1]инфо!$I$15:$I$28,[1]инфо!$A$15:$A$28,F334)</f>
        <v/>
      </c>
      <c r="AU334" s="62">
        <f>IF(H334=0,0,AD334/H334)</f>
        <v/>
      </c>
      <c r="AV334" s="82">
        <f>AU334-AT334</f>
        <v/>
      </c>
      <c r="AX334" s="80">
        <f>SUMIFS([1]инфо!$C$15:$C$28,[1]инфо!$A$15:$A$28,F334)*H333</f>
        <v/>
      </c>
    </row>
    <row r="335">
      <c r="A335" s="71">
        <f>A333+1</f>
        <v/>
      </c>
      <c r="B335" s="51" t="n"/>
      <c r="C335" s="72" t="n"/>
      <c r="D335" s="73" t="n"/>
      <c r="E335" s="66" t="n"/>
      <c r="F335" s="67" t="n"/>
      <c r="G335" s="74" t="n"/>
      <c r="H335" s="55" t="n"/>
      <c r="I335" s="57">
        <f>IFERROR(H335*VLOOKUP(F335,[1]инфо!$A$15:$C$28,3,FALSE)/1000,0)</f>
        <v/>
      </c>
      <c r="J335" s="55" t="n"/>
      <c r="K335" s="55" t="n"/>
      <c r="L335" s="55" t="n"/>
      <c r="M335" s="55" t="n"/>
      <c r="N335" s="67" t="n"/>
      <c r="O335" s="74" t="n"/>
      <c r="P335" s="74" t="n"/>
      <c r="Q335" s="74" t="n"/>
      <c r="R335" s="74" t="n"/>
      <c r="S335" s="70">
        <f>SUM(O335:R335)</f>
        <v/>
      </c>
      <c r="T335" s="72" t="n"/>
      <c r="U335" s="73" t="n"/>
      <c r="V335" s="74" t="n"/>
      <c r="W335" s="68" t="n"/>
      <c r="X335" s="74" t="n"/>
      <c r="Y335" s="72" t="n"/>
      <c r="Z335" s="74" t="n"/>
      <c r="AA335" s="74" t="n"/>
      <c r="AB335" s="74" t="n"/>
      <c r="AC335" s="69" t="n"/>
      <c r="AD335" s="73" t="n"/>
      <c r="AE335" s="75">
        <f>SUMIFS([1]инфо!$D$15:$D$28,[1]инфо!$A$15:$A$28,F335)</f>
        <v/>
      </c>
      <c r="AF335" s="62">
        <f>IF(H335=0,0,N335/H335)</f>
        <v/>
      </c>
      <c r="AG335" s="76">
        <f>AF335-AE335</f>
        <v/>
      </c>
      <c r="AH335" s="75">
        <f>SUMIFS([1]инфо!$E$15:$E$28,[1]инфо!$A$15:$A$28,F335)</f>
        <v/>
      </c>
      <c r="AI335" s="64">
        <f>IF(H335=0,0,S335/H335)</f>
        <v/>
      </c>
      <c r="AJ335" s="76">
        <f>AI335-AH335</f>
        <v/>
      </c>
      <c r="AK335" s="75">
        <f>SUMIFS([1]инфо!$F$15:$F$28,[1]инфо!$A$15:$A$28,F335)</f>
        <v/>
      </c>
      <c r="AL335" s="64">
        <f>IF(H335=0,0,Y335/H335)</f>
        <v/>
      </c>
      <c r="AM335" s="76">
        <f>AL335-AK335</f>
        <v/>
      </c>
      <c r="AN335" s="75">
        <f>SUMIFS([1]инфо!$G$15:$G$28,[1]инфо!$A$15:$A$28,F335)</f>
        <v/>
      </c>
      <c r="AO335" s="64">
        <f>IF(H335=0,0,AA335/H335)</f>
        <v/>
      </c>
      <c r="AP335" s="76">
        <f>AO335-AN335</f>
        <v/>
      </c>
      <c r="AQ335" s="75">
        <f>SUMIFS([1]инфо!$H$15:$H$28,[1]инфо!$A$15:$A$28,F335)</f>
        <v/>
      </c>
      <c r="AR335" s="64">
        <f>IF(H334=0,0,AC335/H334)</f>
        <v/>
      </c>
      <c r="AS335" s="76">
        <f>AR335-AQ335</f>
        <v/>
      </c>
      <c r="AT335" s="75">
        <f>SUMIFS([1]инфо!$I$15:$I$28,[1]инфо!$A$15:$A$28,F335)</f>
        <v/>
      </c>
      <c r="AU335" s="62">
        <f>IF(H335=0,0,AD335/H335)</f>
        <v/>
      </c>
      <c r="AV335" s="76">
        <f>AU335-AT335</f>
        <v/>
      </c>
      <c r="AX335" s="70">
        <f>SUMIFS([1]инфо!$C$15:$C$28,[1]инфо!$A$15:$A$28,F335)*H334</f>
        <v/>
      </c>
    </row>
    <row r="336">
      <c r="A336" s="71">
        <f>A334+1</f>
        <v/>
      </c>
      <c r="B336" s="51" t="n"/>
      <c r="C336" s="52" t="n"/>
      <c r="D336" s="53" t="n"/>
      <c r="E336" s="66" t="n"/>
      <c r="F336" s="67" t="n"/>
      <c r="G336" s="58" t="n"/>
      <c r="H336" s="55" t="n"/>
      <c r="I336" s="57">
        <f>IFERROR(H336*VLOOKUP(F336,[1]инфо!$A$15:$C$28,3,FALSE)/1000,0)</f>
        <v/>
      </c>
      <c r="J336" s="55" t="n"/>
      <c r="K336" s="55" t="n"/>
      <c r="L336" s="55" t="n"/>
      <c r="M336" s="55" t="n"/>
      <c r="N336" s="55" t="n"/>
      <c r="O336" s="58" t="n"/>
      <c r="P336" s="58" t="n"/>
      <c r="Q336" s="58" t="n"/>
      <c r="R336" s="58" t="n"/>
      <c r="S336" s="59">
        <f>SUM(O336:R336)</f>
        <v/>
      </c>
      <c r="T336" s="52" t="n"/>
      <c r="U336" s="53" t="n"/>
      <c r="V336" s="58" t="n"/>
      <c r="W336" s="68" t="n"/>
      <c r="X336" s="58" t="n"/>
      <c r="Y336" s="52" t="n"/>
      <c r="Z336" s="58" t="n"/>
      <c r="AA336" s="58" t="n"/>
      <c r="AB336" s="58" t="n"/>
      <c r="AC336" s="69" t="n"/>
      <c r="AD336" s="53" t="n"/>
      <c r="AE336" s="61">
        <f>SUMIFS([1]инфо!$D$15:$D$28,[1]инфо!$A$15:$A$28,F336)</f>
        <v/>
      </c>
      <c r="AF336" s="62">
        <f>IF(H336=0,0,N336/H336)</f>
        <v/>
      </c>
      <c r="AG336" s="63">
        <f>AF336-AE336</f>
        <v/>
      </c>
      <c r="AH336" s="61">
        <f>SUMIFS([1]инфо!$E$15:$E$28,[1]инфо!$A$15:$A$28,F336)</f>
        <v/>
      </c>
      <c r="AI336" s="64">
        <f>IF(H336=0,0,S336/H336)</f>
        <v/>
      </c>
      <c r="AJ336" s="63">
        <f>AI336-AH336</f>
        <v/>
      </c>
      <c r="AK336" s="61">
        <f>SUMIFS([1]инфо!$F$15:$F$28,[1]инфо!$A$15:$A$28,F336)</f>
        <v/>
      </c>
      <c r="AL336" s="64">
        <f>IF(H336=0,0,Y336/H336)</f>
        <v/>
      </c>
      <c r="AM336" s="63">
        <f>AL336-AK336</f>
        <v/>
      </c>
      <c r="AN336" s="61">
        <f>SUMIFS([1]инфо!$G$15:$G$28,[1]инфо!$A$15:$A$28,F336)</f>
        <v/>
      </c>
      <c r="AO336" s="64">
        <f>IF(H336=0,0,AA336/H336)</f>
        <v/>
      </c>
      <c r="AP336" s="63">
        <f>AO336-AN336</f>
        <v/>
      </c>
      <c r="AQ336" s="61">
        <f>SUMIFS([1]инфо!$H$15:$H$28,[1]инфо!$A$15:$A$28,F336)</f>
        <v/>
      </c>
      <c r="AR336" s="62">
        <f>IF(H335=0,0,AC336/H335)</f>
        <v/>
      </c>
      <c r="AS336" s="63">
        <f>AR336-AQ336</f>
        <v/>
      </c>
      <c r="AT336" s="61">
        <f>SUMIFS([1]инфо!$I$15:$I$28,[1]инфо!$A$15:$A$28,F336)</f>
        <v/>
      </c>
      <c r="AU336" s="62">
        <f>IF(H336=0,0,AD336/H336)</f>
        <v/>
      </c>
      <c r="AV336" s="63">
        <f>AU336-AT336</f>
        <v/>
      </c>
      <c r="AX336" s="59">
        <f>SUMIFS([1]инфо!$C$15:$C$28,[1]инфо!$A$15:$A$28,F336)*H335</f>
        <v/>
      </c>
    </row>
    <row r="337">
      <c r="A337" s="71">
        <f>A335+1</f>
        <v/>
      </c>
      <c r="B337" s="51" t="n"/>
      <c r="C337" s="52" t="n"/>
      <c r="D337" s="53" t="n"/>
      <c r="E337" s="66" t="n"/>
      <c r="F337" s="67" t="n"/>
      <c r="G337" s="58" t="n"/>
      <c r="H337" s="56" t="n"/>
      <c r="I337" s="57">
        <f>IFERROR(H337*VLOOKUP(F337,[1]инфо!$A$15:$C$28,3,FALSE)/1000,0)</f>
        <v/>
      </c>
      <c r="J337" s="55" t="n"/>
      <c r="K337" s="55" t="n"/>
      <c r="L337" s="55" t="n"/>
      <c r="M337" s="55" t="n"/>
      <c r="N337" s="55" t="n"/>
      <c r="O337" s="58" t="n"/>
      <c r="P337" s="58" t="n"/>
      <c r="Q337" s="58" t="n"/>
      <c r="R337" s="58" t="n"/>
      <c r="S337" s="59">
        <f>SUM(O337:R337)</f>
        <v/>
      </c>
      <c r="T337" s="52" t="n"/>
      <c r="U337" s="53" t="n"/>
      <c r="V337" s="58" t="n"/>
      <c r="W337" s="68" t="n"/>
      <c r="X337" s="58" t="n"/>
      <c r="Y337" s="52" t="n"/>
      <c r="Z337" s="58" t="n"/>
      <c r="AA337" s="58" t="n"/>
      <c r="AB337" s="58" t="n"/>
      <c r="AC337" s="69" t="n"/>
      <c r="AD337" s="53" t="n"/>
      <c r="AE337" s="61">
        <f>SUMIFS([1]инфо!$D$15:$D$28,[1]инфо!$A$15:$A$28,F337)</f>
        <v/>
      </c>
      <c r="AF337" s="62">
        <f>IF(H337=0,0,N337/H337)</f>
        <v/>
      </c>
      <c r="AG337" s="63">
        <f>AF337-AE337</f>
        <v/>
      </c>
      <c r="AH337" s="61">
        <f>SUMIFS([1]инфо!$E$15:$E$28,[1]инфо!$A$15:$A$28,F337)</f>
        <v/>
      </c>
      <c r="AI337" s="64">
        <f>IF(H337=0,0,S337/H337)</f>
        <v/>
      </c>
      <c r="AJ337" s="63">
        <f>AI337-AH337</f>
        <v/>
      </c>
      <c r="AK337" s="61">
        <f>SUMIFS([1]инфо!$F$15:$F$28,[1]инфо!$A$15:$A$28,F337)</f>
        <v/>
      </c>
      <c r="AL337" s="64">
        <f>IF(H337=0,0,Y337/H337)</f>
        <v/>
      </c>
      <c r="AM337" s="63">
        <f>AL337-AK337</f>
        <v/>
      </c>
      <c r="AN337" s="61">
        <f>SUMIFS([1]инфо!$G$15:$G$28,[1]инфо!$A$15:$A$28,F337)</f>
        <v/>
      </c>
      <c r="AO337" s="64">
        <f>IF(H337=0,0,AA337/H337)</f>
        <v/>
      </c>
      <c r="AP337" s="63">
        <f>AO337-AN337</f>
        <v/>
      </c>
      <c r="AQ337" s="61">
        <f>SUMIFS([1]инфо!$H$15:$H$28,[1]инфо!$A$15:$A$28,F337)</f>
        <v/>
      </c>
      <c r="AR337" s="62">
        <f>IF(H336=0,0,AC337/H336)</f>
        <v/>
      </c>
      <c r="AS337" s="63">
        <f>AR337-AQ337</f>
        <v/>
      </c>
      <c r="AT337" s="61">
        <f>SUMIFS([1]инфо!$I$15:$I$28,[1]инфо!$A$15:$A$28,F337)</f>
        <v/>
      </c>
      <c r="AU337" s="62">
        <f>IF(H337=0,0,AD337/H337)</f>
        <v/>
      </c>
      <c r="AV337" s="63">
        <f>AU337-AT337</f>
        <v/>
      </c>
      <c r="AX337" s="59">
        <f>SUMIFS([1]инфо!$C$15:$C$28,[1]инфо!$A$15:$A$28,F337)*H336</f>
        <v/>
      </c>
    </row>
    <row r="338">
      <c r="A338" s="71">
        <f>A336+1</f>
        <v/>
      </c>
      <c r="B338" s="51" t="n"/>
      <c r="C338" s="77" t="n"/>
      <c r="D338" s="78" t="n"/>
      <c r="E338" s="66" t="n"/>
      <c r="F338" s="67" t="n"/>
      <c r="G338" s="79" t="n"/>
      <c r="H338" s="67" t="n"/>
      <c r="I338" s="57">
        <f>IFERROR(H338*VLOOKUP(F338,[1]инфо!$A$15:$C$28,3,FALSE)/1000,0)</f>
        <v/>
      </c>
      <c r="J338" s="55" t="n"/>
      <c r="K338" s="55" t="n"/>
      <c r="L338" s="55" t="n"/>
      <c r="M338" s="55" t="n"/>
      <c r="N338" s="56" t="n"/>
      <c r="O338" s="79" t="n"/>
      <c r="P338" s="79" t="n"/>
      <c r="Q338" s="79" t="n"/>
      <c r="R338" s="79" t="n"/>
      <c r="S338" s="80">
        <f>SUM(O338:R338)</f>
        <v/>
      </c>
      <c r="T338" s="77" t="n"/>
      <c r="U338" s="78" t="n"/>
      <c r="V338" s="79" t="n"/>
      <c r="W338" s="68" t="n"/>
      <c r="X338" s="79" t="n"/>
      <c r="Y338" s="77" t="n"/>
      <c r="Z338" s="79" t="n"/>
      <c r="AA338" s="79" t="n"/>
      <c r="AB338" s="79" t="n"/>
      <c r="AC338" s="69" t="n"/>
      <c r="AD338" s="78" t="n"/>
      <c r="AE338" s="81">
        <f>SUMIFS([1]инфо!$D$15:$D$28,[1]инфо!$A$15:$A$28,F338)</f>
        <v/>
      </c>
      <c r="AF338" s="62">
        <f>IF(H338=0,0,N338/H338)</f>
        <v/>
      </c>
      <c r="AG338" s="82">
        <f>AF338-AE338</f>
        <v/>
      </c>
      <c r="AH338" s="81">
        <f>SUMIFS([1]инфо!$E$15:$E$28,[1]инфо!$A$15:$A$28,F338)</f>
        <v/>
      </c>
      <c r="AI338" s="64">
        <f>IF(H338=0,0,S338/H338)</f>
        <v/>
      </c>
      <c r="AJ338" s="82">
        <f>AI338-AH338</f>
        <v/>
      </c>
      <c r="AK338" s="81">
        <f>SUMIFS([1]инфо!$F$15:$F$28,[1]инфо!$A$15:$A$28,F338)</f>
        <v/>
      </c>
      <c r="AL338" s="64">
        <f>IF(H338=0,0,Y338/H338)</f>
        <v/>
      </c>
      <c r="AM338" s="82">
        <f>AL338-AK338</f>
        <v/>
      </c>
      <c r="AN338" s="81">
        <f>SUMIFS([1]инфо!$G$15:$G$28,[1]инфо!$A$15:$A$28,F338)</f>
        <v/>
      </c>
      <c r="AO338" s="64">
        <f>IF(H338=0,0,AA338/H338)</f>
        <v/>
      </c>
      <c r="AP338" s="82">
        <f>AO338-AN338</f>
        <v/>
      </c>
      <c r="AQ338" s="81">
        <f>SUMIFS([1]инфо!$H$15:$H$28,[1]инфо!$A$15:$A$28,F338)</f>
        <v/>
      </c>
      <c r="AR338" s="85">
        <f>IF(H337=0,0,AC338/H337)</f>
        <v/>
      </c>
      <c r="AS338" s="82">
        <f>AR338-AQ338</f>
        <v/>
      </c>
      <c r="AT338" s="81">
        <f>SUMIFS([1]инфо!$I$15:$I$28,[1]инфо!$A$15:$A$28,F338)</f>
        <v/>
      </c>
      <c r="AU338" s="62">
        <f>IF(H338=0,0,AD338/H338)</f>
        <v/>
      </c>
      <c r="AV338" s="82">
        <f>AU338-AT338</f>
        <v/>
      </c>
      <c r="AX338" s="80">
        <f>SUMIFS([1]инфо!$C$15:$C$28,[1]инфо!$A$15:$A$28,F338)*H337</f>
        <v/>
      </c>
    </row>
    <row r="339">
      <c r="A339" s="71">
        <f>A337+1</f>
        <v/>
      </c>
      <c r="B339" s="51" t="n"/>
      <c r="C339" s="72" t="n"/>
      <c r="D339" s="73" t="n"/>
      <c r="E339" s="66" t="n"/>
      <c r="F339" s="67" t="n"/>
      <c r="G339" s="74" t="n"/>
      <c r="H339" s="55" t="n"/>
      <c r="I339" s="57">
        <f>IFERROR(H339*VLOOKUP(F339,[1]инфо!$A$15:$C$28,3,FALSE)/1000,0)</f>
        <v/>
      </c>
      <c r="J339" s="55" t="n"/>
      <c r="K339" s="55" t="n"/>
      <c r="L339" s="55" t="n"/>
      <c r="M339" s="55" t="n"/>
      <c r="N339" s="67" t="n"/>
      <c r="O339" s="74" t="n"/>
      <c r="P339" s="74" t="n"/>
      <c r="Q339" s="74" t="n"/>
      <c r="R339" s="74" t="n"/>
      <c r="S339" s="70">
        <f>SUM(O339:R339)</f>
        <v/>
      </c>
      <c r="T339" s="72" t="n"/>
      <c r="U339" s="73" t="n"/>
      <c r="V339" s="74" t="n"/>
      <c r="W339" s="68" t="n"/>
      <c r="X339" s="74" t="n"/>
      <c r="Y339" s="72" t="n"/>
      <c r="Z339" s="74" t="n"/>
      <c r="AA339" s="74" t="n"/>
      <c r="AB339" s="74" t="n"/>
      <c r="AC339" s="69" t="n"/>
      <c r="AD339" s="73" t="n"/>
      <c r="AE339" s="75">
        <f>SUMIFS([1]инфо!$D$15:$D$28,[1]инфо!$A$15:$A$28,F339)</f>
        <v/>
      </c>
      <c r="AF339" s="62">
        <f>IF(H339=0,0,N339/H339)</f>
        <v/>
      </c>
      <c r="AG339" s="76">
        <f>AF339-AE339</f>
        <v/>
      </c>
      <c r="AH339" s="75">
        <f>SUMIFS([1]инфо!$E$15:$E$28,[1]инфо!$A$15:$A$28,F339)</f>
        <v/>
      </c>
      <c r="AI339" s="64">
        <f>IF(H339=0,0,S339/H339)</f>
        <v/>
      </c>
      <c r="AJ339" s="76">
        <f>AI339-AH339</f>
        <v/>
      </c>
      <c r="AK339" s="75">
        <f>SUMIFS([1]инфо!$F$15:$F$28,[1]инфо!$A$15:$A$28,F339)</f>
        <v/>
      </c>
      <c r="AL339" s="64">
        <f>IF(H339=0,0,Y339/H339)</f>
        <v/>
      </c>
      <c r="AM339" s="76">
        <f>AL339-AK339</f>
        <v/>
      </c>
      <c r="AN339" s="75">
        <f>SUMIFS([1]инфо!$G$15:$G$28,[1]инфо!$A$15:$A$28,F339)</f>
        <v/>
      </c>
      <c r="AO339" s="64">
        <f>IF(H339=0,0,AA339/H339)</f>
        <v/>
      </c>
      <c r="AP339" s="76">
        <f>AO339-AN339</f>
        <v/>
      </c>
      <c r="AQ339" s="75">
        <f>SUMIFS([1]инфо!$H$15:$H$28,[1]инфо!$A$15:$A$28,F339)</f>
        <v/>
      </c>
      <c r="AR339" s="64">
        <f>IF(H338=0,0,AC339/H338)</f>
        <v/>
      </c>
      <c r="AS339" s="76">
        <f>AR339-AQ339</f>
        <v/>
      </c>
      <c r="AT339" s="75">
        <f>SUMIFS([1]инфо!$I$15:$I$28,[1]инфо!$A$15:$A$28,F339)</f>
        <v/>
      </c>
      <c r="AU339" s="62">
        <f>IF(H339=0,0,AD339/H339)</f>
        <v/>
      </c>
      <c r="AV339" s="76">
        <f>AU339-AT339</f>
        <v/>
      </c>
      <c r="AX339" s="70">
        <f>SUMIFS([1]инфо!$C$15:$C$28,[1]инфо!$A$15:$A$28,F339)*H338</f>
        <v/>
      </c>
    </row>
    <row r="340">
      <c r="A340" s="71">
        <f>A338+1</f>
        <v/>
      </c>
      <c r="B340" s="51" t="n"/>
      <c r="C340" s="52" t="n"/>
      <c r="D340" s="53" t="n"/>
      <c r="E340" s="66" t="n"/>
      <c r="F340" s="67" t="n"/>
      <c r="G340" s="58" t="n"/>
      <c r="H340" s="55" t="n"/>
      <c r="I340" s="57">
        <f>IFERROR(H340*VLOOKUP(F340,[1]инфо!$A$15:$C$28,3,FALSE)/1000,0)</f>
        <v/>
      </c>
      <c r="J340" s="55" t="n"/>
      <c r="K340" s="55" t="n"/>
      <c r="L340" s="55" t="n"/>
      <c r="M340" s="55" t="n"/>
      <c r="N340" s="55" t="n"/>
      <c r="O340" s="58" t="n"/>
      <c r="P340" s="58" t="n"/>
      <c r="Q340" s="58" t="n"/>
      <c r="R340" s="58" t="n"/>
      <c r="S340" s="59">
        <f>SUM(O340:R340)</f>
        <v/>
      </c>
      <c r="T340" s="52" t="n"/>
      <c r="U340" s="53" t="n"/>
      <c r="V340" s="58" t="n"/>
      <c r="W340" s="68" t="n"/>
      <c r="X340" s="58" t="n"/>
      <c r="Y340" s="52" t="n"/>
      <c r="Z340" s="58" t="n"/>
      <c r="AA340" s="58" t="n"/>
      <c r="AB340" s="58" t="n"/>
      <c r="AC340" s="69" t="n"/>
      <c r="AD340" s="53" t="n"/>
      <c r="AE340" s="61">
        <f>SUMIFS([1]инфо!$D$15:$D$28,[1]инфо!$A$15:$A$28,F340)</f>
        <v/>
      </c>
      <c r="AF340" s="62">
        <f>IF(H340=0,0,N340/H340)</f>
        <v/>
      </c>
      <c r="AG340" s="63">
        <f>AF340-AE340</f>
        <v/>
      </c>
      <c r="AH340" s="61">
        <f>SUMIFS([1]инфо!$E$15:$E$28,[1]инфо!$A$15:$A$28,F340)</f>
        <v/>
      </c>
      <c r="AI340" s="64">
        <f>IF(H340=0,0,S340/H340)</f>
        <v/>
      </c>
      <c r="AJ340" s="63">
        <f>AI340-AH340</f>
        <v/>
      </c>
      <c r="AK340" s="61">
        <f>SUMIFS([1]инфо!$F$15:$F$28,[1]инфо!$A$15:$A$28,F340)</f>
        <v/>
      </c>
      <c r="AL340" s="64">
        <f>IF(H340=0,0,Y340/H340)</f>
        <v/>
      </c>
      <c r="AM340" s="63">
        <f>AL340-AK340</f>
        <v/>
      </c>
      <c r="AN340" s="61">
        <f>SUMIFS([1]инфо!$G$15:$G$28,[1]инфо!$A$15:$A$28,F340)</f>
        <v/>
      </c>
      <c r="AO340" s="64">
        <f>IF(H340=0,0,AA340/H340)</f>
        <v/>
      </c>
      <c r="AP340" s="63">
        <f>AO340-AN340</f>
        <v/>
      </c>
      <c r="AQ340" s="61">
        <f>SUMIFS([1]инфо!$H$15:$H$28,[1]инфо!$A$15:$A$28,F340)</f>
        <v/>
      </c>
      <c r="AR340" s="62">
        <f>IF(H339=0,0,AC340/H339)</f>
        <v/>
      </c>
      <c r="AS340" s="63">
        <f>AR340-AQ340</f>
        <v/>
      </c>
      <c r="AT340" s="61">
        <f>SUMIFS([1]инфо!$I$15:$I$28,[1]инфо!$A$15:$A$28,F340)</f>
        <v/>
      </c>
      <c r="AU340" s="62">
        <f>IF(H340=0,0,AD340/H340)</f>
        <v/>
      </c>
      <c r="AV340" s="63">
        <f>AU340-AT340</f>
        <v/>
      </c>
      <c r="AX340" s="59">
        <f>SUMIFS([1]инфо!$C$15:$C$28,[1]инфо!$A$15:$A$28,F340)*H339</f>
        <v/>
      </c>
    </row>
    <row r="341">
      <c r="A341" s="71">
        <f>A339+1</f>
        <v/>
      </c>
      <c r="B341" s="51" t="n"/>
      <c r="C341" s="52" t="n"/>
      <c r="D341" s="53" t="n"/>
      <c r="E341" s="66" t="n"/>
      <c r="F341" s="67" t="n"/>
      <c r="G341" s="58" t="n"/>
      <c r="H341" s="56" t="n"/>
      <c r="I341" s="57">
        <f>IFERROR(H341*VLOOKUP(F341,[1]инфо!$A$15:$C$28,3,FALSE)/1000,0)</f>
        <v/>
      </c>
      <c r="J341" s="55" t="n"/>
      <c r="K341" s="55" t="n"/>
      <c r="L341" s="55" t="n"/>
      <c r="M341" s="55" t="n"/>
      <c r="N341" s="55" t="n"/>
      <c r="O341" s="58" t="n"/>
      <c r="P341" s="58" t="n"/>
      <c r="Q341" s="58" t="n"/>
      <c r="R341" s="58" t="n"/>
      <c r="S341" s="59">
        <f>SUM(O341:R341)</f>
        <v/>
      </c>
      <c r="T341" s="52" t="n"/>
      <c r="U341" s="53" t="n"/>
      <c r="V341" s="58" t="n"/>
      <c r="W341" s="68" t="n"/>
      <c r="X341" s="58" t="n"/>
      <c r="Y341" s="52" t="n"/>
      <c r="Z341" s="58" t="n"/>
      <c r="AA341" s="58" t="n"/>
      <c r="AB341" s="58" t="n"/>
      <c r="AC341" s="69" t="n"/>
      <c r="AD341" s="53" t="n"/>
      <c r="AE341" s="61">
        <f>SUMIFS([1]инфо!$D$15:$D$28,[1]инфо!$A$15:$A$28,F341)</f>
        <v/>
      </c>
      <c r="AF341" s="62">
        <f>IF(H341=0,0,N341/H341)</f>
        <v/>
      </c>
      <c r="AG341" s="63">
        <f>AF341-AE341</f>
        <v/>
      </c>
      <c r="AH341" s="61">
        <f>SUMIFS([1]инфо!$E$15:$E$28,[1]инфо!$A$15:$A$28,F341)</f>
        <v/>
      </c>
      <c r="AI341" s="64">
        <f>IF(H341=0,0,S341/H341)</f>
        <v/>
      </c>
      <c r="AJ341" s="63">
        <f>AI341-AH341</f>
        <v/>
      </c>
      <c r="AK341" s="61">
        <f>SUMIFS([1]инфо!$F$15:$F$28,[1]инфо!$A$15:$A$28,F341)</f>
        <v/>
      </c>
      <c r="AL341" s="64">
        <f>IF(H341=0,0,Y341/H341)</f>
        <v/>
      </c>
      <c r="AM341" s="63">
        <f>AL341-AK341</f>
        <v/>
      </c>
      <c r="AN341" s="61">
        <f>SUMIFS([1]инфо!$G$15:$G$28,[1]инфо!$A$15:$A$28,F341)</f>
        <v/>
      </c>
      <c r="AO341" s="64">
        <f>IF(H341=0,0,AA341/H341)</f>
        <v/>
      </c>
      <c r="AP341" s="63">
        <f>AO341-AN341</f>
        <v/>
      </c>
      <c r="AQ341" s="61">
        <f>SUMIFS([1]инфо!$H$15:$H$28,[1]инфо!$A$15:$A$28,F341)</f>
        <v/>
      </c>
      <c r="AR341" s="62">
        <f>IF(H340=0,0,AC341/H340)</f>
        <v/>
      </c>
      <c r="AS341" s="63">
        <f>AR341-AQ341</f>
        <v/>
      </c>
      <c r="AT341" s="61">
        <f>SUMIFS([1]инфо!$I$15:$I$28,[1]инфо!$A$15:$A$28,F341)</f>
        <v/>
      </c>
      <c r="AU341" s="62">
        <f>IF(H341=0,0,AD341/H341)</f>
        <v/>
      </c>
      <c r="AV341" s="63">
        <f>AU341-AT341</f>
        <v/>
      </c>
      <c r="AX341" s="59">
        <f>SUMIFS([1]инфо!$C$15:$C$28,[1]инфо!$A$15:$A$28,F341)*H340</f>
        <v/>
      </c>
    </row>
    <row r="342">
      <c r="A342" s="71">
        <f>A340+1</f>
        <v/>
      </c>
      <c r="B342" s="51" t="n"/>
      <c r="C342" s="77" t="n"/>
      <c r="D342" s="78" t="n"/>
      <c r="E342" s="66" t="n"/>
      <c r="F342" s="67" t="n"/>
      <c r="G342" s="79" t="n"/>
      <c r="H342" s="67" t="n"/>
      <c r="I342" s="57">
        <f>IFERROR(H342*VLOOKUP(F342,[1]инфо!$A$15:$C$28,3,FALSE)/1000,0)</f>
        <v/>
      </c>
      <c r="J342" s="55" t="n"/>
      <c r="K342" s="55" t="n"/>
      <c r="L342" s="55" t="n"/>
      <c r="M342" s="55" t="n"/>
      <c r="N342" s="56" t="n"/>
      <c r="O342" s="79" t="n"/>
      <c r="P342" s="79" t="n"/>
      <c r="Q342" s="79" t="n"/>
      <c r="R342" s="79" t="n"/>
      <c r="S342" s="80">
        <f>SUM(O342:R342)</f>
        <v/>
      </c>
      <c r="T342" s="77" t="n"/>
      <c r="U342" s="78" t="n"/>
      <c r="V342" s="79" t="n"/>
      <c r="W342" s="68" t="n"/>
      <c r="X342" s="79" t="n"/>
      <c r="Y342" s="77" t="n"/>
      <c r="Z342" s="79" t="n"/>
      <c r="AA342" s="79" t="n"/>
      <c r="AB342" s="79" t="n"/>
      <c r="AC342" s="69" t="n"/>
      <c r="AD342" s="78" t="n"/>
      <c r="AE342" s="81">
        <f>SUMIFS([1]инфо!$D$15:$D$28,[1]инфо!$A$15:$A$28,F342)</f>
        <v/>
      </c>
      <c r="AF342" s="62">
        <f>IF(H342=0,0,N342/H342)</f>
        <v/>
      </c>
      <c r="AG342" s="82">
        <f>AF342-AE342</f>
        <v/>
      </c>
      <c r="AH342" s="81">
        <f>SUMIFS([1]инфо!$E$15:$E$28,[1]инфо!$A$15:$A$28,F342)</f>
        <v/>
      </c>
      <c r="AI342" s="64">
        <f>IF(H342=0,0,S342/H342)</f>
        <v/>
      </c>
      <c r="AJ342" s="82">
        <f>AI342-AH342</f>
        <v/>
      </c>
      <c r="AK342" s="81">
        <f>SUMIFS([1]инфо!$F$15:$F$28,[1]инфо!$A$15:$A$28,F342)</f>
        <v/>
      </c>
      <c r="AL342" s="64">
        <f>IF(H342=0,0,Y342/H342)</f>
        <v/>
      </c>
      <c r="AM342" s="82">
        <f>AL342-AK342</f>
        <v/>
      </c>
      <c r="AN342" s="81">
        <f>SUMIFS([1]инфо!$G$15:$G$28,[1]инфо!$A$15:$A$28,F342)</f>
        <v/>
      </c>
      <c r="AO342" s="64">
        <f>IF(H342=0,0,AA342/H342)</f>
        <v/>
      </c>
      <c r="AP342" s="82">
        <f>AO342-AN342</f>
        <v/>
      </c>
      <c r="AQ342" s="81">
        <f>SUMIFS([1]инфо!$H$15:$H$28,[1]инфо!$A$15:$A$28,F342)</f>
        <v/>
      </c>
      <c r="AR342" s="85">
        <f>IF(H341=0,0,AC342/H341)</f>
        <v/>
      </c>
      <c r="AS342" s="82">
        <f>AR342-AQ342</f>
        <v/>
      </c>
      <c r="AT342" s="81">
        <f>SUMIFS([1]инфо!$I$15:$I$28,[1]инфо!$A$15:$A$28,F342)</f>
        <v/>
      </c>
      <c r="AU342" s="62">
        <f>IF(H342=0,0,AD342/H342)</f>
        <v/>
      </c>
      <c r="AV342" s="82">
        <f>AU342-AT342</f>
        <v/>
      </c>
      <c r="AX342" s="80">
        <f>SUMIFS([1]инфо!$C$15:$C$28,[1]инфо!$A$15:$A$28,F342)*H341</f>
        <v/>
      </c>
    </row>
    <row r="343">
      <c r="A343" s="71">
        <f>A341+1</f>
        <v/>
      </c>
      <c r="B343" s="51" t="n"/>
      <c r="C343" s="72" t="n"/>
      <c r="D343" s="73" t="n"/>
      <c r="E343" s="66" t="n"/>
      <c r="F343" s="67" t="n"/>
      <c r="G343" s="74" t="n"/>
      <c r="H343" s="55" t="n"/>
      <c r="I343" s="57">
        <f>IFERROR(H343*VLOOKUP(F343,[1]инфо!$A$15:$C$28,3,FALSE)/1000,0)</f>
        <v/>
      </c>
      <c r="J343" s="55" t="n"/>
      <c r="K343" s="55" t="n"/>
      <c r="L343" s="55" t="n"/>
      <c r="M343" s="55" t="n"/>
      <c r="N343" s="67" t="n"/>
      <c r="O343" s="74" t="n"/>
      <c r="P343" s="74" t="n"/>
      <c r="Q343" s="74" t="n"/>
      <c r="R343" s="74" t="n"/>
      <c r="S343" s="70">
        <f>SUM(O343:R343)</f>
        <v/>
      </c>
      <c r="T343" s="72" t="n"/>
      <c r="U343" s="73" t="n"/>
      <c r="V343" s="74" t="n"/>
      <c r="W343" s="68" t="n"/>
      <c r="X343" s="74" t="n"/>
      <c r="Y343" s="72" t="n"/>
      <c r="Z343" s="74" t="n"/>
      <c r="AA343" s="74" t="n"/>
      <c r="AB343" s="74" t="n"/>
      <c r="AC343" s="69" t="n"/>
      <c r="AD343" s="73" t="n"/>
      <c r="AE343" s="75">
        <f>SUMIFS([1]инфо!$D$15:$D$28,[1]инфо!$A$15:$A$28,F343)</f>
        <v/>
      </c>
      <c r="AF343" s="62">
        <f>IF(H343=0,0,N343/H343)</f>
        <v/>
      </c>
      <c r="AG343" s="76">
        <f>AF343-AE343</f>
        <v/>
      </c>
      <c r="AH343" s="75">
        <f>SUMIFS([1]инфо!$E$15:$E$28,[1]инфо!$A$15:$A$28,F343)</f>
        <v/>
      </c>
      <c r="AI343" s="64">
        <f>IF(H343=0,0,S343/H343)</f>
        <v/>
      </c>
      <c r="AJ343" s="76">
        <f>AI343-AH343</f>
        <v/>
      </c>
      <c r="AK343" s="75">
        <f>SUMIFS([1]инфо!$F$15:$F$28,[1]инфо!$A$15:$A$28,F343)</f>
        <v/>
      </c>
      <c r="AL343" s="64">
        <f>IF(H343=0,0,Y343/H343)</f>
        <v/>
      </c>
      <c r="AM343" s="76">
        <f>AL343-AK343</f>
        <v/>
      </c>
      <c r="AN343" s="75">
        <f>SUMIFS([1]инфо!$G$15:$G$28,[1]инфо!$A$15:$A$28,F343)</f>
        <v/>
      </c>
      <c r="AO343" s="64">
        <f>IF(H343=0,0,AA343/H343)</f>
        <v/>
      </c>
      <c r="AP343" s="76">
        <f>AO343-AN343</f>
        <v/>
      </c>
      <c r="AQ343" s="75">
        <f>SUMIFS([1]инфо!$H$15:$H$28,[1]инфо!$A$15:$A$28,F343)</f>
        <v/>
      </c>
      <c r="AR343" s="64">
        <f>IF(H342=0,0,AC343/H342)</f>
        <v/>
      </c>
      <c r="AS343" s="76">
        <f>AR343-AQ343</f>
        <v/>
      </c>
      <c r="AT343" s="75">
        <f>SUMIFS([1]инфо!$I$15:$I$28,[1]инфо!$A$15:$A$28,F343)</f>
        <v/>
      </c>
      <c r="AU343" s="62">
        <f>IF(H343=0,0,AD343/H343)</f>
        <v/>
      </c>
      <c r="AV343" s="76">
        <f>AU343-AT343</f>
        <v/>
      </c>
      <c r="AX343" s="70">
        <f>SUMIFS([1]инфо!$C$15:$C$28,[1]инфо!$A$15:$A$28,F343)*H342</f>
        <v/>
      </c>
    </row>
    <row r="344">
      <c r="A344" s="71">
        <f>A342+1</f>
        <v/>
      </c>
      <c r="B344" s="51" t="n"/>
      <c r="C344" s="52" t="n"/>
      <c r="D344" s="53" t="n"/>
      <c r="E344" s="66" t="n"/>
      <c r="F344" s="67" t="n"/>
      <c r="G344" s="58" t="n"/>
      <c r="H344" s="55" t="n"/>
      <c r="I344" s="57">
        <f>IFERROR(H344*VLOOKUP(F344,[1]инфо!$A$15:$C$28,3,FALSE)/1000,0)</f>
        <v/>
      </c>
      <c r="J344" s="55" t="n"/>
      <c r="K344" s="55" t="n"/>
      <c r="L344" s="55" t="n"/>
      <c r="M344" s="55" t="n"/>
      <c r="N344" s="55" t="n"/>
      <c r="O344" s="58" t="n"/>
      <c r="P344" s="58" t="n"/>
      <c r="Q344" s="58" t="n"/>
      <c r="R344" s="58" t="n"/>
      <c r="S344" s="59">
        <f>SUM(O344:R344)</f>
        <v/>
      </c>
      <c r="T344" s="52" t="n"/>
      <c r="U344" s="53" t="n"/>
      <c r="V344" s="58" t="n"/>
      <c r="W344" s="68" t="n"/>
      <c r="X344" s="58" t="n"/>
      <c r="Y344" s="52" t="n"/>
      <c r="Z344" s="58" t="n"/>
      <c r="AA344" s="58" t="n"/>
      <c r="AB344" s="58" t="n"/>
      <c r="AC344" s="69" t="n"/>
      <c r="AD344" s="53" t="n"/>
      <c r="AE344" s="61">
        <f>SUMIFS([1]инфо!$D$15:$D$28,[1]инфо!$A$15:$A$28,F344)</f>
        <v/>
      </c>
      <c r="AF344" s="62">
        <f>IF(H344=0,0,N344/H344)</f>
        <v/>
      </c>
      <c r="AG344" s="63">
        <f>AF344-AE344</f>
        <v/>
      </c>
      <c r="AH344" s="61">
        <f>SUMIFS([1]инфо!$E$15:$E$28,[1]инфо!$A$15:$A$28,F344)</f>
        <v/>
      </c>
      <c r="AI344" s="64">
        <f>IF(H344=0,0,S344/H344)</f>
        <v/>
      </c>
      <c r="AJ344" s="63">
        <f>AI344-AH344</f>
        <v/>
      </c>
      <c r="AK344" s="61">
        <f>SUMIFS([1]инфо!$F$15:$F$28,[1]инфо!$A$15:$A$28,F344)</f>
        <v/>
      </c>
      <c r="AL344" s="64">
        <f>IF(H344=0,0,Y344/H344)</f>
        <v/>
      </c>
      <c r="AM344" s="63">
        <f>AL344-AK344</f>
        <v/>
      </c>
      <c r="AN344" s="61">
        <f>SUMIFS([1]инфо!$G$15:$G$28,[1]инфо!$A$15:$A$28,F344)</f>
        <v/>
      </c>
      <c r="AO344" s="64">
        <f>IF(H344=0,0,AA344/H344)</f>
        <v/>
      </c>
      <c r="AP344" s="63">
        <f>AO344-AN344</f>
        <v/>
      </c>
      <c r="AQ344" s="61">
        <f>SUMIFS([1]инфо!$H$15:$H$28,[1]инфо!$A$15:$A$28,F344)</f>
        <v/>
      </c>
      <c r="AR344" s="62">
        <f>IF(H343=0,0,AC344/H343)</f>
        <v/>
      </c>
      <c r="AS344" s="63">
        <f>AR344-AQ344</f>
        <v/>
      </c>
      <c r="AT344" s="61">
        <f>SUMIFS([1]инфо!$I$15:$I$28,[1]инфо!$A$15:$A$28,F344)</f>
        <v/>
      </c>
      <c r="AU344" s="62">
        <f>IF(H344=0,0,AD344/H344)</f>
        <v/>
      </c>
      <c r="AV344" s="63">
        <f>AU344-AT344</f>
        <v/>
      </c>
      <c r="AX344" s="59">
        <f>SUMIFS([1]инфо!$C$15:$C$28,[1]инфо!$A$15:$A$28,F344)*H343</f>
        <v/>
      </c>
    </row>
    <row r="345">
      <c r="A345" s="71">
        <f>A343+1</f>
        <v/>
      </c>
      <c r="B345" s="51" t="n"/>
      <c r="C345" s="52" t="n"/>
      <c r="D345" s="53" t="n"/>
      <c r="E345" s="66" t="n"/>
      <c r="F345" s="67" t="n"/>
      <c r="G345" s="58" t="n"/>
      <c r="H345" s="56" t="n"/>
      <c r="I345" s="57">
        <f>IFERROR(H345*VLOOKUP(F345,[1]инфо!$A$15:$C$28,3,FALSE)/1000,0)</f>
        <v/>
      </c>
      <c r="J345" s="55" t="n"/>
      <c r="K345" s="55" t="n"/>
      <c r="L345" s="55" t="n"/>
      <c r="M345" s="55" t="n"/>
      <c r="N345" s="55" t="n"/>
      <c r="O345" s="58" t="n"/>
      <c r="P345" s="58" t="n"/>
      <c r="Q345" s="58" t="n"/>
      <c r="R345" s="58" t="n"/>
      <c r="S345" s="59">
        <f>SUM(O345:R345)</f>
        <v/>
      </c>
      <c r="T345" s="52" t="n"/>
      <c r="U345" s="53" t="n"/>
      <c r="V345" s="58" t="n"/>
      <c r="W345" s="68" t="n"/>
      <c r="X345" s="58" t="n"/>
      <c r="Y345" s="52" t="n"/>
      <c r="Z345" s="58" t="n"/>
      <c r="AA345" s="58" t="n"/>
      <c r="AB345" s="58" t="n"/>
      <c r="AC345" s="69" t="n"/>
      <c r="AD345" s="53" t="n"/>
      <c r="AE345" s="61">
        <f>SUMIFS([1]инфо!$D$15:$D$28,[1]инфо!$A$15:$A$28,F345)</f>
        <v/>
      </c>
      <c r="AF345" s="62">
        <f>IF(H345=0,0,N345/H345)</f>
        <v/>
      </c>
      <c r="AG345" s="63">
        <f>AF345-AE345</f>
        <v/>
      </c>
      <c r="AH345" s="61">
        <f>SUMIFS([1]инфо!$E$15:$E$28,[1]инфо!$A$15:$A$28,F345)</f>
        <v/>
      </c>
      <c r="AI345" s="64">
        <f>IF(H345=0,0,S345/H345)</f>
        <v/>
      </c>
      <c r="AJ345" s="63">
        <f>AI345-AH345</f>
        <v/>
      </c>
      <c r="AK345" s="61">
        <f>SUMIFS([1]инфо!$F$15:$F$28,[1]инфо!$A$15:$A$28,F345)</f>
        <v/>
      </c>
      <c r="AL345" s="64">
        <f>IF(H345=0,0,Y345/H345)</f>
        <v/>
      </c>
      <c r="AM345" s="63">
        <f>AL345-AK345</f>
        <v/>
      </c>
      <c r="AN345" s="61">
        <f>SUMIFS([1]инфо!$G$15:$G$28,[1]инфо!$A$15:$A$28,F345)</f>
        <v/>
      </c>
      <c r="AO345" s="64">
        <f>IF(H345=0,0,AA345/H345)</f>
        <v/>
      </c>
      <c r="AP345" s="63">
        <f>AO345-AN345</f>
        <v/>
      </c>
      <c r="AQ345" s="61">
        <f>SUMIFS([1]инфо!$H$15:$H$28,[1]инфо!$A$15:$A$28,F345)</f>
        <v/>
      </c>
      <c r="AR345" s="62">
        <f>IF(H344=0,0,AC345/H344)</f>
        <v/>
      </c>
      <c r="AS345" s="63">
        <f>AR345-AQ345</f>
        <v/>
      </c>
      <c r="AT345" s="61">
        <f>SUMIFS([1]инфо!$I$15:$I$28,[1]инфо!$A$15:$A$28,F345)</f>
        <v/>
      </c>
      <c r="AU345" s="62">
        <f>IF(H345=0,0,AD345/H345)</f>
        <v/>
      </c>
      <c r="AV345" s="63">
        <f>AU345-AT345</f>
        <v/>
      </c>
      <c r="AX345" s="59">
        <f>SUMIFS([1]инфо!$C$15:$C$28,[1]инфо!$A$15:$A$28,F345)*H344</f>
        <v/>
      </c>
    </row>
    <row r="346">
      <c r="A346" s="71">
        <f>A344+1</f>
        <v/>
      </c>
      <c r="B346" s="51" t="n"/>
      <c r="C346" s="77" t="n"/>
      <c r="D346" s="78" t="n"/>
      <c r="E346" s="66" t="n"/>
      <c r="F346" s="67" t="n"/>
      <c r="G346" s="79" t="n"/>
      <c r="H346" s="67" t="n"/>
      <c r="I346" s="57">
        <f>IFERROR(H346*VLOOKUP(F346,[1]инфо!$A$15:$C$28,3,FALSE)/1000,0)</f>
        <v/>
      </c>
      <c r="J346" s="55" t="n"/>
      <c r="K346" s="55" t="n"/>
      <c r="L346" s="55" t="n"/>
      <c r="M346" s="55" t="n"/>
      <c r="N346" s="56" t="n"/>
      <c r="O346" s="79" t="n"/>
      <c r="P346" s="79" t="n"/>
      <c r="Q346" s="79" t="n"/>
      <c r="R346" s="79" t="n"/>
      <c r="S346" s="80">
        <f>SUM(O346:R346)</f>
        <v/>
      </c>
      <c r="T346" s="77" t="n"/>
      <c r="U346" s="78" t="n"/>
      <c r="V346" s="79" t="n"/>
      <c r="W346" s="68" t="n"/>
      <c r="X346" s="79" t="n"/>
      <c r="Y346" s="77" t="n"/>
      <c r="Z346" s="79" t="n"/>
      <c r="AA346" s="79" t="n"/>
      <c r="AB346" s="79" t="n"/>
      <c r="AC346" s="69" t="n"/>
      <c r="AD346" s="78" t="n"/>
      <c r="AE346" s="81">
        <f>SUMIFS([1]инфо!$D$15:$D$28,[1]инфо!$A$15:$A$28,F346)</f>
        <v/>
      </c>
      <c r="AF346" s="62">
        <f>IF(H346=0,0,N346/H346)</f>
        <v/>
      </c>
      <c r="AG346" s="82">
        <f>AF346-AE346</f>
        <v/>
      </c>
      <c r="AH346" s="81">
        <f>SUMIFS([1]инфо!$E$15:$E$28,[1]инфо!$A$15:$A$28,F346)</f>
        <v/>
      </c>
      <c r="AI346" s="64">
        <f>IF(H346=0,0,S346/H346)</f>
        <v/>
      </c>
      <c r="AJ346" s="82">
        <f>AI346-AH346</f>
        <v/>
      </c>
      <c r="AK346" s="81">
        <f>SUMIFS([1]инфо!$F$15:$F$28,[1]инфо!$A$15:$A$28,F346)</f>
        <v/>
      </c>
      <c r="AL346" s="64">
        <f>IF(H346=0,0,Y346/H346)</f>
        <v/>
      </c>
      <c r="AM346" s="82">
        <f>AL346-AK346</f>
        <v/>
      </c>
      <c r="AN346" s="81">
        <f>SUMIFS([1]инфо!$G$15:$G$28,[1]инфо!$A$15:$A$28,F346)</f>
        <v/>
      </c>
      <c r="AO346" s="64">
        <f>IF(H346=0,0,AA346/H346)</f>
        <v/>
      </c>
      <c r="AP346" s="82">
        <f>AO346-AN346</f>
        <v/>
      </c>
      <c r="AQ346" s="81">
        <f>SUMIFS([1]инфо!$H$15:$H$28,[1]инфо!$A$15:$A$28,F346)</f>
        <v/>
      </c>
      <c r="AR346" s="85">
        <f>IF(H345=0,0,AC346/H345)</f>
        <v/>
      </c>
      <c r="AS346" s="82">
        <f>AR346-AQ346</f>
        <v/>
      </c>
      <c r="AT346" s="81">
        <f>SUMIFS([1]инфо!$I$15:$I$28,[1]инфо!$A$15:$A$28,F346)</f>
        <v/>
      </c>
      <c r="AU346" s="62">
        <f>IF(H346=0,0,AD346/H346)</f>
        <v/>
      </c>
      <c r="AV346" s="82">
        <f>AU346-AT346</f>
        <v/>
      </c>
      <c r="AX346" s="80">
        <f>SUMIFS([1]инфо!$C$15:$C$28,[1]инфо!$A$15:$A$28,F346)*H345</f>
        <v/>
      </c>
    </row>
    <row r="347">
      <c r="A347" s="71">
        <f>A345+1</f>
        <v/>
      </c>
      <c r="B347" s="51" t="n"/>
      <c r="C347" s="72" t="n"/>
      <c r="D347" s="73" t="n"/>
      <c r="E347" s="66" t="n"/>
      <c r="F347" s="67" t="n"/>
      <c r="G347" s="74" t="n"/>
      <c r="H347" s="55" t="n"/>
      <c r="I347" s="57">
        <f>IFERROR(H347*VLOOKUP(F347,[1]инфо!$A$15:$C$28,3,FALSE)/1000,0)</f>
        <v/>
      </c>
      <c r="J347" s="55" t="n"/>
      <c r="K347" s="55" t="n"/>
      <c r="L347" s="55" t="n"/>
      <c r="M347" s="55" t="n"/>
      <c r="N347" s="67" t="n"/>
      <c r="O347" s="74" t="n"/>
      <c r="P347" s="74" t="n"/>
      <c r="Q347" s="74" t="n"/>
      <c r="R347" s="74" t="n"/>
      <c r="S347" s="70">
        <f>SUM(O347:R347)</f>
        <v/>
      </c>
      <c r="T347" s="72" t="n"/>
      <c r="U347" s="73" t="n"/>
      <c r="V347" s="74" t="n"/>
      <c r="W347" s="68" t="n"/>
      <c r="X347" s="74" t="n"/>
      <c r="Y347" s="72" t="n"/>
      <c r="Z347" s="74" t="n"/>
      <c r="AA347" s="74" t="n"/>
      <c r="AB347" s="74" t="n"/>
      <c r="AC347" s="69" t="n"/>
      <c r="AD347" s="73" t="n"/>
      <c r="AE347" s="75">
        <f>SUMIFS([1]инфо!$D$15:$D$28,[1]инфо!$A$15:$A$28,F347)</f>
        <v/>
      </c>
      <c r="AF347" s="62">
        <f>IF(H347=0,0,N347/H347)</f>
        <v/>
      </c>
      <c r="AG347" s="76">
        <f>AF347-AE347</f>
        <v/>
      </c>
      <c r="AH347" s="75">
        <f>SUMIFS([1]инфо!$E$15:$E$28,[1]инфо!$A$15:$A$28,F347)</f>
        <v/>
      </c>
      <c r="AI347" s="64">
        <f>IF(H347=0,0,S347/H347)</f>
        <v/>
      </c>
      <c r="AJ347" s="76">
        <f>AI347-AH347</f>
        <v/>
      </c>
      <c r="AK347" s="75">
        <f>SUMIFS([1]инфо!$F$15:$F$28,[1]инфо!$A$15:$A$28,F347)</f>
        <v/>
      </c>
      <c r="AL347" s="64">
        <f>IF(H347=0,0,Y347/H347)</f>
        <v/>
      </c>
      <c r="AM347" s="76">
        <f>AL347-AK347</f>
        <v/>
      </c>
      <c r="AN347" s="75">
        <f>SUMIFS([1]инфо!$G$15:$G$28,[1]инфо!$A$15:$A$28,F347)</f>
        <v/>
      </c>
      <c r="AO347" s="64">
        <f>IF(H347=0,0,AA347/H347)</f>
        <v/>
      </c>
      <c r="AP347" s="76">
        <f>AO347-AN347</f>
        <v/>
      </c>
      <c r="AQ347" s="75">
        <f>SUMIFS([1]инфо!$H$15:$H$28,[1]инфо!$A$15:$A$28,F347)</f>
        <v/>
      </c>
      <c r="AR347" s="64">
        <f>IF(H346=0,0,AC347/H346)</f>
        <v/>
      </c>
      <c r="AS347" s="76">
        <f>AR347-AQ347</f>
        <v/>
      </c>
      <c r="AT347" s="75">
        <f>SUMIFS([1]инфо!$I$15:$I$28,[1]инфо!$A$15:$A$28,F347)</f>
        <v/>
      </c>
      <c r="AU347" s="62">
        <f>IF(H347=0,0,AD347/H347)</f>
        <v/>
      </c>
      <c r="AV347" s="76">
        <f>AU347-AT347</f>
        <v/>
      </c>
      <c r="AX347" s="70">
        <f>SUMIFS([1]инфо!$C$15:$C$28,[1]инфо!$A$15:$A$28,F347)*H346</f>
        <v/>
      </c>
    </row>
    <row r="348">
      <c r="A348" s="71">
        <f>A346+1</f>
        <v/>
      </c>
      <c r="B348" s="51" t="n"/>
      <c r="C348" s="52" t="n"/>
      <c r="D348" s="53" t="n"/>
      <c r="E348" s="66" t="n"/>
      <c r="F348" s="67" t="n"/>
      <c r="G348" s="58" t="n"/>
      <c r="H348" s="55" t="n"/>
      <c r="I348" s="57">
        <f>IFERROR(H348*VLOOKUP(F348,[1]инфо!$A$15:$C$28,3,FALSE)/1000,0)</f>
        <v/>
      </c>
      <c r="J348" s="55" t="n"/>
      <c r="K348" s="55" t="n"/>
      <c r="L348" s="55" t="n"/>
      <c r="M348" s="55" t="n"/>
      <c r="N348" s="55" t="n"/>
      <c r="O348" s="58" t="n"/>
      <c r="P348" s="58" t="n"/>
      <c r="Q348" s="58" t="n"/>
      <c r="R348" s="58" t="n"/>
      <c r="S348" s="59">
        <f>SUM(O348:R348)</f>
        <v/>
      </c>
      <c r="T348" s="52" t="n"/>
      <c r="U348" s="53" t="n"/>
      <c r="V348" s="58" t="n"/>
      <c r="W348" s="68" t="n"/>
      <c r="X348" s="58" t="n"/>
      <c r="Y348" s="52" t="n"/>
      <c r="Z348" s="58" t="n"/>
      <c r="AA348" s="58" t="n"/>
      <c r="AB348" s="58" t="n"/>
      <c r="AC348" s="69" t="n"/>
      <c r="AD348" s="53" t="n"/>
      <c r="AE348" s="61">
        <f>SUMIFS([1]инфо!$D$15:$D$28,[1]инфо!$A$15:$A$28,F348)</f>
        <v/>
      </c>
      <c r="AF348" s="62">
        <f>IF(H348=0,0,N348/H348)</f>
        <v/>
      </c>
      <c r="AG348" s="63">
        <f>AF348-AE348</f>
        <v/>
      </c>
      <c r="AH348" s="61">
        <f>SUMIFS([1]инфо!$E$15:$E$28,[1]инфо!$A$15:$A$28,F348)</f>
        <v/>
      </c>
      <c r="AI348" s="64">
        <f>IF(H348=0,0,S348/H348)</f>
        <v/>
      </c>
      <c r="AJ348" s="63">
        <f>AI348-AH348</f>
        <v/>
      </c>
      <c r="AK348" s="61">
        <f>SUMIFS([1]инфо!$F$15:$F$28,[1]инфо!$A$15:$A$28,F348)</f>
        <v/>
      </c>
      <c r="AL348" s="64">
        <f>IF(H348=0,0,Y348/H348)</f>
        <v/>
      </c>
      <c r="AM348" s="63">
        <f>AL348-AK348</f>
        <v/>
      </c>
      <c r="AN348" s="61">
        <f>SUMIFS([1]инфо!$G$15:$G$28,[1]инфо!$A$15:$A$28,F348)</f>
        <v/>
      </c>
      <c r="AO348" s="64">
        <f>IF(H348=0,0,AA348/H348)</f>
        <v/>
      </c>
      <c r="AP348" s="63">
        <f>AO348-AN348</f>
        <v/>
      </c>
      <c r="AQ348" s="61">
        <f>SUMIFS([1]инфо!$H$15:$H$28,[1]инфо!$A$15:$A$28,F348)</f>
        <v/>
      </c>
      <c r="AR348" s="62">
        <f>IF(H347=0,0,AC348/H347)</f>
        <v/>
      </c>
      <c r="AS348" s="63">
        <f>AR348-AQ348</f>
        <v/>
      </c>
      <c r="AT348" s="61">
        <f>SUMIFS([1]инфо!$I$15:$I$28,[1]инфо!$A$15:$A$28,F348)</f>
        <v/>
      </c>
      <c r="AU348" s="62">
        <f>IF(H348=0,0,AD348/H348)</f>
        <v/>
      </c>
      <c r="AV348" s="63">
        <f>AU348-AT348</f>
        <v/>
      </c>
      <c r="AX348" s="59">
        <f>SUMIFS([1]инфо!$C$15:$C$28,[1]инфо!$A$15:$A$28,F348)*H347</f>
        <v/>
      </c>
    </row>
    <row r="349">
      <c r="A349" s="71">
        <f>A347+1</f>
        <v/>
      </c>
      <c r="B349" s="51" t="n"/>
      <c r="C349" s="52" t="n"/>
      <c r="D349" s="53" t="n"/>
      <c r="E349" s="66" t="n"/>
      <c r="F349" s="67" t="n"/>
      <c r="G349" s="58" t="n"/>
      <c r="H349" s="56" t="n"/>
      <c r="I349" s="57">
        <f>IFERROR(H349*VLOOKUP(F349,[1]инфо!$A$15:$C$28,3,FALSE)/1000,0)</f>
        <v/>
      </c>
      <c r="J349" s="55" t="n"/>
      <c r="K349" s="55" t="n"/>
      <c r="L349" s="55" t="n"/>
      <c r="M349" s="55" t="n"/>
      <c r="N349" s="55" t="n"/>
      <c r="O349" s="58" t="n"/>
      <c r="P349" s="58" t="n"/>
      <c r="Q349" s="58" t="n"/>
      <c r="R349" s="58" t="n"/>
      <c r="S349" s="59">
        <f>SUM(O349:R349)</f>
        <v/>
      </c>
      <c r="T349" s="52" t="n"/>
      <c r="U349" s="53" t="n"/>
      <c r="V349" s="58" t="n"/>
      <c r="W349" s="68" t="n"/>
      <c r="X349" s="58" t="n"/>
      <c r="Y349" s="52" t="n"/>
      <c r="Z349" s="58" t="n"/>
      <c r="AA349" s="58" t="n"/>
      <c r="AB349" s="58" t="n"/>
      <c r="AC349" s="69" t="n"/>
      <c r="AD349" s="53" t="n"/>
      <c r="AE349" s="61">
        <f>SUMIFS([1]инфо!$D$15:$D$28,[1]инфо!$A$15:$A$28,F349)</f>
        <v/>
      </c>
      <c r="AF349" s="62">
        <f>IF(H349=0,0,N349/H349)</f>
        <v/>
      </c>
      <c r="AG349" s="63">
        <f>AF349-AE349</f>
        <v/>
      </c>
      <c r="AH349" s="61">
        <f>SUMIFS([1]инфо!$E$15:$E$28,[1]инфо!$A$15:$A$28,F349)</f>
        <v/>
      </c>
      <c r="AI349" s="64">
        <f>IF(H349=0,0,S349/H349)</f>
        <v/>
      </c>
      <c r="AJ349" s="63">
        <f>AI349-AH349</f>
        <v/>
      </c>
      <c r="AK349" s="61">
        <f>SUMIFS([1]инфо!$F$15:$F$28,[1]инфо!$A$15:$A$28,F349)</f>
        <v/>
      </c>
      <c r="AL349" s="64">
        <f>IF(H349=0,0,Y349/H349)</f>
        <v/>
      </c>
      <c r="AM349" s="63">
        <f>AL349-AK349</f>
        <v/>
      </c>
      <c r="AN349" s="61">
        <f>SUMIFS([1]инфо!$G$15:$G$28,[1]инфо!$A$15:$A$28,F349)</f>
        <v/>
      </c>
      <c r="AO349" s="64">
        <f>IF(H349=0,0,AA349/H349)</f>
        <v/>
      </c>
      <c r="AP349" s="63">
        <f>AO349-AN349</f>
        <v/>
      </c>
      <c r="AQ349" s="61">
        <f>SUMIFS([1]инфо!$H$15:$H$28,[1]инфо!$A$15:$A$28,F349)</f>
        <v/>
      </c>
      <c r="AR349" s="62">
        <f>IF(H348=0,0,AC349/H348)</f>
        <v/>
      </c>
      <c r="AS349" s="63">
        <f>AR349-AQ349</f>
        <v/>
      </c>
      <c r="AT349" s="61">
        <f>SUMIFS([1]инфо!$I$15:$I$28,[1]инфо!$A$15:$A$28,F349)</f>
        <v/>
      </c>
      <c r="AU349" s="62">
        <f>IF(H349=0,0,AD349/H349)</f>
        <v/>
      </c>
      <c r="AV349" s="63">
        <f>AU349-AT349</f>
        <v/>
      </c>
      <c r="AX349" s="59">
        <f>SUMIFS([1]инфо!$C$15:$C$28,[1]инфо!$A$15:$A$28,F349)*H348</f>
        <v/>
      </c>
    </row>
    <row r="350">
      <c r="A350" s="71">
        <f>A348+1</f>
        <v/>
      </c>
      <c r="B350" s="51" t="n"/>
      <c r="C350" s="77" t="n"/>
      <c r="D350" s="78" t="n"/>
      <c r="E350" s="66" t="n"/>
      <c r="F350" s="67" t="n"/>
      <c r="G350" s="79" t="n"/>
      <c r="H350" s="67" t="n"/>
      <c r="I350" s="57">
        <f>IFERROR(H350*VLOOKUP(F350,[1]инфо!$A$15:$C$28,3,FALSE)/1000,0)</f>
        <v/>
      </c>
      <c r="J350" s="55" t="n"/>
      <c r="K350" s="55" t="n"/>
      <c r="L350" s="55" t="n"/>
      <c r="M350" s="55" t="n"/>
      <c r="N350" s="56" t="n"/>
      <c r="O350" s="79" t="n"/>
      <c r="P350" s="79" t="n"/>
      <c r="Q350" s="79" t="n"/>
      <c r="R350" s="79" t="n"/>
      <c r="S350" s="80">
        <f>SUM(O350:R350)</f>
        <v/>
      </c>
      <c r="T350" s="77" t="n"/>
      <c r="U350" s="78" t="n"/>
      <c r="V350" s="79" t="n"/>
      <c r="W350" s="68" t="n"/>
      <c r="X350" s="79" t="n"/>
      <c r="Y350" s="77" t="n"/>
      <c r="Z350" s="79" t="n"/>
      <c r="AA350" s="79" t="n"/>
      <c r="AB350" s="79" t="n"/>
      <c r="AC350" s="69" t="n"/>
      <c r="AD350" s="78" t="n"/>
      <c r="AE350" s="81">
        <f>SUMIFS([1]инфо!$D$15:$D$28,[1]инфо!$A$15:$A$28,F350)</f>
        <v/>
      </c>
      <c r="AF350" s="62">
        <f>IF(H350=0,0,N350/H350)</f>
        <v/>
      </c>
      <c r="AG350" s="82">
        <f>AF350-AE350</f>
        <v/>
      </c>
      <c r="AH350" s="81">
        <f>SUMIFS([1]инфо!$E$15:$E$28,[1]инфо!$A$15:$A$28,F350)</f>
        <v/>
      </c>
      <c r="AI350" s="64">
        <f>IF(H350=0,0,S350/H350)</f>
        <v/>
      </c>
      <c r="AJ350" s="82">
        <f>AI350-AH350</f>
        <v/>
      </c>
      <c r="AK350" s="81">
        <f>SUMIFS([1]инфо!$F$15:$F$28,[1]инфо!$A$15:$A$28,F350)</f>
        <v/>
      </c>
      <c r="AL350" s="64">
        <f>IF(H350=0,0,Y350/H350)</f>
        <v/>
      </c>
      <c r="AM350" s="82">
        <f>AL350-AK350</f>
        <v/>
      </c>
      <c r="AN350" s="81">
        <f>SUMIFS([1]инфо!$G$15:$G$28,[1]инфо!$A$15:$A$28,F350)</f>
        <v/>
      </c>
      <c r="AO350" s="64">
        <f>IF(H350=0,0,AA350/H350)</f>
        <v/>
      </c>
      <c r="AP350" s="82">
        <f>AO350-AN350</f>
        <v/>
      </c>
      <c r="AQ350" s="81">
        <f>SUMIFS([1]инфо!$H$15:$H$28,[1]инфо!$A$15:$A$28,F350)</f>
        <v/>
      </c>
      <c r="AR350" s="85">
        <f>IF(H349=0,0,AC350/H349)</f>
        <v/>
      </c>
      <c r="AS350" s="82">
        <f>AR350-AQ350</f>
        <v/>
      </c>
      <c r="AT350" s="81">
        <f>SUMIFS([1]инфо!$I$15:$I$28,[1]инфо!$A$15:$A$28,F350)</f>
        <v/>
      </c>
      <c r="AU350" s="62">
        <f>IF(H350=0,0,AD350/H350)</f>
        <v/>
      </c>
      <c r="AV350" s="82">
        <f>AU350-AT350</f>
        <v/>
      </c>
      <c r="AX350" s="80">
        <f>SUMIFS([1]инфо!$C$15:$C$28,[1]инфо!$A$15:$A$28,F350)*H349</f>
        <v/>
      </c>
    </row>
    <row r="351">
      <c r="A351" s="71">
        <f>A349+1</f>
        <v/>
      </c>
      <c r="B351" s="51" t="n"/>
      <c r="C351" s="72" t="n"/>
      <c r="D351" s="73" t="n"/>
      <c r="E351" s="66" t="n"/>
      <c r="F351" s="67" t="n"/>
      <c r="G351" s="74" t="n"/>
      <c r="H351" s="55" t="n"/>
      <c r="I351" s="57">
        <f>IFERROR(H351*VLOOKUP(F351,[1]инфо!$A$15:$C$28,3,FALSE)/1000,0)</f>
        <v/>
      </c>
      <c r="J351" s="55" t="n"/>
      <c r="K351" s="55" t="n"/>
      <c r="L351" s="55" t="n"/>
      <c r="M351" s="55" t="n"/>
      <c r="N351" s="67" t="n"/>
      <c r="O351" s="74" t="n"/>
      <c r="P351" s="74" t="n"/>
      <c r="Q351" s="74" t="n"/>
      <c r="R351" s="74" t="n"/>
      <c r="S351" s="70">
        <f>SUM(O351:R351)</f>
        <v/>
      </c>
      <c r="T351" s="72" t="n"/>
      <c r="U351" s="73" t="n"/>
      <c r="V351" s="74" t="n"/>
      <c r="W351" s="68" t="n"/>
      <c r="X351" s="74" t="n"/>
      <c r="Y351" s="72" t="n"/>
      <c r="Z351" s="74" t="n"/>
      <c r="AA351" s="74" t="n"/>
      <c r="AB351" s="74" t="n"/>
      <c r="AC351" s="69" t="n"/>
      <c r="AD351" s="73" t="n"/>
      <c r="AE351" s="75">
        <f>SUMIFS([1]инфо!$D$15:$D$28,[1]инфо!$A$15:$A$28,F351)</f>
        <v/>
      </c>
      <c r="AF351" s="62">
        <f>IF(H351=0,0,N351/H351)</f>
        <v/>
      </c>
      <c r="AG351" s="76">
        <f>AF351-AE351</f>
        <v/>
      </c>
      <c r="AH351" s="75">
        <f>SUMIFS([1]инфо!$E$15:$E$28,[1]инфо!$A$15:$A$28,F351)</f>
        <v/>
      </c>
      <c r="AI351" s="64">
        <f>IF(H351=0,0,S351/H351)</f>
        <v/>
      </c>
      <c r="AJ351" s="76">
        <f>AI351-AH351</f>
        <v/>
      </c>
      <c r="AK351" s="75">
        <f>SUMIFS([1]инфо!$F$15:$F$28,[1]инфо!$A$15:$A$28,F351)</f>
        <v/>
      </c>
      <c r="AL351" s="64">
        <f>IF(H351=0,0,Y351/H351)</f>
        <v/>
      </c>
      <c r="AM351" s="76">
        <f>AL351-AK351</f>
        <v/>
      </c>
      <c r="AN351" s="75">
        <f>SUMIFS([1]инфо!$G$15:$G$28,[1]инфо!$A$15:$A$28,F351)</f>
        <v/>
      </c>
      <c r="AO351" s="64">
        <f>IF(H351=0,0,AA351/H351)</f>
        <v/>
      </c>
      <c r="AP351" s="76">
        <f>AO351-AN351</f>
        <v/>
      </c>
      <c r="AQ351" s="75">
        <f>SUMIFS([1]инфо!$H$15:$H$28,[1]инфо!$A$15:$A$28,F351)</f>
        <v/>
      </c>
      <c r="AR351" s="64">
        <f>IF(H350=0,0,AC351/H350)</f>
        <v/>
      </c>
      <c r="AS351" s="76">
        <f>AR351-AQ351</f>
        <v/>
      </c>
      <c r="AT351" s="75">
        <f>SUMIFS([1]инфо!$I$15:$I$28,[1]инфо!$A$15:$A$28,F351)</f>
        <v/>
      </c>
      <c r="AU351" s="62">
        <f>IF(H351=0,0,AD351/H351)</f>
        <v/>
      </c>
      <c r="AV351" s="76">
        <f>AU351-AT351</f>
        <v/>
      </c>
      <c r="AX351" s="70">
        <f>SUMIFS([1]инфо!$C$15:$C$28,[1]инфо!$A$15:$A$28,F351)*H350</f>
        <v/>
      </c>
    </row>
    <row r="352">
      <c r="A352" s="71">
        <f>A350+1</f>
        <v/>
      </c>
      <c r="B352" s="51" t="n"/>
      <c r="C352" s="52" t="n"/>
      <c r="D352" s="53" t="n"/>
      <c r="E352" s="66" t="n"/>
      <c r="F352" s="67" t="n"/>
      <c r="G352" s="58" t="n"/>
      <c r="H352" s="55" t="n"/>
      <c r="I352" s="57">
        <f>IFERROR(H352*VLOOKUP(F352,[1]инфо!$A$15:$C$28,3,FALSE)/1000,0)</f>
        <v/>
      </c>
      <c r="J352" s="55" t="n"/>
      <c r="K352" s="55" t="n"/>
      <c r="L352" s="55" t="n"/>
      <c r="M352" s="55" t="n"/>
      <c r="N352" s="55" t="n"/>
      <c r="O352" s="58" t="n"/>
      <c r="P352" s="58" t="n"/>
      <c r="Q352" s="58" t="n"/>
      <c r="R352" s="58" t="n"/>
      <c r="S352" s="59">
        <f>SUM(O352:R352)</f>
        <v/>
      </c>
      <c r="T352" s="52" t="n"/>
      <c r="U352" s="53" t="n"/>
      <c r="V352" s="58" t="n"/>
      <c r="W352" s="68" t="n"/>
      <c r="X352" s="58" t="n"/>
      <c r="Y352" s="52" t="n"/>
      <c r="Z352" s="58" t="n"/>
      <c r="AA352" s="58" t="n"/>
      <c r="AB352" s="58" t="n"/>
      <c r="AC352" s="69" t="n"/>
      <c r="AD352" s="53" t="n"/>
      <c r="AE352" s="61">
        <f>SUMIFS([1]инфо!$D$15:$D$28,[1]инфо!$A$15:$A$28,F352)</f>
        <v/>
      </c>
      <c r="AF352" s="62">
        <f>IF(H352=0,0,N352/H352)</f>
        <v/>
      </c>
      <c r="AG352" s="63">
        <f>AF352-AE352</f>
        <v/>
      </c>
      <c r="AH352" s="61">
        <f>SUMIFS([1]инфо!$E$15:$E$28,[1]инфо!$A$15:$A$28,F352)</f>
        <v/>
      </c>
      <c r="AI352" s="64">
        <f>IF(H352=0,0,S352/H352)</f>
        <v/>
      </c>
      <c r="AJ352" s="63">
        <f>AI352-AH352</f>
        <v/>
      </c>
      <c r="AK352" s="61">
        <f>SUMIFS([1]инфо!$F$15:$F$28,[1]инфо!$A$15:$A$28,F352)</f>
        <v/>
      </c>
      <c r="AL352" s="64">
        <f>IF(H352=0,0,Y352/H352)</f>
        <v/>
      </c>
      <c r="AM352" s="63">
        <f>AL352-AK352</f>
        <v/>
      </c>
      <c r="AN352" s="61">
        <f>SUMIFS([1]инфо!$G$15:$G$28,[1]инфо!$A$15:$A$28,F352)</f>
        <v/>
      </c>
      <c r="AO352" s="64">
        <f>IF(H352=0,0,AA352/H352)</f>
        <v/>
      </c>
      <c r="AP352" s="63">
        <f>AO352-AN352</f>
        <v/>
      </c>
      <c r="AQ352" s="61">
        <f>SUMIFS([1]инфо!$H$15:$H$28,[1]инфо!$A$15:$A$28,F352)</f>
        <v/>
      </c>
      <c r="AR352" s="62">
        <f>IF(H351=0,0,AC352/H351)</f>
        <v/>
      </c>
      <c r="AS352" s="63">
        <f>AR352-AQ352</f>
        <v/>
      </c>
      <c r="AT352" s="61">
        <f>SUMIFS([1]инфо!$I$15:$I$28,[1]инфо!$A$15:$A$28,F352)</f>
        <v/>
      </c>
      <c r="AU352" s="62">
        <f>IF(H352=0,0,AD352/H352)</f>
        <v/>
      </c>
      <c r="AV352" s="63">
        <f>AU352-AT352</f>
        <v/>
      </c>
      <c r="AX352" s="59">
        <f>SUMIFS([1]инфо!$C$15:$C$28,[1]инфо!$A$15:$A$28,F352)*H351</f>
        <v/>
      </c>
    </row>
    <row r="353">
      <c r="A353" s="71">
        <f>A351+1</f>
        <v/>
      </c>
      <c r="B353" s="51" t="n"/>
      <c r="C353" s="52" t="n"/>
      <c r="D353" s="53" t="n"/>
      <c r="E353" s="66" t="n"/>
      <c r="F353" s="67" t="n"/>
      <c r="G353" s="58" t="n"/>
      <c r="H353" s="56" t="n"/>
      <c r="I353" s="57">
        <f>IFERROR(H353*VLOOKUP(F353,[1]инфо!$A$15:$C$28,3,FALSE)/1000,0)</f>
        <v/>
      </c>
      <c r="J353" s="55" t="n"/>
      <c r="K353" s="55" t="n"/>
      <c r="L353" s="55" t="n"/>
      <c r="M353" s="55" t="n"/>
      <c r="N353" s="55" t="n"/>
      <c r="O353" s="58" t="n"/>
      <c r="P353" s="58" t="n"/>
      <c r="Q353" s="58" t="n"/>
      <c r="R353" s="58" t="n"/>
      <c r="S353" s="59">
        <f>SUM(O353:R353)</f>
        <v/>
      </c>
      <c r="T353" s="52" t="n"/>
      <c r="U353" s="53" t="n"/>
      <c r="V353" s="58" t="n"/>
      <c r="W353" s="68" t="n"/>
      <c r="X353" s="58" t="n"/>
      <c r="Y353" s="52" t="n"/>
      <c r="Z353" s="58" t="n"/>
      <c r="AA353" s="58" t="n"/>
      <c r="AB353" s="58" t="n"/>
      <c r="AC353" s="69" t="n"/>
      <c r="AD353" s="53" t="n"/>
      <c r="AE353" s="61">
        <f>SUMIFS([1]инфо!$D$15:$D$28,[1]инфо!$A$15:$A$28,F353)</f>
        <v/>
      </c>
      <c r="AF353" s="62">
        <f>IF(H353=0,0,N353/H353)</f>
        <v/>
      </c>
      <c r="AG353" s="63">
        <f>AF353-AE353</f>
        <v/>
      </c>
      <c r="AH353" s="61">
        <f>SUMIFS([1]инфо!$E$15:$E$28,[1]инфо!$A$15:$A$28,F353)</f>
        <v/>
      </c>
      <c r="AI353" s="64">
        <f>IF(H353=0,0,S353/H353)</f>
        <v/>
      </c>
      <c r="AJ353" s="63">
        <f>AI353-AH353</f>
        <v/>
      </c>
      <c r="AK353" s="61">
        <f>SUMIFS([1]инфо!$F$15:$F$28,[1]инфо!$A$15:$A$28,F353)</f>
        <v/>
      </c>
      <c r="AL353" s="64">
        <f>IF(H353=0,0,Y353/H353)</f>
        <v/>
      </c>
      <c r="AM353" s="63">
        <f>AL353-AK353</f>
        <v/>
      </c>
      <c r="AN353" s="61">
        <f>SUMIFS([1]инфо!$G$15:$G$28,[1]инфо!$A$15:$A$28,F353)</f>
        <v/>
      </c>
      <c r="AO353" s="64">
        <f>IF(H353=0,0,AA353/H353)</f>
        <v/>
      </c>
      <c r="AP353" s="63">
        <f>AO353-AN353</f>
        <v/>
      </c>
      <c r="AQ353" s="61">
        <f>SUMIFS([1]инфо!$H$15:$H$28,[1]инфо!$A$15:$A$28,F353)</f>
        <v/>
      </c>
      <c r="AR353" s="62">
        <f>IF(H352=0,0,AC353/H352)</f>
        <v/>
      </c>
      <c r="AS353" s="63">
        <f>AR353-AQ353</f>
        <v/>
      </c>
      <c r="AT353" s="61">
        <f>SUMIFS([1]инфо!$I$15:$I$28,[1]инфо!$A$15:$A$28,F353)</f>
        <v/>
      </c>
      <c r="AU353" s="62">
        <f>IF(H353=0,0,AD353/H353)</f>
        <v/>
      </c>
      <c r="AV353" s="63">
        <f>AU353-AT353</f>
        <v/>
      </c>
      <c r="AX353" s="59">
        <f>SUMIFS([1]инфо!$C$15:$C$28,[1]инфо!$A$15:$A$28,F353)*H352</f>
        <v/>
      </c>
    </row>
    <row r="354">
      <c r="A354" s="71">
        <f>A352+1</f>
        <v/>
      </c>
      <c r="B354" s="51" t="n"/>
      <c r="C354" s="77" t="n"/>
      <c r="D354" s="78" t="n"/>
      <c r="E354" s="66" t="n"/>
      <c r="F354" s="67" t="n"/>
      <c r="G354" s="79" t="n"/>
      <c r="H354" s="67" t="n"/>
      <c r="I354" s="57">
        <f>IFERROR(H354*VLOOKUP(F354,[1]инфо!$A$15:$C$28,3,FALSE)/1000,0)</f>
        <v/>
      </c>
      <c r="J354" s="55" t="n"/>
      <c r="K354" s="55" t="n"/>
      <c r="L354" s="55" t="n"/>
      <c r="M354" s="55" t="n"/>
      <c r="N354" s="56" t="n"/>
      <c r="O354" s="79" t="n"/>
      <c r="P354" s="79" t="n"/>
      <c r="Q354" s="79" t="n"/>
      <c r="R354" s="79" t="n"/>
      <c r="S354" s="80">
        <f>SUM(O354:R354)</f>
        <v/>
      </c>
      <c r="T354" s="77" t="n"/>
      <c r="U354" s="78" t="n"/>
      <c r="V354" s="79" t="n"/>
      <c r="W354" s="68" t="n"/>
      <c r="X354" s="79" t="n"/>
      <c r="Y354" s="77" t="n"/>
      <c r="Z354" s="79" t="n"/>
      <c r="AA354" s="79" t="n"/>
      <c r="AB354" s="79" t="n"/>
      <c r="AC354" s="69" t="n"/>
      <c r="AD354" s="78" t="n"/>
      <c r="AE354" s="81">
        <f>SUMIFS([1]инфо!$D$15:$D$28,[1]инфо!$A$15:$A$28,F354)</f>
        <v/>
      </c>
      <c r="AF354" s="62">
        <f>IF(H354=0,0,N354/H354)</f>
        <v/>
      </c>
      <c r="AG354" s="82">
        <f>AF354-AE354</f>
        <v/>
      </c>
      <c r="AH354" s="81">
        <f>SUMIFS([1]инфо!$E$15:$E$28,[1]инфо!$A$15:$A$28,F354)</f>
        <v/>
      </c>
      <c r="AI354" s="64">
        <f>IF(H354=0,0,S354/H354)</f>
        <v/>
      </c>
      <c r="AJ354" s="82">
        <f>AI354-AH354</f>
        <v/>
      </c>
      <c r="AK354" s="81">
        <f>SUMIFS([1]инфо!$F$15:$F$28,[1]инфо!$A$15:$A$28,F354)</f>
        <v/>
      </c>
      <c r="AL354" s="64">
        <f>IF(H354=0,0,Y354/H354)</f>
        <v/>
      </c>
      <c r="AM354" s="82">
        <f>AL354-AK354</f>
        <v/>
      </c>
      <c r="AN354" s="81">
        <f>SUMIFS([1]инфо!$G$15:$G$28,[1]инфо!$A$15:$A$28,F354)</f>
        <v/>
      </c>
      <c r="AO354" s="64">
        <f>IF(H354=0,0,AA354/H354)</f>
        <v/>
      </c>
      <c r="AP354" s="82">
        <f>AO354-AN354</f>
        <v/>
      </c>
      <c r="AQ354" s="81">
        <f>SUMIFS([1]инфо!$H$15:$H$28,[1]инфо!$A$15:$A$28,F354)</f>
        <v/>
      </c>
      <c r="AR354" s="85">
        <f>IF(H353=0,0,AC354/H353)</f>
        <v/>
      </c>
      <c r="AS354" s="82">
        <f>AR354-AQ354</f>
        <v/>
      </c>
      <c r="AT354" s="81">
        <f>SUMIFS([1]инфо!$I$15:$I$28,[1]инфо!$A$15:$A$28,F354)</f>
        <v/>
      </c>
      <c r="AU354" s="62">
        <f>IF(H354=0,0,AD354/H354)</f>
        <v/>
      </c>
      <c r="AV354" s="82">
        <f>AU354-AT354</f>
        <v/>
      </c>
      <c r="AX354" s="80">
        <f>SUMIFS([1]инфо!$C$15:$C$28,[1]инфо!$A$15:$A$28,F354)*H353</f>
        <v/>
      </c>
    </row>
    <row r="355">
      <c r="A355" s="71">
        <f>A353+1</f>
        <v/>
      </c>
      <c r="B355" s="51" t="n"/>
      <c r="C355" s="72" t="n"/>
      <c r="D355" s="73" t="n"/>
      <c r="E355" s="66" t="n"/>
      <c r="F355" s="67" t="n"/>
      <c r="G355" s="74" t="n"/>
      <c r="H355" s="55" t="n"/>
      <c r="I355" s="57">
        <f>IFERROR(H355*VLOOKUP(F355,[1]инфо!$A$15:$C$28,3,FALSE)/1000,0)</f>
        <v/>
      </c>
      <c r="J355" s="55" t="n"/>
      <c r="K355" s="55" t="n"/>
      <c r="L355" s="55" t="n"/>
      <c r="M355" s="55" t="n"/>
      <c r="N355" s="67" t="n"/>
      <c r="O355" s="74" t="n"/>
      <c r="P355" s="74" t="n"/>
      <c r="Q355" s="74" t="n"/>
      <c r="R355" s="74" t="n"/>
      <c r="S355" s="70">
        <f>SUM(O355:R355)</f>
        <v/>
      </c>
      <c r="T355" s="72" t="n"/>
      <c r="U355" s="73" t="n"/>
      <c r="V355" s="74" t="n"/>
      <c r="W355" s="68" t="n"/>
      <c r="X355" s="74" t="n"/>
      <c r="Y355" s="72" t="n"/>
      <c r="Z355" s="74" t="n"/>
      <c r="AA355" s="74" t="n"/>
      <c r="AB355" s="74" t="n"/>
      <c r="AC355" s="69" t="n"/>
      <c r="AD355" s="73" t="n"/>
      <c r="AE355" s="75">
        <f>SUMIFS([1]инфо!$D$15:$D$28,[1]инфо!$A$15:$A$28,F355)</f>
        <v/>
      </c>
      <c r="AF355" s="62">
        <f>IF(H355=0,0,N355/H355)</f>
        <v/>
      </c>
      <c r="AG355" s="76">
        <f>AF355-AE355</f>
        <v/>
      </c>
      <c r="AH355" s="75">
        <f>SUMIFS([1]инфо!$E$15:$E$28,[1]инфо!$A$15:$A$28,F355)</f>
        <v/>
      </c>
      <c r="AI355" s="64">
        <f>IF(H355=0,0,S355/H355)</f>
        <v/>
      </c>
      <c r="AJ355" s="76">
        <f>AI355-AH355</f>
        <v/>
      </c>
      <c r="AK355" s="75">
        <f>SUMIFS([1]инфо!$F$15:$F$28,[1]инфо!$A$15:$A$28,F355)</f>
        <v/>
      </c>
      <c r="AL355" s="64">
        <f>IF(H355=0,0,Y355/H355)</f>
        <v/>
      </c>
      <c r="AM355" s="76">
        <f>AL355-AK355</f>
        <v/>
      </c>
      <c r="AN355" s="75">
        <f>SUMIFS([1]инфо!$G$15:$G$28,[1]инфо!$A$15:$A$28,F355)</f>
        <v/>
      </c>
      <c r="AO355" s="64">
        <f>IF(H355=0,0,AA355/H355)</f>
        <v/>
      </c>
      <c r="AP355" s="76">
        <f>AO355-AN355</f>
        <v/>
      </c>
      <c r="AQ355" s="75">
        <f>SUMIFS([1]инфо!$H$15:$H$28,[1]инфо!$A$15:$A$28,F355)</f>
        <v/>
      </c>
      <c r="AR355" s="64">
        <f>IF(H354=0,0,AC355/H354)</f>
        <v/>
      </c>
      <c r="AS355" s="76">
        <f>AR355-AQ355</f>
        <v/>
      </c>
      <c r="AT355" s="75">
        <f>SUMIFS([1]инфо!$I$15:$I$28,[1]инфо!$A$15:$A$28,F355)</f>
        <v/>
      </c>
      <c r="AU355" s="62">
        <f>IF(H355=0,0,AD355/H355)</f>
        <v/>
      </c>
      <c r="AV355" s="76">
        <f>AU355-AT355</f>
        <v/>
      </c>
      <c r="AX355" s="70">
        <f>SUMIFS([1]инфо!$C$15:$C$28,[1]инфо!$A$15:$A$28,F355)*H354</f>
        <v/>
      </c>
    </row>
    <row r="356">
      <c r="A356" s="71">
        <f>A354+1</f>
        <v/>
      </c>
      <c r="B356" s="51" t="n"/>
      <c r="C356" s="52" t="n"/>
      <c r="D356" s="53" t="n"/>
      <c r="E356" s="66" t="n"/>
      <c r="F356" s="67" t="n"/>
      <c r="G356" s="58" t="n"/>
      <c r="H356" s="55" t="n"/>
      <c r="I356" s="57">
        <f>IFERROR(H356*VLOOKUP(F356,[1]инфо!$A$15:$C$28,3,FALSE)/1000,0)</f>
        <v/>
      </c>
      <c r="J356" s="55" t="n"/>
      <c r="K356" s="55" t="n"/>
      <c r="L356" s="55" t="n"/>
      <c r="M356" s="55" t="n"/>
      <c r="N356" s="55" t="n"/>
      <c r="O356" s="58" t="n"/>
      <c r="P356" s="58" t="n"/>
      <c r="Q356" s="58" t="n"/>
      <c r="R356" s="58" t="n"/>
      <c r="S356" s="59">
        <f>SUM(O356:R356)</f>
        <v/>
      </c>
      <c r="T356" s="52" t="n"/>
      <c r="U356" s="53" t="n"/>
      <c r="V356" s="58" t="n"/>
      <c r="W356" s="68" t="n"/>
      <c r="X356" s="58" t="n"/>
      <c r="Y356" s="52" t="n"/>
      <c r="Z356" s="58" t="n"/>
      <c r="AA356" s="58" t="n"/>
      <c r="AB356" s="58" t="n"/>
      <c r="AC356" s="69" t="n"/>
      <c r="AD356" s="53" t="n"/>
      <c r="AE356" s="61">
        <f>SUMIFS([1]инфо!$D$15:$D$28,[1]инфо!$A$15:$A$28,F356)</f>
        <v/>
      </c>
      <c r="AF356" s="62">
        <f>IF(H356=0,0,N356/H356)</f>
        <v/>
      </c>
      <c r="AG356" s="63">
        <f>AF356-AE356</f>
        <v/>
      </c>
      <c r="AH356" s="61">
        <f>SUMIFS([1]инфо!$E$15:$E$28,[1]инфо!$A$15:$A$28,F356)</f>
        <v/>
      </c>
      <c r="AI356" s="64">
        <f>IF(H356=0,0,S356/H356)</f>
        <v/>
      </c>
      <c r="AJ356" s="63">
        <f>AI356-AH356</f>
        <v/>
      </c>
      <c r="AK356" s="61">
        <f>SUMIFS([1]инфо!$F$15:$F$28,[1]инфо!$A$15:$A$28,F356)</f>
        <v/>
      </c>
      <c r="AL356" s="64">
        <f>IF(H356=0,0,Y356/H356)</f>
        <v/>
      </c>
      <c r="AM356" s="63">
        <f>AL356-AK356</f>
        <v/>
      </c>
      <c r="AN356" s="61">
        <f>SUMIFS([1]инфо!$G$15:$G$28,[1]инфо!$A$15:$A$28,F356)</f>
        <v/>
      </c>
      <c r="AO356" s="64">
        <f>IF(H356=0,0,AA356/H356)</f>
        <v/>
      </c>
      <c r="AP356" s="63">
        <f>AO356-AN356</f>
        <v/>
      </c>
      <c r="AQ356" s="61">
        <f>SUMIFS([1]инфо!$H$15:$H$28,[1]инфо!$A$15:$A$28,F356)</f>
        <v/>
      </c>
      <c r="AR356" s="62">
        <f>IF(H355=0,0,AC356/H355)</f>
        <v/>
      </c>
      <c r="AS356" s="63">
        <f>AR356-AQ356</f>
        <v/>
      </c>
      <c r="AT356" s="61">
        <f>SUMIFS([1]инфо!$I$15:$I$28,[1]инфо!$A$15:$A$28,F356)</f>
        <v/>
      </c>
      <c r="AU356" s="62">
        <f>IF(H356=0,0,AD356/H356)</f>
        <v/>
      </c>
      <c r="AV356" s="63">
        <f>AU356-AT356</f>
        <v/>
      </c>
      <c r="AX356" s="59">
        <f>SUMIFS([1]инфо!$C$15:$C$28,[1]инфо!$A$15:$A$28,F356)*H355</f>
        <v/>
      </c>
    </row>
    <row r="357">
      <c r="A357" s="71">
        <f>A355+1</f>
        <v/>
      </c>
      <c r="B357" s="51" t="n"/>
      <c r="C357" s="52" t="n"/>
      <c r="D357" s="53" t="n"/>
      <c r="E357" s="66" t="n"/>
      <c r="F357" s="67" t="n"/>
      <c r="G357" s="58" t="n"/>
      <c r="H357" s="56" t="n"/>
      <c r="I357" s="57">
        <f>IFERROR(H357*VLOOKUP(F357,[1]инфо!$A$15:$C$28,3,FALSE)/1000,0)</f>
        <v/>
      </c>
      <c r="J357" s="55" t="n"/>
      <c r="K357" s="55" t="n"/>
      <c r="L357" s="55" t="n"/>
      <c r="M357" s="55" t="n"/>
      <c r="N357" s="55" t="n"/>
      <c r="O357" s="58" t="n"/>
      <c r="P357" s="58" t="n"/>
      <c r="Q357" s="58" t="n"/>
      <c r="R357" s="58" t="n"/>
      <c r="S357" s="59">
        <f>SUM(O357:R357)</f>
        <v/>
      </c>
      <c r="T357" s="52" t="n"/>
      <c r="U357" s="53" t="n"/>
      <c r="V357" s="58" t="n"/>
      <c r="W357" s="68" t="n"/>
      <c r="X357" s="58" t="n"/>
      <c r="Y357" s="52" t="n"/>
      <c r="Z357" s="58" t="n"/>
      <c r="AA357" s="58" t="n"/>
      <c r="AB357" s="58" t="n"/>
      <c r="AC357" s="69" t="n"/>
      <c r="AD357" s="53" t="n"/>
      <c r="AE357" s="61">
        <f>SUMIFS([1]инфо!$D$15:$D$28,[1]инфо!$A$15:$A$28,F357)</f>
        <v/>
      </c>
      <c r="AF357" s="62">
        <f>IF(H357=0,0,N357/H357)</f>
        <v/>
      </c>
      <c r="AG357" s="63">
        <f>AF357-AE357</f>
        <v/>
      </c>
      <c r="AH357" s="61">
        <f>SUMIFS([1]инфо!$E$15:$E$28,[1]инфо!$A$15:$A$28,F357)</f>
        <v/>
      </c>
      <c r="AI357" s="64">
        <f>IF(H357=0,0,S357/H357)</f>
        <v/>
      </c>
      <c r="AJ357" s="63">
        <f>AI357-AH357</f>
        <v/>
      </c>
      <c r="AK357" s="61">
        <f>SUMIFS([1]инфо!$F$15:$F$28,[1]инфо!$A$15:$A$28,F357)</f>
        <v/>
      </c>
      <c r="AL357" s="64">
        <f>IF(H357=0,0,Y357/H357)</f>
        <v/>
      </c>
      <c r="AM357" s="63">
        <f>AL357-AK357</f>
        <v/>
      </c>
      <c r="AN357" s="61">
        <f>SUMIFS([1]инфо!$G$15:$G$28,[1]инфо!$A$15:$A$28,F357)</f>
        <v/>
      </c>
      <c r="AO357" s="64">
        <f>IF(H357=0,0,AA357/H357)</f>
        <v/>
      </c>
      <c r="AP357" s="63">
        <f>AO357-AN357</f>
        <v/>
      </c>
      <c r="AQ357" s="61">
        <f>SUMIFS([1]инфо!$H$15:$H$28,[1]инфо!$A$15:$A$28,F357)</f>
        <v/>
      </c>
      <c r="AR357" s="62">
        <f>IF(H356=0,0,AC357/H356)</f>
        <v/>
      </c>
      <c r="AS357" s="63">
        <f>AR357-AQ357</f>
        <v/>
      </c>
      <c r="AT357" s="61">
        <f>SUMIFS([1]инфо!$I$15:$I$28,[1]инфо!$A$15:$A$28,F357)</f>
        <v/>
      </c>
      <c r="AU357" s="62">
        <f>IF(H357=0,0,AD357/H357)</f>
        <v/>
      </c>
      <c r="AV357" s="63">
        <f>AU357-AT357</f>
        <v/>
      </c>
      <c r="AX357" s="59">
        <f>SUMIFS([1]инфо!$C$15:$C$28,[1]инфо!$A$15:$A$28,F357)*H356</f>
        <v/>
      </c>
    </row>
    <row r="358">
      <c r="A358" s="71">
        <f>A356+1</f>
        <v/>
      </c>
      <c r="B358" s="51" t="n"/>
      <c r="C358" s="77" t="n"/>
      <c r="D358" s="78" t="n"/>
      <c r="E358" s="66" t="n"/>
      <c r="F358" s="67" t="n"/>
      <c r="G358" s="79" t="n"/>
      <c r="H358" s="67" t="n"/>
      <c r="I358" s="57">
        <f>IFERROR(H358*VLOOKUP(F358,[1]инфо!$A$15:$C$28,3,FALSE)/1000,0)</f>
        <v/>
      </c>
      <c r="J358" s="55" t="n"/>
      <c r="K358" s="55" t="n"/>
      <c r="L358" s="55" t="n"/>
      <c r="M358" s="55" t="n"/>
      <c r="N358" s="56" t="n"/>
      <c r="O358" s="79" t="n"/>
      <c r="P358" s="79" t="n"/>
      <c r="Q358" s="79" t="n"/>
      <c r="R358" s="79" t="n"/>
      <c r="S358" s="80">
        <f>SUM(O358:R358)</f>
        <v/>
      </c>
      <c r="T358" s="77" t="n"/>
      <c r="U358" s="78" t="n"/>
      <c r="V358" s="79" t="n"/>
      <c r="W358" s="68" t="n"/>
      <c r="X358" s="79" t="n"/>
      <c r="Y358" s="77" t="n"/>
      <c r="Z358" s="79" t="n"/>
      <c r="AA358" s="79" t="n"/>
      <c r="AB358" s="79" t="n"/>
      <c r="AC358" s="69" t="n"/>
      <c r="AD358" s="78" t="n"/>
      <c r="AE358" s="81">
        <f>SUMIFS([1]инфо!$D$15:$D$28,[1]инфо!$A$15:$A$28,F358)</f>
        <v/>
      </c>
      <c r="AF358" s="62">
        <f>IF(H358=0,0,N358/H358)</f>
        <v/>
      </c>
      <c r="AG358" s="82">
        <f>AF358-AE358</f>
        <v/>
      </c>
      <c r="AH358" s="81">
        <f>SUMIFS([1]инфо!$E$15:$E$28,[1]инфо!$A$15:$A$28,F358)</f>
        <v/>
      </c>
      <c r="AI358" s="64">
        <f>IF(H358=0,0,S358/H358)</f>
        <v/>
      </c>
      <c r="AJ358" s="82">
        <f>AI358-AH358</f>
        <v/>
      </c>
      <c r="AK358" s="81">
        <f>SUMIFS([1]инфо!$F$15:$F$28,[1]инфо!$A$15:$A$28,F358)</f>
        <v/>
      </c>
      <c r="AL358" s="64">
        <f>IF(H358=0,0,Y358/H358)</f>
        <v/>
      </c>
      <c r="AM358" s="82">
        <f>AL358-AK358</f>
        <v/>
      </c>
      <c r="AN358" s="81">
        <f>SUMIFS([1]инфо!$G$15:$G$28,[1]инфо!$A$15:$A$28,F358)</f>
        <v/>
      </c>
      <c r="AO358" s="64">
        <f>IF(H358=0,0,AA358/H358)</f>
        <v/>
      </c>
      <c r="AP358" s="82">
        <f>AO358-AN358</f>
        <v/>
      </c>
      <c r="AQ358" s="81">
        <f>SUMIFS([1]инфо!$H$15:$H$28,[1]инфо!$A$15:$A$28,F358)</f>
        <v/>
      </c>
      <c r="AR358" s="85">
        <f>IF(H357=0,0,AC358/H357)</f>
        <v/>
      </c>
      <c r="AS358" s="82">
        <f>AR358-AQ358</f>
        <v/>
      </c>
      <c r="AT358" s="81">
        <f>SUMIFS([1]инфо!$I$15:$I$28,[1]инфо!$A$15:$A$28,F358)</f>
        <v/>
      </c>
      <c r="AU358" s="62">
        <f>IF(H358=0,0,AD358/H358)</f>
        <v/>
      </c>
      <c r="AV358" s="82">
        <f>AU358-AT358</f>
        <v/>
      </c>
      <c r="AX358" s="80">
        <f>SUMIFS([1]инфо!$C$15:$C$28,[1]инфо!$A$15:$A$28,F358)*H357</f>
        <v/>
      </c>
    </row>
    <row r="359">
      <c r="A359" s="71">
        <f>A357+1</f>
        <v/>
      </c>
      <c r="B359" s="51" t="n"/>
      <c r="C359" s="72" t="n"/>
      <c r="D359" s="73" t="n"/>
      <c r="E359" s="66" t="n"/>
      <c r="F359" s="67" t="n"/>
      <c r="G359" s="74" t="n"/>
      <c r="H359" s="55" t="n"/>
      <c r="I359" s="57">
        <f>IFERROR(H359*VLOOKUP(F359,[1]инфо!$A$15:$C$28,3,FALSE)/1000,0)</f>
        <v/>
      </c>
      <c r="J359" s="55" t="n"/>
      <c r="K359" s="55" t="n"/>
      <c r="L359" s="55" t="n"/>
      <c r="M359" s="55" t="n"/>
      <c r="N359" s="67" t="n"/>
      <c r="O359" s="74" t="n"/>
      <c r="P359" s="74" t="n"/>
      <c r="Q359" s="74" t="n"/>
      <c r="R359" s="74" t="n"/>
      <c r="S359" s="70">
        <f>SUM(O359:R359)</f>
        <v/>
      </c>
      <c r="T359" s="72" t="n"/>
      <c r="U359" s="73" t="n"/>
      <c r="V359" s="74" t="n"/>
      <c r="W359" s="68" t="n"/>
      <c r="X359" s="74" t="n"/>
      <c r="Y359" s="72" t="n"/>
      <c r="Z359" s="74" t="n"/>
      <c r="AA359" s="74" t="n"/>
      <c r="AB359" s="74" t="n"/>
      <c r="AC359" s="69" t="n"/>
      <c r="AD359" s="73" t="n"/>
      <c r="AE359" s="75">
        <f>SUMIFS([1]инфо!$D$15:$D$28,[1]инфо!$A$15:$A$28,F359)</f>
        <v/>
      </c>
      <c r="AF359" s="62">
        <f>IF(H359=0,0,N359/H359)</f>
        <v/>
      </c>
      <c r="AG359" s="76">
        <f>AF359-AE359</f>
        <v/>
      </c>
      <c r="AH359" s="75">
        <f>SUMIFS([1]инфо!$E$15:$E$28,[1]инфо!$A$15:$A$28,F359)</f>
        <v/>
      </c>
      <c r="AI359" s="64">
        <f>IF(H359=0,0,S359/H359)</f>
        <v/>
      </c>
      <c r="AJ359" s="76">
        <f>AI359-AH359</f>
        <v/>
      </c>
      <c r="AK359" s="75">
        <f>SUMIFS([1]инфо!$F$15:$F$28,[1]инфо!$A$15:$A$28,F359)</f>
        <v/>
      </c>
      <c r="AL359" s="64">
        <f>IF(H359=0,0,Y359/H359)</f>
        <v/>
      </c>
      <c r="AM359" s="76">
        <f>AL359-AK359</f>
        <v/>
      </c>
      <c r="AN359" s="75">
        <f>SUMIFS([1]инфо!$G$15:$G$28,[1]инфо!$A$15:$A$28,F359)</f>
        <v/>
      </c>
      <c r="AO359" s="64">
        <f>IF(H359=0,0,AA359/H359)</f>
        <v/>
      </c>
      <c r="AP359" s="76">
        <f>AO359-AN359</f>
        <v/>
      </c>
      <c r="AQ359" s="75">
        <f>SUMIFS([1]инфо!$H$15:$H$28,[1]инфо!$A$15:$A$28,F359)</f>
        <v/>
      </c>
      <c r="AR359" s="64">
        <f>IF(H358=0,0,AC359/H358)</f>
        <v/>
      </c>
      <c r="AS359" s="76">
        <f>AR359-AQ359</f>
        <v/>
      </c>
      <c r="AT359" s="75">
        <f>SUMIFS([1]инфо!$I$15:$I$28,[1]инфо!$A$15:$A$28,F359)</f>
        <v/>
      </c>
      <c r="AU359" s="62">
        <f>IF(H359=0,0,AD359/H359)</f>
        <v/>
      </c>
      <c r="AV359" s="76">
        <f>AU359-AT359</f>
        <v/>
      </c>
      <c r="AX359" s="70">
        <f>SUMIFS([1]инфо!$C$15:$C$28,[1]инфо!$A$15:$A$28,F359)*H358</f>
        <v/>
      </c>
    </row>
    <row r="360">
      <c r="A360" s="71">
        <f>A358+1</f>
        <v/>
      </c>
      <c r="B360" s="51" t="n"/>
      <c r="C360" s="52" t="n"/>
      <c r="D360" s="53" t="n"/>
      <c r="E360" s="66" t="n"/>
      <c r="F360" s="67" t="n"/>
      <c r="G360" s="58" t="n"/>
      <c r="H360" s="55" t="n"/>
      <c r="I360" s="57">
        <f>IFERROR(H360*VLOOKUP(F360,[1]инфо!$A$15:$C$28,3,FALSE)/1000,0)</f>
        <v/>
      </c>
      <c r="J360" s="55" t="n"/>
      <c r="K360" s="55" t="n"/>
      <c r="L360" s="55" t="n"/>
      <c r="M360" s="55" t="n"/>
      <c r="N360" s="55" t="n"/>
      <c r="O360" s="58" t="n"/>
      <c r="P360" s="58" t="n"/>
      <c r="Q360" s="58" t="n"/>
      <c r="R360" s="58" t="n"/>
      <c r="S360" s="59">
        <f>SUM(O360:R360)</f>
        <v/>
      </c>
      <c r="T360" s="52" t="n"/>
      <c r="U360" s="53" t="n"/>
      <c r="V360" s="58" t="n"/>
      <c r="W360" s="68" t="n"/>
      <c r="X360" s="58" t="n"/>
      <c r="Y360" s="52" t="n"/>
      <c r="Z360" s="58" t="n"/>
      <c r="AA360" s="58" t="n"/>
      <c r="AB360" s="58" t="n"/>
      <c r="AC360" s="69" t="n"/>
      <c r="AD360" s="53" t="n"/>
      <c r="AE360" s="61">
        <f>SUMIFS([1]инфо!$D$15:$D$28,[1]инфо!$A$15:$A$28,F360)</f>
        <v/>
      </c>
      <c r="AF360" s="62">
        <f>IF(H360=0,0,N360/H360)</f>
        <v/>
      </c>
      <c r="AG360" s="63">
        <f>AF360-AE360</f>
        <v/>
      </c>
      <c r="AH360" s="61">
        <f>SUMIFS([1]инфо!$E$15:$E$28,[1]инфо!$A$15:$A$28,F360)</f>
        <v/>
      </c>
      <c r="AI360" s="64">
        <f>IF(H360=0,0,S360/H360)</f>
        <v/>
      </c>
      <c r="AJ360" s="63">
        <f>AI360-AH360</f>
        <v/>
      </c>
      <c r="AK360" s="61">
        <f>SUMIFS([1]инфо!$F$15:$F$28,[1]инфо!$A$15:$A$28,F360)</f>
        <v/>
      </c>
      <c r="AL360" s="64">
        <f>IF(H360=0,0,Y360/H360)</f>
        <v/>
      </c>
      <c r="AM360" s="63">
        <f>AL360-AK360</f>
        <v/>
      </c>
      <c r="AN360" s="61">
        <f>SUMIFS([1]инфо!$G$15:$G$28,[1]инфо!$A$15:$A$28,F360)</f>
        <v/>
      </c>
      <c r="AO360" s="64">
        <f>IF(H360=0,0,AA360/H360)</f>
        <v/>
      </c>
      <c r="AP360" s="63">
        <f>AO360-AN360</f>
        <v/>
      </c>
      <c r="AQ360" s="61">
        <f>SUMIFS([1]инфо!$H$15:$H$28,[1]инфо!$A$15:$A$28,F360)</f>
        <v/>
      </c>
      <c r="AR360" s="62">
        <f>IF(H359=0,0,AC360/H359)</f>
        <v/>
      </c>
      <c r="AS360" s="63">
        <f>AR360-AQ360</f>
        <v/>
      </c>
      <c r="AT360" s="61">
        <f>SUMIFS([1]инфо!$I$15:$I$28,[1]инфо!$A$15:$A$28,F360)</f>
        <v/>
      </c>
      <c r="AU360" s="62">
        <f>IF(H360=0,0,AD360/H360)</f>
        <v/>
      </c>
      <c r="AV360" s="63">
        <f>AU360-AT360</f>
        <v/>
      </c>
      <c r="AX360" s="59">
        <f>SUMIFS([1]инфо!$C$15:$C$28,[1]инфо!$A$15:$A$28,F360)*H359</f>
        <v/>
      </c>
    </row>
    <row r="361">
      <c r="A361" s="71">
        <f>A359+1</f>
        <v/>
      </c>
      <c r="B361" s="51" t="n"/>
      <c r="C361" s="52" t="n"/>
      <c r="D361" s="53" t="n"/>
      <c r="E361" s="66" t="n"/>
      <c r="F361" s="67" t="n"/>
      <c r="G361" s="58" t="n"/>
      <c r="H361" s="56" t="n"/>
      <c r="I361" s="57">
        <f>IFERROR(H361*VLOOKUP(F361,[1]инфо!$A$15:$C$28,3,FALSE)/1000,0)</f>
        <v/>
      </c>
      <c r="J361" s="55" t="n"/>
      <c r="K361" s="55" t="n"/>
      <c r="L361" s="55" t="n"/>
      <c r="M361" s="55" t="n"/>
      <c r="N361" s="55" t="n"/>
      <c r="O361" s="58" t="n"/>
      <c r="P361" s="58" t="n"/>
      <c r="Q361" s="58" t="n"/>
      <c r="R361" s="58" t="n"/>
      <c r="S361" s="59">
        <f>SUM(O361:R361)</f>
        <v/>
      </c>
      <c r="T361" s="52" t="n"/>
      <c r="U361" s="53" t="n"/>
      <c r="V361" s="58" t="n"/>
      <c r="W361" s="68" t="n"/>
      <c r="X361" s="58" t="n"/>
      <c r="Y361" s="52" t="n"/>
      <c r="Z361" s="58" t="n"/>
      <c r="AA361" s="58" t="n"/>
      <c r="AB361" s="58" t="n"/>
      <c r="AC361" s="69" t="n"/>
      <c r="AD361" s="53" t="n"/>
      <c r="AE361" s="61">
        <f>SUMIFS([1]инфо!$D$15:$D$28,[1]инфо!$A$15:$A$28,F361)</f>
        <v/>
      </c>
      <c r="AF361" s="62">
        <f>IF(H361=0,0,N361/H361)</f>
        <v/>
      </c>
      <c r="AG361" s="63">
        <f>AF361-AE361</f>
        <v/>
      </c>
      <c r="AH361" s="61">
        <f>SUMIFS([1]инфо!$E$15:$E$28,[1]инфо!$A$15:$A$28,F361)</f>
        <v/>
      </c>
      <c r="AI361" s="64">
        <f>IF(H361=0,0,S361/H361)</f>
        <v/>
      </c>
      <c r="AJ361" s="63">
        <f>AI361-AH361</f>
        <v/>
      </c>
      <c r="AK361" s="61">
        <f>SUMIFS([1]инфо!$F$15:$F$28,[1]инфо!$A$15:$A$28,F361)</f>
        <v/>
      </c>
      <c r="AL361" s="64">
        <f>IF(H361=0,0,Y361/H361)</f>
        <v/>
      </c>
      <c r="AM361" s="63">
        <f>AL361-AK361</f>
        <v/>
      </c>
      <c r="AN361" s="61">
        <f>SUMIFS([1]инфо!$G$15:$G$28,[1]инфо!$A$15:$A$28,F361)</f>
        <v/>
      </c>
      <c r="AO361" s="64">
        <f>IF(H361=0,0,AA361/H361)</f>
        <v/>
      </c>
      <c r="AP361" s="63">
        <f>AO361-AN361</f>
        <v/>
      </c>
      <c r="AQ361" s="61">
        <f>SUMIFS([1]инфо!$H$15:$H$28,[1]инфо!$A$15:$A$28,F361)</f>
        <v/>
      </c>
      <c r="AR361" s="62">
        <f>IF(H360=0,0,AC361/H360)</f>
        <v/>
      </c>
      <c r="AS361" s="63">
        <f>AR361-AQ361</f>
        <v/>
      </c>
      <c r="AT361" s="61">
        <f>SUMIFS([1]инфо!$I$15:$I$28,[1]инфо!$A$15:$A$28,F361)</f>
        <v/>
      </c>
      <c r="AU361" s="62">
        <f>IF(H361=0,0,AD361/H361)</f>
        <v/>
      </c>
      <c r="AV361" s="63">
        <f>AU361-AT361</f>
        <v/>
      </c>
      <c r="AX361" s="59">
        <f>SUMIFS([1]инфо!$C$15:$C$28,[1]инфо!$A$15:$A$28,F361)*H360</f>
        <v/>
      </c>
    </row>
    <row r="362">
      <c r="A362" s="71">
        <f>A360+1</f>
        <v/>
      </c>
      <c r="B362" s="51" t="n"/>
      <c r="C362" s="77" t="n"/>
      <c r="D362" s="78" t="n"/>
      <c r="E362" s="66" t="n"/>
      <c r="F362" s="67" t="n"/>
      <c r="G362" s="79" t="n"/>
      <c r="H362" s="67" t="n"/>
      <c r="I362" s="57">
        <f>IFERROR(H362*VLOOKUP(F362,[1]инфо!$A$15:$C$28,3,FALSE)/1000,0)</f>
        <v/>
      </c>
      <c r="J362" s="55" t="n"/>
      <c r="K362" s="55" t="n"/>
      <c r="L362" s="55" t="n"/>
      <c r="M362" s="55" t="n"/>
      <c r="N362" s="56" t="n"/>
      <c r="O362" s="79" t="n"/>
      <c r="P362" s="79" t="n"/>
      <c r="Q362" s="79" t="n"/>
      <c r="R362" s="79" t="n"/>
      <c r="S362" s="80">
        <f>SUM(O362:R362)</f>
        <v/>
      </c>
      <c r="T362" s="77" t="n"/>
      <c r="U362" s="78" t="n"/>
      <c r="V362" s="79" t="n"/>
      <c r="W362" s="68" t="n"/>
      <c r="X362" s="79" t="n"/>
      <c r="Y362" s="77" t="n"/>
      <c r="Z362" s="79" t="n"/>
      <c r="AA362" s="79" t="n"/>
      <c r="AB362" s="79" t="n"/>
      <c r="AC362" s="69" t="n"/>
      <c r="AD362" s="78" t="n"/>
      <c r="AE362" s="81">
        <f>SUMIFS([1]инфо!$D$15:$D$28,[1]инфо!$A$15:$A$28,F362)</f>
        <v/>
      </c>
      <c r="AF362" s="62">
        <f>IF(H362=0,0,N362/H362)</f>
        <v/>
      </c>
      <c r="AG362" s="82">
        <f>AF362-AE362</f>
        <v/>
      </c>
      <c r="AH362" s="81">
        <f>SUMIFS([1]инфо!$E$15:$E$28,[1]инфо!$A$15:$A$28,F362)</f>
        <v/>
      </c>
      <c r="AI362" s="64">
        <f>IF(H362=0,0,S362/H362)</f>
        <v/>
      </c>
      <c r="AJ362" s="82">
        <f>AI362-AH362</f>
        <v/>
      </c>
      <c r="AK362" s="81">
        <f>SUMIFS([1]инфо!$F$15:$F$28,[1]инфо!$A$15:$A$28,F362)</f>
        <v/>
      </c>
      <c r="AL362" s="64">
        <f>IF(H362=0,0,Y362/H362)</f>
        <v/>
      </c>
      <c r="AM362" s="82">
        <f>AL362-AK362</f>
        <v/>
      </c>
      <c r="AN362" s="81">
        <f>SUMIFS([1]инфо!$G$15:$G$28,[1]инфо!$A$15:$A$28,F362)</f>
        <v/>
      </c>
      <c r="AO362" s="64">
        <f>IF(H362=0,0,AA362/H362)</f>
        <v/>
      </c>
      <c r="AP362" s="82">
        <f>AO362-AN362</f>
        <v/>
      </c>
      <c r="AQ362" s="81">
        <f>SUMIFS([1]инфо!$H$15:$H$28,[1]инфо!$A$15:$A$28,F362)</f>
        <v/>
      </c>
      <c r="AR362" s="85">
        <f>IF(H361=0,0,AC362/H361)</f>
        <v/>
      </c>
      <c r="AS362" s="82">
        <f>AR362-AQ362</f>
        <v/>
      </c>
      <c r="AT362" s="81">
        <f>SUMIFS([1]инфо!$I$15:$I$28,[1]инфо!$A$15:$A$28,F362)</f>
        <v/>
      </c>
      <c r="AU362" s="62">
        <f>IF(H362=0,0,AD362/H362)</f>
        <v/>
      </c>
      <c r="AV362" s="82">
        <f>AU362-AT362</f>
        <v/>
      </c>
      <c r="AX362" s="80">
        <f>SUMIFS([1]инфо!$C$15:$C$28,[1]инфо!$A$15:$A$28,F362)*H361</f>
        <v/>
      </c>
    </row>
    <row r="363">
      <c r="A363" s="71">
        <f>A361+1</f>
        <v/>
      </c>
      <c r="B363" s="51" t="n"/>
      <c r="C363" s="72" t="n"/>
      <c r="D363" s="73" t="n"/>
      <c r="E363" s="66" t="n"/>
      <c r="F363" s="67" t="n"/>
      <c r="G363" s="74" t="n"/>
      <c r="H363" s="55" t="n"/>
      <c r="I363" s="57">
        <f>IFERROR(H363*VLOOKUP(F363,[1]инфо!$A$15:$C$28,3,FALSE)/1000,0)</f>
        <v/>
      </c>
      <c r="J363" s="55" t="n"/>
      <c r="K363" s="55" t="n"/>
      <c r="L363" s="55" t="n"/>
      <c r="M363" s="55" t="n"/>
      <c r="N363" s="67" t="n"/>
      <c r="O363" s="74" t="n"/>
      <c r="P363" s="74" t="n"/>
      <c r="Q363" s="74" t="n"/>
      <c r="R363" s="74" t="n"/>
      <c r="S363" s="70">
        <f>SUM(O363:R363)</f>
        <v/>
      </c>
      <c r="T363" s="72" t="n"/>
      <c r="U363" s="73" t="n"/>
      <c r="V363" s="74" t="n"/>
      <c r="W363" s="68" t="n"/>
      <c r="X363" s="74" t="n"/>
      <c r="Y363" s="72" t="n"/>
      <c r="Z363" s="74" t="n"/>
      <c r="AA363" s="74" t="n"/>
      <c r="AB363" s="74" t="n"/>
      <c r="AC363" s="69" t="n"/>
      <c r="AD363" s="73" t="n"/>
      <c r="AE363" s="75">
        <f>SUMIFS([1]инфо!$D$15:$D$28,[1]инфо!$A$15:$A$28,F363)</f>
        <v/>
      </c>
      <c r="AF363" s="62">
        <f>IF(H363=0,0,N363/H363)</f>
        <v/>
      </c>
      <c r="AG363" s="76">
        <f>AF363-AE363</f>
        <v/>
      </c>
      <c r="AH363" s="75">
        <f>SUMIFS([1]инфо!$E$15:$E$28,[1]инфо!$A$15:$A$28,F363)</f>
        <v/>
      </c>
      <c r="AI363" s="64">
        <f>IF(H363=0,0,S363/H363)</f>
        <v/>
      </c>
      <c r="AJ363" s="76">
        <f>AI363-AH363</f>
        <v/>
      </c>
      <c r="AK363" s="75">
        <f>SUMIFS([1]инфо!$F$15:$F$28,[1]инфо!$A$15:$A$28,F363)</f>
        <v/>
      </c>
      <c r="AL363" s="64">
        <f>IF(H363=0,0,Y363/H363)</f>
        <v/>
      </c>
      <c r="AM363" s="76">
        <f>AL363-AK363</f>
        <v/>
      </c>
      <c r="AN363" s="75">
        <f>SUMIFS([1]инфо!$G$15:$G$28,[1]инфо!$A$15:$A$28,F363)</f>
        <v/>
      </c>
      <c r="AO363" s="64">
        <f>IF(H363=0,0,AA363/H363)</f>
        <v/>
      </c>
      <c r="AP363" s="76">
        <f>AO363-AN363</f>
        <v/>
      </c>
      <c r="AQ363" s="75">
        <f>SUMIFS([1]инфо!$H$15:$H$28,[1]инфо!$A$15:$A$28,F363)</f>
        <v/>
      </c>
      <c r="AR363" s="64">
        <f>IF(H362=0,0,AC363/H362)</f>
        <v/>
      </c>
      <c r="AS363" s="76">
        <f>AR363-AQ363</f>
        <v/>
      </c>
      <c r="AT363" s="75">
        <f>SUMIFS([1]инфо!$I$15:$I$28,[1]инфо!$A$15:$A$28,F363)</f>
        <v/>
      </c>
      <c r="AU363" s="62">
        <f>IF(H363=0,0,AD363/H363)</f>
        <v/>
      </c>
      <c r="AV363" s="76">
        <f>AU363-AT363</f>
        <v/>
      </c>
      <c r="AX363" s="70">
        <f>SUMIFS([1]инфо!$C$15:$C$28,[1]инфо!$A$15:$A$28,F363)*H362</f>
        <v/>
      </c>
    </row>
    <row r="364">
      <c r="A364" s="71">
        <f>A362+1</f>
        <v/>
      </c>
      <c r="B364" s="51" t="n"/>
      <c r="C364" s="52" t="n"/>
      <c r="D364" s="53" t="n"/>
      <c r="E364" s="66" t="n"/>
      <c r="F364" s="67" t="n"/>
      <c r="G364" s="58" t="n"/>
      <c r="H364" s="55" t="n"/>
      <c r="I364" s="57">
        <f>IFERROR(H364*VLOOKUP(F364,[1]инфо!$A$15:$C$28,3,FALSE)/1000,0)</f>
        <v/>
      </c>
      <c r="J364" s="55" t="n"/>
      <c r="K364" s="55" t="n"/>
      <c r="L364" s="55" t="n"/>
      <c r="M364" s="55" t="n"/>
      <c r="N364" s="55" t="n"/>
      <c r="O364" s="58" t="n"/>
      <c r="P364" s="58" t="n"/>
      <c r="Q364" s="58" t="n"/>
      <c r="R364" s="58" t="n"/>
      <c r="S364" s="59">
        <f>SUM(O364:R364)</f>
        <v/>
      </c>
      <c r="T364" s="52" t="n"/>
      <c r="U364" s="53" t="n"/>
      <c r="V364" s="58" t="n"/>
      <c r="W364" s="68" t="n"/>
      <c r="X364" s="58" t="n"/>
      <c r="Y364" s="52" t="n"/>
      <c r="Z364" s="58" t="n"/>
      <c r="AA364" s="58" t="n"/>
      <c r="AB364" s="58" t="n"/>
      <c r="AC364" s="69" t="n"/>
      <c r="AD364" s="53" t="n"/>
      <c r="AE364" s="61">
        <f>SUMIFS([1]инфо!$D$15:$D$28,[1]инфо!$A$15:$A$28,F364)</f>
        <v/>
      </c>
      <c r="AF364" s="62">
        <f>IF(H364=0,0,N364/H364)</f>
        <v/>
      </c>
      <c r="AG364" s="63">
        <f>AF364-AE364</f>
        <v/>
      </c>
      <c r="AH364" s="61">
        <f>SUMIFS([1]инфо!$E$15:$E$28,[1]инфо!$A$15:$A$28,F364)</f>
        <v/>
      </c>
      <c r="AI364" s="64">
        <f>IF(H364=0,0,S364/H364)</f>
        <v/>
      </c>
      <c r="AJ364" s="63">
        <f>AI364-AH364</f>
        <v/>
      </c>
      <c r="AK364" s="61">
        <f>SUMIFS([1]инфо!$F$15:$F$28,[1]инфо!$A$15:$A$28,F364)</f>
        <v/>
      </c>
      <c r="AL364" s="64">
        <f>IF(H364=0,0,Y364/H364)</f>
        <v/>
      </c>
      <c r="AM364" s="63">
        <f>AL364-AK364</f>
        <v/>
      </c>
      <c r="AN364" s="61">
        <f>SUMIFS([1]инфо!$G$15:$G$28,[1]инфо!$A$15:$A$28,F364)</f>
        <v/>
      </c>
      <c r="AO364" s="64">
        <f>IF(H364=0,0,AA364/H364)</f>
        <v/>
      </c>
      <c r="AP364" s="63">
        <f>AO364-AN364</f>
        <v/>
      </c>
      <c r="AQ364" s="61">
        <f>SUMIFS([1]инфо!$H$15:$H$28,[1]инфо!$A$15:$A$28,F364)</f>
        <v/>
      </c>
      <c r="AR364" s="62">
        <f>IF(H363=0,0,AC364/H363)</f>
        <v/>
      </c>
      <c r="AS364" s="63">
        <f>AR364-AQ364</f>
        <v/>
      </c>
      <c r="AT364" s="61">
        <f>SUMIFS([1]инфо!$I$15:$I$28,[1]инфо!$A$15:$A$28,F364)</f>
        <v/>
      </c>
      <c r="AU364" s="62">
        <f>IF(H364=0,0,AD364/H364)</f>
        <v/>
      </c>
      <c r="AV364" s="63">
        <f>AU364-AT364</f>
        <v/>
      </c>
      <c r="AX364" s="59">
        <f>SUMIFS([1]инфо!$C$15:$C$28,[1]инфо!$A$15:$A$28,F364)*H363</f>
        <v/>
      </c>
    </row>
    <row r="365">
      <c r="A365" s="71">
        <f>A363+1</f>
        <v/>
      </c>
      <c r="B365" s="51" t="n"/>
      <c r="C365" s="52" t="n"/>
      <c r="D365" s="53" t="n"/>
      <c r="E365" s="66" t="n"/>
      <c r="F365" s="67" t="n"/>
      <c r="G365" s="58" t="n"/>
      <c r="H365" s="56" t="n"/>
      <c r="I365" s="57">
        <f>IFERROR(H365*VLOOKUP(F365,[1]инфо!$A$15:$C$28,3,FALSE)/1000,0)</f>
        <v/>
      </c>
      <c r="J365" s="55" t="n"/>
      <c r="K365" s="55" t="n"/>
      <c r="L365" s="55" t="n"/>
      <c r="M365" s="55" t="n"/>
      <c r="N365" s="55" t="n"/>
      <c r="O365" s="58" t="n"/>
      <c r="P365" s="58" t="n"/>
      <c r="Q365" s="58" t="n"/>
      <c r="R365" s="58" t="n"/>
      <c r="S365" s="59">
        <f>SUM(O365:R365)</f>
        <v/>
      </c>
      <c r="T365" s="52" t="n"/>
      <c r="U365" s="53" t="n"/>
      <c r="V365" s="58" t="n"/>
      <c r="W365" s="68" t="n"/>
      <c r="X365" s="58" t="n"/>
      <c r="Y365" s="52" t="n"/>
      <c r="Z365" s="58" t="n"/>
      <c r="AA365" s="58" t="n"/>
      <c r="AB365" s="58" t="n"/>
      <c r="AC365" s="69" t="n"/>
      <c r="AD365" s="53" t="n"/>
      <c r="AE365" s="61">
        <f>SUMIFS([1]инфо!$D$15:$D$28,[1]инфо!$A$15:$A$28,F365)</f>
        <v/>
      </c>
      <c r="AF365" s="62">
        <f>IF(H365=0,0,N365/H365)</f>
        <v/>
      </c>
      <c r="AG365" s="63">
        <f>AF365-AE365</f>
        <v/>
      </c>
      <c r="AH365" s="61">
        <f>SUMIFS([1]инфо!$E$15:$E$28,[1]инфо!$A$15:$A$28,F365)</f>
        <v/>
      </c>
      <c r="AI365" s="64">
        <f>IF(H365=0,0,S365/H365)</f>
        <v/>
      </c>
      <c r="AJ365" s="63">
        <f>AI365-AH365</f>
        <v/>
      </c>
      <c r="AK365" s="61">
        <f>SUMIFS([1]инфо!$F$15:$F$28,[1]инфо!$A$15:$A$28,F365)</f>
        <v/>
      </c>
      <c r="AL365" s="64">
        <f>IF(H365=0,0,Y365/H365)</f>
        <v/>
      </c>
      <c r="AM365" s="63">
        <f>AL365-AK365</f>
        <v/>
      </c>
      <c r="AN365" s="61">
        <f>SUMIFS([1]инфо!$G$15:$G$28,[1]инфо!$A$15:$A$28,F365)</f>
        <v/>
      </c>
      <c r="AO365" s="64">
        <f>IF(H365=0,0,AA365/H365)</f>
        <v/>
      </c>
      <c r="AP365" s="63">
        <f>AO365-AN365</f>
        <v/>
      </c>
      <c r="AQ365" s="61">
        <f>SUMIFS([1]инфо!$H$15:$H$28,[1]инфо!$A$15:$A$28,F365)</f>
        <v/>
      </c>
      <c r="AR365" s="62">
        <f>IF(H364=0,0,AC365/H364)</f>
        <v/>
      </c>
      <c r="AS365" s="63">
        <f>AR365-AQ365</f>
        <v/>
      </c>
      <c r="AT365" s="61">
        <f>SUMIFS([1]инфо!$I$15:$I$28,[1]инфо!$A$15:$A$28,F365)</f>
        <v/>
      </c>
      <c r="AU365" s="62">
        <f>IF(H365=0,0,AD365/H365)</f>
        <v/>
      </c>
      <c r="AV365" s="63">
        <f>AU365-AT365</f>
        <v/>
      </c>
      <c r="AX365" s="59">
        <f>SUMIFS([1]инфо!$C$15:$C$28,[1]инфо!$A$15:$A$28,F365)*H364</f>
        <v/>
      </c>
    </row>
    <row r="366">
      <c r="A366" s="71">
        <f>A364+1</f>
        <v/>
      </c>
      <c r="B366" s="51" t="n"/>
      <c r="C366" s="77" t="n"/>
      <c r="D366" s="78" t="n"/>
      <c r="E366" s="66" t="n"/>
      <c r="F366" s="67" t="n"/>
      <c r="G366" s="79" t="n"/>
      <c r="H366" s="67" t="n"/>
      <c r="I366" s="57">
        <f>IFERROR(H366*VLOOKUP(F366,[1]инфо!$A$15:$C$28,3,FALSE)/1000,0)</f>
        <v/>
      </c>
      <c r="J366" s="55" t="n"/>
      <c r="K366" s="55" t="n"/>
      <c r="L366" s="55" t="n"/>
      <c r="M366" s="55" t="n"/>
      <c r="N366" s="56" t="n"/>
      <c r="O366" s="79" t="n"/>
      <c r="P366" s="79" t="n"/>
      <c r="Q366" s="79" t="n"/>
      <c r="R366" s="79" t="n"/>
      <c r="S366" s="80">
        <f>SUM(O366:R366)</f>
        <v/>
      </c>
      <c r="T366" s="77" t="n"/>
      <c r="U366" s="78" t="n"/>
      <c r="V366" s="79" t="n"/>
      <c r="W366" s="68" t="n"/>
      <c r="X366" s="79" t="n"/>
      <c r="Y366" s="77" t="n"/>
      <c r="Z366" s="79" t="n"/>
      <c r="AA366" s="79" t="n"/>
      <c r="AB366" s="79" t="n"/>
      <c r="AC366" s="69" t="n"/>
      <c r="AD366" s="78" t="n"/>
      <c r="AE366" s="81">
        <f>SUMIFS([1]инфо!$D$15:$D$28,[1]инфо!$A$15:$A$28,F366)</f>
        <v/>
      </c>
      <c r="AF366" s="62">
        <f>IF(H366=0,0,N366/H366)</f>
        <v/>
      </c>
      <c r="AG366" s="82">
        <f>AF366-AE366</f>
        <v/>
      </c>
      <c r="AH366" s="81">
        <f>SUMIFS([1]инфо!$E$15:$E$28,[1]инфо!$A$15:$A$28,F366)</f>
        <v/>
      </c>
      <c r="AI366" s="64">
        <f>IF(H366=0,0,S366/H366)</f>
        <v/>
      </c>
      <c r="AJ366" s="82">
        <f>AI366-AH366</f>
        <v/>
      </c>
      <c r="AK366" s="81">
        <f>SUMIFS([1]инфо!$F$15:$F$28,[1]инфо!$A$15:$A$28,F366)</f>
        <v/>
      </c>
      <c r="AL366" s="64">
        <f>IF(H366=0,0,Y366/H366)</f>
        <v/>
      </c>
      <c r="AM366" s="82">
        <f>AL366-AK366</f>
        <v/>
      </c>
      <c r="AN366" s="81">
        <f>SUMIFS([1]инфо!$G$15:$G$28,[1]инфо!$A$15:$A$28,F366)</f>
        <v/>
      </c>
      <c r="AO366" s="64">
        <f>IF(H366=0,0,AA366/H366)</f>
        <v/>
      </c>
      <c r="AP366" s="82">
        <f>AO366-AN366</f>
        <v/>
      </c>
      <c r="AQ366" s="81">
        <f>SUMIFS([1]инфо!$H$15:$H$28,[1]инфо!$A$15:$A$28,F366)</f>
        <v/>
      </c>
      <c r="AR366" s="85">
        <f>IF(H365=0,0,AC366/H365)</f>
        <v/>
      </c>
      <c r="AS366" s="82">
        <f>AR366-AQ366</f>
        <v/>
      </c>
      <c r="AT366" s="81">
        <f>SUMIFS([1]инфо!$I$15:$I$28,[1]инфо!$A$15:$A$28,F366)</f>
        <v/>
      </c>
      <c r="AU366" s="62">
        <f>IF(H366=0,0,AD366/H366)</f>
        <v/>
      </c>
      <c r="AV366" s="82">
        <f>AU366-AT366</f>
        <v/>
      </c>
      <c r="AX366" s="80">
        <f>SUMIFS([1]инфо!$C$15:$C$28,[1]инфо!$A$15:$A$28,F366)*H365</f>
        <v/>
      </c>
    </row>
    <row r="367">
      <c r="A367" s="71">
        <f>A365+1</f>
        <v/>
      </c>
      <c r="B367" s="51" t="n"/>
      <c r="C367" s="72" t="n"/>
      <c r="D367" s="73" t="n"/>
      <c r="E367" s="66" t="n"/>
      <c r="F367" s="67" t="n"/>
      <c r="G367" s="74" t="n"/>
      <c r="H367" s="55" t="n"/>
      <c r="I367" s="57">
        <f>IFERROR(H367*VLOOKUP(F367,[1]инфо!$A$15:$C$28,3,FALSE)/1000,0)</f>
        <v/>
      </c>
      <c r="J367" s="55" t="n"/>
      <c r="K367" s="55" t="n"/>
      <c r="L367" s="55" t="n"/>
      <c r="M367" s="55" t="n"/>
      <c r="N367" s="67" t="n"/>
      <c r="O367" s="74" t="n"/>
      <c r="P367" s="74" t="n"/>
      <c r="Q367" s="74" t="n"/>
      <c r="R367" s="74" t="n"/>
      <c r="S367" s="70">
        <f>SUM(O367:R367)</f>
        <v/>
      </c>
      <c r="T367" s="72" t="n"/>
      <c r="U367" s="73" t="n"/>
      <c r="V367" s="74" t="n"/>
      <c r="W367" s="68" t="n"/>
      <c r="X367" s="74" t="n"/>
      <c r="Y367" s="72" t="n"/>
      <c r="Z367" s="74" t="n"/>
      <c r="AA367" s="74" t="n"/>
      <c r="AB367" s="74" t="n"/>
      <c r="AC367" s="68" t="n"/>
      <c r="AD367" s="73" t="n"/>
      <c r="AE367" s="75">
        <f>SUMIFS([1]инфо!$D$15:$D$28,[1]инфо!$A$15:$A$28,F367)</f>
        <v/>
      </c>
      <c r="AF367" s="62">
        <f>IF(H367=0,0,N367/H367)</f>
        <v/>
      </c>
      <c r="AG367" s="76">
        <f>AF367-AE367</f>
        <v/>
      </c>
      <c r="AH367" s="75">
        <f>SUMIFS([1]инфо!$E$15:$E$28,[1]инфо!$A$15:$A$28,F367)</f>
        <v/>
      </c>
      <c r="AI367" s="64">
        <f>IF(H367=0,0,S367/H367)</f>
        <v/>
      </c>
      <c r="AJ367" s="76">
        <f>AI367-AH367</f>
        <v/>
      </c>
      <c r="AK367" s="75">
        <f>SUMIFS([1]инфо!$F$15:$F$28,[1]инфо!$A$15:$A$28,F367)</f>
        <v/>
      </c>
      <c r="AL367" s="64">
        <f>IF(H367=0,0,Y367/H367)</f>
        <v/>
      </c>
      <c r="AM367" s="76">
        <f>AL367-AK367</f>
        <v/>
      </c>
      <c r="AN367" s="75">
        <f>SUMIFS([1]инфо!$G$15:$G$28,[1]инфо!$A$15:$A$28,F367)</f>
        <v/>
      </c>
      <c r="AO367" s="64">
        <f>IF(H367=0,0,AA367/H367)</f>
        <v/>
      </c>
      <c r="AP367" s="76">
        <f>AO367-AN367</f>
        <v/>
      </c>
      <c r="AQ367" s="75">
        <f>SUMIFS([1]инфо!$H$15:$H$28,[1]инфо!$A$15:$A$28,F367)</f>
        <v/>
      </c>
      <c r="AR367" s="64">
        <f>IF(H366=0,0,AC367/H366)</f>
        <v/>
      </c>
      <c r="AS367" s="76">
        <f>AR367-AQ367</f>
        <v/>
      </c>
      <c r="AT367" s="75">
        <f>SUMIFS([1]инфо!$I$15:$I$28,[1]инфо!$A$15:$A$28,F367)</f>
        <v/>
      </c>
      <c r="AU367" s="62">
        <f>IF(H367=0,0,AD367/H367)</f>
        <v/>
      </c>
      <c r="AV367" s="76">
        <f>AU367-AT367</f>
        <v/>
      </c>
      <c r="AX367" s="70">
        <f>SUMIFS([1]инфо!$C$15:$C$28,[1]инфо!$A$15:$A$28,F367)*H366</f>
        <v/>
      </c>
    </row>
    <row r="368">
      <c r="A368" s="71">
        <f>A366+1</f>
        <v/>
      </c>
      <c r="B368" s="51" t="n"/>
      <c r="C368" s="52" t="n"/>
      <c r="D368" s="53" t="n"/>
      <c r="E368" s="66" t="n"/>
      <c r="F368" s="67" t="n"/>
      <c r="G368" s="58" t="n"/>
      <c r="H368" s="55" t="n"/>
      <c r="I368" s="57">
        <f>IFERROR(H368*VLOOKUP(F368,[1]инфо!$A$15:$C$28,3,FALSE)/1000,0)</f>
        <v/>
      </c>
      <c r="J368" s="55" t="n"/>
      <c r="K368" s="55" t="n"/>
      <c r="L368" s="55" t="n"/>
      <c r="M368" s="55" t="n"/>
      <c r="N368" s="55" t="n"/>
      <c r="O368" s="58" t="n"/>
      <c r="P368" s="58" t="n"/>
      <c r="Q368" s="58" t="n"/>
      <c r="R368" s="58" t="n"/>
      <c r="S368" s="59">
        <f>SUM(O368:R368)</f>
        <v/>
      </c>
      <c r="T368" s="52" t="n"/>
      <c r="U368" s="53" t="n"/>
      <c r="V368" s="58" t="n"/>
      <c r="W368" s="68" t="n"/>
      <c r="X368" s="58" t="n"/>
      <c r="Y368" s="52" t="n"/>
      <c r="Z368" s="58" t="n"/>
      <c r="AA368" s="58" t="n"/>
      <c r="AB368" s="58" t="n"/>
      <c r="AC368" s="68" t="n"/>
      <c r="AD368" s="53" t="n"/>
      <c r="AE368" s="61">
        <f>SUMIFS([1]инфо!$D$15:$D$28,[1]инфо!$A$15:$A$28,F368)</f>
        <v/>
      </c>
      <c r="AF368" s="62">
        <f>IF(H368=0,0,N368/H368)</f>
        <v/>
      </c>
      <c r="AG368" s="63">
        <f>AF368-AE368</f>
        <v/>
      </c>
      <c r="AH368" s="61">
        <f>SUMIFS([1]инфо!$E$15:$E$28,[1]инфо!$A$15:$A$28,F368)</f>
        <v/>
      </c>
      <c r="AI368" s="64">
        <f>IF(H368=0,0,S368/H368)</f>
        <v/>
      </c>
      <c r="AJ368" s="63">
        <f>AI368-AH368</f>
        <v/>
      </c>
      <c r="AK368" s="61">
        <f>SUMIFS([1]инфо!$F$15:$F$28,[1]инфо!$A$15:$A$28,F368)</f>
        <v/>
      </c>
      <c r="AL368" s="64">
        <f>IF(H368=0,0,Y368/H368)</f>
        <v/>
      </c>
      <c r="AM368" s="63">
        <f>AL368-AK368</f>
        <v/>
      </c>
      <c r="AN368" s="61">
        <f>SUMIFS([1]инфо!$G$15:$G$28,[1]инфо!$A$15:$A$28,F368)</f>
        <v/>
      </c>
      <c r="AO368" s="64">
        <f>IF(H368=0,0,AA368/H368)</f>
        <v/>
      </c>
      <c r="AP368" s="63">
        <f>AO368-AN368</f>
        <v/>
      </c>
      <c r="AQ368" s="61">
        <f>SUMIFS([1]инфо!$H$15:$H$28,[1]инфо!$A$15:$A$28,F368)</f>
        <v/>
      </c>
      <c r="AR368" s="62">
        <f>IF(H367=0,0,AC368/H367)</f>
        <v/>
      </c>
      <c r="AS368" s="63">
        <f>AR368-AQ368</f>
        <v/>
      </c>
      <c r="AT368" s="61">
        <f>SUMIFS([1]инфо!$I$15:$I$28,[1]инфо!$A$15:$A$28,F368)</f>
        <v/>
      </c>
      <c r="AU368" s="62">
        <f>IF(H368=0,0,AD368/H368)</f>
        <v/>
      </c>
      <c r="AV368" s="63">
        <f>AU368-AT368</f>
        <v/>
      </c>
      <c r="AX368" s="59">
        <f>SUMIFS([1]инфо!$C$15:$C$28,[1]инфо!$A$15:$A$28,F368)*H367</f>
        <v/>
      </c>
    </row>
    <row r="369">
      <c r="A369" s="71">
        <f>A367+1</f>
        <v/>
      </c>
      <c r="B369" s="51" t="n"/>
      <c r="C369" s="52" t="n"/>
      <c r="D369" s="53" t="n"/>
      <c r="E369" s="66" t="n"/>
      <c r="F369" s="67" t="n"/>
      <c r="G369" s="58" t="n"/>
      <c r="H369" s="56" t="n"/>
      <c r="I369" s="57">
        <f>IFERROR(H369*VLOOKUP(F369,[1]инфо!$A$15:$C$28,3,FALSE)/1000,0)</f>
        <v/>
      </c>
      <c r="J369" s="55" t="n"/>
      <c r="K369" s="55" t="n"/>
      <c r="L369" s="55" t="n"/>
      <c r="M369" s="55" t="n"/>
      <c r="N369" s="55" t="n"/>
      <c r="O369" s="58" t="n"/>
      <c r="P369" s="58" t="n"/>
      <c r="Q369" s="58" t="n"/>
      <c r="R369" s="58" t="n"/>
      <c r="S369" s="59">
        <f>SUM(O369:R369)</f>
        <v/>
      </c>
      <c r="T369" s="52" t="n"/>
      <c r="U369" s="53" t="n"/>
      <c r="V369" s="58" t="n"/>
      <c r="W369" s="68" t="n"/>
      <c r="X369" s="58" t="n"/>
      <c r="Y369" s="52" t="n"/>
      <c r="Z369" s="58" t="n"/>
      <c r="AA369" s="58" t="n"/>
      <c r="AB369" s="58" t="n"/>
      <c r="AC369" s="68" t="n"/>
      <c r="AD369" s="53" t="n"/>
      <c r="AE369" s="61">
        <f>SUMIFS([1]инфо!$D$15:$D$28,[1]инфо!$A$15:$A$28,F369)</f>
        <v/>
      </c>
      <c r="AF369" s="62">
        <f>IF(H369=0,0,N369/H369)</f>
        <v/>
      </c>
      <c r="AG369" s="63">
        <f>AF369-AE369</f>
        <v/>
      </c>
      <c r="AH369" s="61">
        <f>SUMIFS([1]инфо!$E$15:$E$28,[1]инфо!$A$15:$A$28,F369)</f>
        <v/>
      </c>
      <c r="AI369" s="64">
        <f>IF(H369=0,0,S369/H369)</f>
        <v/>
      </c>
      <c r="AJ369" s="63">
        <f>AI369-AH369</f>
        <v/>
      </c>
      <c r="AK369" s="61">
        <f>SUMIFS([1]инфо!$F$15:$F$28,[1]инфо!$A$15:$A$28,F369)</f>
        <v/>
      </c>
      <c r="AL369" s="64">
        <f>IF(H369=0,0,Y369/H369)</f>
        <v/>
      </c>
      <c r="AM369" s="63">
        <f>AL369-AK369</f>
        <v/>
      </c>
      <c r="AN369" s="61">
        <f>SUMIFS([1]инфо!$G$15:$G$28,[1]инфо!$A$15:$A$28,F369)</f>
        <v/>
      </c>
      <c r="AO369" s="64">
        <f>IF(H369=0,0,AA369/H369)</f>
        <v/>
      </c>
      <c r="AP369" s="63">
        <f>AO369-AN369</f>
        <v/>
      </c>
      <c r="AQ369" s="61">
        <f>SUMIFS([1]инфо!$H$15:$H$28,[1]инфо!$A$15:$A$28,F369)</f>
        <v/>
      </c>
      <c r="AR369" s="62">
        <f>IF(H368=0,0,AC369/H368)</f>
        <v/>
      </c>
      <c r="AS369" s="63">
        <f>AR369-AQ369</f>
        <v/>
      </c>
      <c r="AT369" s="61">
        <f>SUMIFS([1]инфо!$I$15:$I$28,[1]инфо!$A$15:$A$28,F369)</f>
        <v/>
      </c>
      <c r="AU369" s="62">
        <f>IF(H369=0,0,AD369/H369)</f>
        <v/>
      </c>
      <c r="AV369" s="63">
        <f>AU369-AT369</f>
        <v/>
      </c>
      <c r="AX369" s="59">
        <f>SUMIFS([1]инфо!$C$15:$C$28,[1]инфо!$A$15:$A$28,F369)*H368</f>
        <v/>
      </c>
    </row>
    <row r="370">
      <c r="A370" s="71">
        <f>A368+1</f>
        <v/>
      </c>
      <c r="B370" s="51" t="n"/>
      <c r="C370" s="77" t="n"/>
      <c r="D370" s="78" t="n"/>
      <c r="E370" s="66" t="n"/>
      <c r="F370" s="67" t="n"/>
      <c r="G370" s="79" t="n"/>
      <c r="H370" s="67" t="n"/>
      <c r="I370" s="57">
        <f>IFERROR(H370*VLOOKUP(F370,[1]инфо!$A$15:$C$28,3,FALSE)/1000,0)</f>
        <v/>
      </c>
      <c r="J370" s="55" t="n"/>
      <c r="K370" s="55" t="n"/>
      <c r="L370" s="55" t="n"/>
      <c r="M370" s="55" t="n"/>
      <c r="N370" s="56" t="n"/>
      <c r="O370" s="79" t="n"/>
      <c r="P370" s="79" t="n"/>
      <c r="Q370" s="79" t="n"/>
      <c r="R370" s="79" t="n"/>
      <c r="S370" s="80">
        <f>SUM(O370:R370)</f>
        <v/>
      </c>
      <c r="T370" s="77" t="n"/>
      <c r="U370" s="78" t="n"/>
      <c r="V370" s="79" t="n"/>
      <c r="W370" s="68" t="n"/>
      <c r="X370" s="79" t="n"/>
      <c r="Y370" s="77" t="n"/>
      <c r="Z370" s="79" t="n"/>
      <c r="AA370" s="79" t="n"/>
      <c r="AB370" s="79" t="n"/>
      <c r="AC370" s="68" t="n"/>
      <c r="AD370" s="78" t="n"/>
      <c r="AE370" s="81">
        <f>SUMIFS([1]инфо!$D$15:$D$28,[1]инфо!$A$15:$A$28,F370)</f>
        <v/>
      </c>
      <c r="AF370" s="62">
        <f>IF(H370=0,0,N370/H370)</f>
        <v/>
      </c>
      <c r="AG370" s="82">
        <f>AF370-AE370</f>
        <v/>
      </c>
      <c r="AH370" s="81">
        <f>SUMIFS([1]инфо!$E$15:$E$28,[1]инфо!$A$15:$A$28,F370)</f>
        <v/>
      </c>
      <c r="AI370" s="64">
        <f>IF(H370=0,0,S370/H370)</f>
        <v/>
      </c>
      <c r="AJ370" s="82">
        <f>AI370-AH370</f>
        <v/>
      </c>
      <c r="AK370" s="81">
        <f>SUMIFS([1]инфо!$F$15:$F$28,[1]инфо!$A$15:$A$28,F370)</f>
        <v/>
      </c>
      <c r="AL370" s="64">
        <f>IF(H370=0,0,Y370/H370)</f>
        <v/>
      </c>
      <c r="AM370" s="82">
        <f>AL370-AK370</f>
        <v/>
      </c>
      <c r="AN370" s="81">
        <f>SUMIFS([1]инфо!$G$15:$G$28,[1]инфо!$A$15:$A$28,F370)</f>
        <v/>
      </c>
      <c r="AO370" s="64">
        <f>IF(H370=0,0,AA370/H370)</f>
        <v/>
      </c>
      <c r="AP370" s="82">
        <f>AO370-AN370</f>
        <v/>
      </c>
      <c r="AQ370" s="81">
        <f>SUMIFS([1]инфо!$H$15:$H$28,[1]инфо!$A$15:$A$28,F370)</f>
        <v/>
      </c>
      <c r="AR370" s="85">
        <f>IF(H369=0,0,AC370/H369)</f>
        <v/>
      </c>
      <c r="AS370" s="82">
        <f>AR370-AQ370</f>
        <v/>
      </c>
      <c r="AT370" s="81">
        <f>SUMIFS([1]инфо!$I$15:$I$28,[1]инфо!$A$15:$A$28,F370)</f>
        <v/>
      </c>
      <c r="AU370" s="62">
        <f>IF(H370=0,0,AD370/H370)</f>
        <v/>
      </c>
      <c r="AV370" s="82">
        <f>AU370-AT370</f>
        <v/>
      </c>
      <c r="AX370" s="80">
        <f>SUMIFS([1]инфо!$C$15:$C$28,[1]инфо!$A$15:$A$28,F370)*H369</f>
        <v/>
      </c>
    </row>
    <row r="371">
      <c r="A371" s="71">
        <f>A369+1</f>
        <v/>
      </c>
      <c r="B371" s="51" t="n"/>
      <c r="C371" s="72" t="n"/>
      <c r="D371" s="73" t="n"/>
      <c r="E371" s="66" t="n"/>
      <c r="F371" s="67" t="n"/>
      <c r="G371" s="74" t="n"/>
      <c r="H371" s="55" t="n"/>
      <c r="I371" s="57">
        <f>IFERROR(H371*VLOOKUP(F371,[1]инфо!$A$15:$C$28,3,FALSE)/1000,0)</f>
        <v/>
      </c>
      <c r="J371" s="55" t="n"/>
      <c r="K371" s="55" t="n"/>
      <c r="L371" s="55" t="n"/>
      <c r="M371" s="55" t="n"/>
      <c r="N371" s="67" t="n"/>
      <c r="O371" s="74" t="n"/>
      <c r="P371" s="74" t="n"/>
      <c r="Q371" s="74" t="n"/>
      <c r="R371" s="74" t="n"/>
      <c r="S371" s="70">
        <f>SUM(O371:R371)</f>
        <v/>
      </c>
      <c r="T371" s="72" t="n"/>
      <c r="U371" s="73" t="n"/>
      <c r="V371" s="74" t="n"/>
      <c r="W371" s="68" t="n"/>
      <c r="X371" s="74" t="n"/>
      <c r="Y371" s="72" t="n"/>
      <c r="Z371" s="74" t="n"/>
      <c r="AA371" s="74" t="n"/>
      <c r="AB371" s="74" t="n"/>
      <c r="AC371" s="68" t="n"/>
      <c r="AD371" s="73" t="n"/>
      <c r="AE371" s="75">
        <f>SUMIFS([1]инфо!$D$15:$D$28,[1]инфо!$A$15:$A$28,F371)</f>
        <v/>
      </c>
      <c r="AF371" s="62">
        <f>IF(H371=0,0,N371/H371)</f>
        <v/>
      </c>
      <c r="AG371" s="76">
        <f>AF371-AE371</f>
        <v/>
      </c>
      <c r="AH371" s="75">
        <f>SUMIFS([1]инфо!$E$15:$E$28,[1]инфо!$A$15:$A$28,F371)</f>
        <v/>
      </c>
      <c r="AI371" s="64">
        <f>IF(H371=0,0,S371/H371)</f>
        <v/>
      </c>
      <c r="AJ371" s="76">
        <f>AI371-AH371</f>
        <v/>
      </c>
      <c r="AK371" s="75">
        <f>SUMIFS([1]инфо!$F$15:$F$28,[1]инфо!$A$15:$A$28,F371)</f>
        <v/>
      </c>
      <c r="AL371" s="64">
        <f>IF(H371=0,0,Y371/H371)</f>
        <v/>
      </c>
      <c r="AM371" s="76">
        <f>AL371-AK371</f>
        <v/>
      </c>
      <c r="AN371" s="75">
        <f>SUMIFS([1]инфо!$G$15:$G$28,[1]инфо!$A$15:$A$28,F371)</f>
        <v/>
      </c>
      <c r="AO371" s="64">
        <f>IF(H371=0,0,AA371/H371)</f>
        <v/>
      </c>
      <c r="AP371" s="76">
        <f>AO371-AN371</f>
        <v/>
      </c>
      <c r="AQ371" s="75">
        <f>SUMIFS([1]инфо!$H$15:$H$28,[1]инфо!$A$15:$A$28,F371)</f>
        <v/>
      </c>
      <c r="AR371" s="64">
        <f>IF(H370=0,0,AC371/H370)</f>
        <v/>
      </c>
      <c r="AS371" s="76">
        <f>AR371-AQ371</f>
        <v/>
      </c>
      <c r="AT371" s="75">
        <f>SUMIFS([1]инфо!$I$15:$I$28,[1]инфо!$A$15:$A$28,F371)</f>
        <v/>
      </c>
      <c r="AU371" s="62">
        <f>IF(H371=0,0,AD371/H371)</f>
        <v/>
      </c>
      <c r="AV371" s="76">
        <f>AU371-AT371</f>
        <v/>
      </c>
      <c r="AX371" s="70">
        <f>SUMIFS([1]инфо!$C$15:$C$28,[1]инфо!$A$15:$A$28,F371)*H370</f>
        <v/>
      </c>
    </row>
    <row r="372">
      <c r="A372" s="71">
        <f>A370+1</f>
        <v/>
      </c>
      <c r="B372" s="51" t="n"/>
      <c r="C372" s="52" t="n"/>
      <c r="D372" s="53" t="n"/>
      <c r="E372" s="66" t="n"/>
      <c r="F372" s="67" t="n"/>
      <c r="G372" s="58" t="n"/>
      <c r="H372" s="55" t="n"/>
      <c r="I372" s="57">
        <f>IFERROR(H372*VLOOKUP(F372,[1]инфо!$A$15:$C$28,3,FALSE)/1000,0)</f>
        <v/>
      </c>
      <c r="J372" s="55" t="n"/>
      <c r="K372" s="55" t="n"/>
      <c r="L372" s="55" t="n"/>
      <c r="M372" s="55" t="n"/>
      <c r="N372" s="55" t="n"/>
      <c r="O372" s="58" t="n"/>
      <c r="P372" s="58" t="n"/>
      <c r="Q372" s="58" t="n"/>
      <c r="R372" s="58" t="n"/>
      <c r="S372" s="59">
        <f>SUM(O372:R372)</f>
        <v/>
      </c>
      <c r="T372" s="52" t="n"/>
      <c r="U372" s="53" t="n"/>
      <c r="V372" s="58" t="n"/>
      <c r="W372" s="68" t="n"/>
      <c r="X372" s="58" t="n"/>
      <c r="Y372" s="52" t="n"/>
      <c r="Z372" s="58" t="n"/>
      <c r="AA372" s="58" t="n"/>
      <c r="AB372" s="58" t="n"/>
      <c r="AC372" s="68" t="n"/>
      <c r="AD372" s="53" t="n"/>
      <c r="AE372" s="61">
        <f>SUMIFS([1]инфо!$D$15:$D$28,[1]инфо!$A$15:$A$28,F372)</f>
        <v/>
      </c>
      <c r="AF372" s="62">
        <f>IF(H372=0,0,N372/H372)</f>
        <v/>
      </c>
      <c r="AG372" s="63">
        <f>AF372-AE372</f>
        <v/>
      </c>
      <c r="AH372" s="61">
        <f>SUMIFS([1]инфо!$E$15:$E$28,[1]инфо!$A$15:$A$28,F372)</f>
        <v/>
      </c>
      <c r="AI372" s="64">
        <f>IF(H372=0,0,S372/H372)</f>
        <v/>
      </c>
      <c r="AJ372" s="63">
        <f>AI372-AH372</f>
        <v/>
      </c>
      <c r="AK372" s="61">
        <f>SUMIFS([1]инфо!$F$15:$F$28,[1]инфо!$A$15:$A$28,F372)</f>
        <v/>
      </c>
      <c r="AL372" s="64">
        <f>IF(H372=0,0,Y372/H372)</f>
        <v/>
      </c>
      <c r="AM372" s="63">
        <f>AL372-AK372</f>
        <v/>
      </c>
      <c r="AN372" s="61">
        <f>SUMIFS([1]инфо!$G$15:$G$28,[1]инфо!$A$15:$A$28,F372)</f>
        <v/>
      </c>
      <c r="AO372" s="64">
        <f>IF(H372=0,0,AA372/H372)</f>
        <v/>
      </c>
      <c r="AP372" s="63">
        <f>AO372-AN372</f>
        <v/>
      </c>
      <c r="AQ372" s="61">
        <f>SUMIFS([1]инфо!$H$15:$H$28,[1]инфо!$A$15:$A$28,F372)</f>
        <v/>
      </c>
      <c r="AR372" s="62">
        <f>IF(H371=0,0,AC372/H371)</f>
        <v/>
      </c>
      <c r="AS372" s="63">
        <f>AR372-AQ372</f>
        <v/>
      </c>
      <c r="AT372" s="61">
        <f>SUMIFS([1]инфо!$I$15:$I$28,[1]инфо!$A$15:$A$28,F372)</f>
        <v/>
      </c>
      <c r="AU372" s="62">
        <f>IF(H372=0,0,AD372/H372)</f>
        <v/>
      </c>
      <c r="AV372" s="63">
        <f>AU372-AT372</f>
        <v/>
      </c>
      <c r="AX372" s="59">
        <f>SUMIFS([1]инфо!$C$15:$C$28,[1]инфо!$A$15:$A$28,F372)*H371</f>
        <v/>
      </c>
    </row>
    <row r="373">
      <c r="A373" s="71">
        <f>A371+1</f>
        <v/>
      </c>
      <c r="B373" s="51" t="n"/>
      <c r="C373" s="52" t="n"/>
      <c r="D373" s="53" t="n"/>
      <c r="E373" s="66" t="n"/>
      <c r="F373" s="67" t="n"/>
      <c r="G373" s="58" t="n"/>
      <c r="H373" s="56" t="n"/>
      <c r="I373" s="57">
        <f>IFERROR(H373*VLOOKUP(F373,[1]инфо!$A$15:$C$28,3,FALSE)/1000,0)</f>
        <v/>
      </c>
      <c r="J373" s="55" t="n"/>
      <c r="K373" s="55" t="n"/>
      <c r="L373" s="55" t="n"/>
      <c r="M373" s="55" t="n"/>
      <c r="N373" s="55" t="n"/>
      <c r="O373" s="58" t="n"/>
      <c r="P373" s="58" t="n"/>
      <c r="Q373" s="58" t="n"/>
      <c r="R373" s="58" t="n"/>
      <c r="S373" s="59">
        <f>SUM(O373:R373)</f>
        <v/>
      </c>
      <c r="T373" s="52" t="n"/>
      <c r="U373" s="53" t="n"/>
      <c r="V373" s="58" t="n"/>
      <c r="W373" s="68" t="n"/>
      <c r="X373" s="58" t="n"/>
      <c r="Y373" s="52" t="n"/>
      <c r="Z373" s="58" t="n"/>
      <c r="AA373" s="58" t="n"/>
      <c r="AB373" s="58" t="n"/>
      <c r="AC373" s="68" t="n"/>
      <c r="AD373" s="53" t="n"/>
      <c r="AE373" s="61">
        <f>SUMIFS([1]инфо!$D$15:$D$28,[1]инфо!$A$15:$A$28,F373)</f>
        <v/>
      </c>
      <c r="AF373" s="62">
        <f>IF(H373=0,0,N373/H373)</f>
        <v/>
      </c>
      <c r="AG373" s="63">
        <f>AF373-AE373</f>
        <v/>
      </c>
      <c r="AH373" s="61">
        <f>SUMIFS([1]инфо!$E$15:$E$28,[1]инфо!$A$15:$A$28,F373)</f>
        <v/>
      </c>
      <c r="AI373" s="64">
        <f>IF(H373=0,0,S373/H373)</f>
        <v/>
      </c>
      <c r="AJ373" s="63">
        <f>AI373-AH373</f>
        <v/>
      </c>
      <c r="AK373" s="61">
        <f>SUMIFS([1]инфо!$F$15:$F$28,[1]инфо!$A$15:$A$28,F373)</f>
        <v/>
      </c>
      <c r="AL373" s="64">
        <f>IF(H373=0,0,Y373/H373)</f>
        <v/>
      </c>
      <c r="AM373" s="63">
        <f>AL373-AK373</f>
        <v/>
      </c>
      <c r="AN373" s="61">
        <f>SUMIFS([1]инфо!$G$15:$G$28,[1]инфо!$A$15:$A$28,F373)</f>
        <v/>
      </c>
      <c r="AO373" s="64">
        <f>IF(H373=0,0,AA373/H373)</f>
        <v/>
      </c>
      <c r="AP373" s="63">
        <f>AO373-AN373</f>
        <v/>
      </c>
      <c r="AQ373" s="61">
        <f>SUMIFS([1]инфо!$H$15:$H$28,[1]инфо!$A$15:$A$28,F373)</f>
        <v/>
      </c>
      <c r="AR373" s="62">
        <f>IF(H372=0,0,AC373/H372)</f>
        <v/>
      </c>
      <c r="AS373" s="63">
        <f>AR373-AQ373</f>
        <v/>
      </c>
      <c r="AT373" s="61">
        <f>SUMIFS([1]инфо!$I$15:$I$28,[1]инфо!$A$15:$A$28,F373)</f>
        <v/>
      </c>
      <c r="AU373" s="62">
        <f>IF(H373=0,0,AD373/H373)</f>
        <v/>
      </c>
      <c r="AV373" s="63">
        <f>AU373-AT373</f>
        <v/>
      </c>
      <c r="AX373" s="59">
        <f>SUMIFS([1]инфо!$C$15:$C$28,[1]инфо!$A$15:$A$28,F373)*H372</f>
        <v/>
      </c>
    </row>
    <row r="374">
      <c r="A374" s="71">
        <f>A372+1</f>
        <v/>
      </c>
      <c r="B374" s="51" t="n"/>
      <c r="C374" s="77" t="n"/>
      <c r="D374" s="78" t="n"/>
      <c r="E374" s="66" t="n"/>
      <c r="F374" s="67" t="n"/>
      <c r="G374" s="79" t="n"/>
      <c r="H374" s="67" t="n"/>
      <c r="I374" s="57">
        <f>IFERROR(H374*VLOOKUP(F374,[1]инфо!$A$15:$C$28,3,FALSE)/1000,0)</f>
        <v/>
      </c>
      <c r="J374" s="55" t="n"/>
      <c r="K374" s="55" t="n"/>
      <c r="L374" s="55" t="n"/>
      <c r="M374" s="55" t="n"/>
      <c r="N374" s="56" t="n"/>
      <c r="O374" s="79" t="n"/>
      <c r="P374" s="79" t="n"/>
      <c r="Q374" s="79" t="n"/>
      <c r="R374" s="79" t="n"/>
      <c r="S374" s="80">
        <f>SUM(O374:R374)</f>
        <v/>
      </c>
      <c r="T374" s="77" t="n"/>
      <c r="U374" s="78" t="n"/>
      <c r="V374" s="79" t="n"/>
      <c r="W374" s="68" t="n"/>
      <c r="X374" s="79" t="n"/>
      <c r="Y374" s="77" t="n"/>
      <c r="Z374" s="79" t="n"/>
      <c r="AA374" s="79" t="n"/>
      <c r="AB374" s="79" t="n"/>
      <c r="AC374" s="68" t="n"/>
      <c r="AD374" s="78" t="n"/>
      <c r="AE374" s="81">
        <f>SUMIFS([1]инфо!$D$15:$D$28,[1]инфо!$A$15:$A$28,F374)</f>
        <v/>
      </c>
      <c r="AF374" s="62">
        <f>IF(H374=0,0,N374/H374)</f>
        <v/>
      </c>
      <c r="AG374" s="82">
        <f>AF374-AE374</f>
        <v/>
      </c>
      <c r="AH374" s="81">
        <f>SUMIFS([1]инфо!$E$15:$E$28,[1]инфо!$A$15:$A$28,F374)</f>
        <v/>
      </c>
      <c r="AI374" s="64">
        <f>IF(H374=0,0,S374/H374)</f>
        <v/>
      </c>
      <c r="AJ374" s="82">
        <f>AI374-AH374</f>
        <v/>
      </c>
      <c r="AK374" s="81">
        <f>SUMIFS([1]инфо!$F$15:$F$28,[1]инфо!$A$15:$A$28,F374)</f>
        <v/>
      </c>
      <c r="AL374" s="64">
        <f>IF(H374=0,0,Y374/H374)</f>
        <v/>
      </c>
      <c r="AM374" s="82">
        <f>AL374-AK374</f>
        <v/>
      </c>
      <c r="AN374" s="81">
        <f>SUMIFS([1]инфо!$G$15:$G$28,[1]инфо!$A$15:$A$28,F374)</f>
        <v/>
      </c>
      <c r="AO374" s="64">
        <f>IF(H374=0,0,AA374/H374)</f>
        <v/>
      </c>
      <c r="AP374" s="82">
        <f>AO374-AN374</f>
        <v/>
      </c>
      <c r="AQ374" s="81">
        <f>SUMIFS([1]инфо!$H$15:$H$28,[1]инфо!$A$15:$A$28,F374)</f>
        <v/>
      </c>
      <c r="AR374" s="85">
        <f>IF(H373=0,0,AC374/H373)</f>
        <v/>
      </c>
      <c r="AS374" s="82">
        <f>AR374-AQ374</f>
        <v/>
      </c>
      <c r="AT374" s="81">
        <f>SUMIFS([1]инфо!$I$15:$I$28,[1]инфо!$A$15:$A$28,F374)</f>
        <v/>
      </c>
      <c r="AU374" s="62">
        <f>IF(H374=0,0,AD374/H374)</f>
        <v/>
      </c>
      <c r="AV374" s="82">
        <f>AU374-AT374</f>
        <v/>
      </c>
      <c r="AX374" s="80">
        <f>SUMIFS([1]инфо!$C$15:$C$28,[1]инфо!$A$15:$A$28,F374)*H373</f>
        <v/>
      </c>
    </row>
    <row r="375">
      <c r="A375" s="71">
        <f>A373+1</f>
        <v/>
      </c>
      <c r="B375" s="51" t="n"/>
      <c r="C375" s="72" t="n"/>
      <c r="D375" s="73" t="n"/>
      <c r="E375" s="66" t="n"/>
      <c r="F375" s="67" t="n"/>
      <c r="G375" s="74" t="n"/>
      <c r="H375" s="55" t="n"/>
      <c r="I375" s="57">
        <f>IFERROR(H375*VLOOKUP(F375,[1]инфо!$A$15:$C$28,3,FALSE)/1000,0)</f>
        <v/>
      </c>
      <c r="J375" s="55" t="n"/>
      <c r="K375" s="55" t="n"/>
      <c r="L375" s="55" t="n"/>
      <c r="M375" s="55" t="n"/>
      <c r="N375" s="67" t="n"/>
      <c r="O375" s="74" t="n"/>
      <c r="P375" s="74" t="n"/>
      <c r="Q375" s="74" t="n"/>
      <c r="R375" s="74" t="n"/>
      <c r="S375" s="70">
        <f>SUM(O375:R375)</f>
        <v/>
      </c>
      <c r="T375" s="72" t="n"/>
      <c r="U375" s="73" t="n"/>
      <c r="V375" s="74" t="n"/>
      <c r="W375" s="68" t="n"/>
      <c r="X375" s="74" t="n"/>
      <c r="Y375" s="72" t="n"/>
      <c r="Z375" s="74" t="n"/>
      <c r="AA375" s="74" t="n"/>
      <c r="AB375" s="74" t="n"/>
      <c r="AC375" s="68" t="n"/>
      <c r="AD375" s="73" t="n"/>
      <c r="AE375" s="75">
        <f>SUMIFS([1]инфо!$D$15:$D$28,[1]инфо!$A$15:$A$28,F375)</f>
        <v/>
      </c>
      <c r="AF375" s="62">
        <f>IF(H375=0,0,N375/H375)</f>
        <v/>
      </c>
      <c r="AG375" s="76">
        <f>AF375-AE375</f>
        <v/>
      </c>
      <c r="AH375" s="75">
        <f>SUMIFS([1]инфо!$E$15:$E$28,[1]инфо!$A$15:$A$28,F375)</f>
        <v/>
      </c>
      <c r="AI375" s="64">
        <f>IF(H375=0,0,S375/H375)</f>
        <v/>
      </c>
      <c r="AJ375" s="76">
        <f>AI375-AH375</f>
        <v/>
      </c>
      <c r="AK375" s="75">
        <f>SUMIFS([1]инфо!$F$15:$F$28,[1]инфо!$A$15:$A$28,F375)</f>
        <v/>
      </c>
      <c r="AL375" s="64">
        <f>IF(H375=0,0,Y375/H375)</f>
        <v/>
      </c>
      <c r="AM375" s="76">
        <f>AL375-AK375</f>
        <v/>
      </c>
      <c r="AN375" s="75">
        <f>SUMIFS([1]инфо!$G$15:$G$28,[1]инфо!$A$15:$A$28,F375)</f>
        <v/>
      </c>
      <c r="AO375" s="64">
        <f>IF(H375=0,0,AA375/H375)</f>
        <v/>
      </c>
      <c r="AP375" s="76">
        <f>AO375-AN375</f>
        <v/>
      </c>
      <c r="AQ375" s="75">
        <f>SUMIFS([1]инфо!$H$15:$H$28,[1]инфо!$A$15:$A$28,F375)</f>
        <v/>
      </c>
      <c r="AR375" s="64">
        <f>IF(H374=0,0,AC375/H374)</f>
        <v/>
      </c>
      <c r="AS375" s="76">
        <f>AR375-AQ375</f>
        <v/>
      </c>
      <c r="AT375" s="75">
        <f>SUMIFS([1]инфо!$I$15:$I$28,[1]инфо!$A$15:$A$28,F375)</f>
        <v/>
      </c>
      <c r="AU375" s="62">
        <f>IF(H375=0,0,AD375/H375)</f>
        <v/>
      </c>
      <c r="AV375" s="76">
        <f>AU375-AT375</f>
        <v/>
      </c>
      <c r="AX375" s="70">
        <f>SUMIFS([1]инфо!$C$15:$C$28,[1]инфо!$A$15:$A$28,F375)*H374</f>
        <v/>
      </c>
    </row>
    <row r="376">
      <c r="A376" s="71">
        <f>A374+1</f>
        <v/>
      </c>
      <c r="B376" s="51" t="n"/>
      <c r="C376" s="52" t="n"/>
      <c r="D376" s="53" t="n"/>
      <c r="E376" s="66" t="n"/>
      <c r="F376" s="67" t="n"/>
      <c r="G376" s="58" t="n"/>
      <c r="H376" s="55" t="n"/>
      <c r="I376" s="57">
        <f>IFERROR(H376*VLOOKUP(F376,[1]инфо!$A$15:$C$28,3,FALSE)/1000,0)</f>
        <v/>
      </c>
      <c r="J376" s="55" t="n"/>
      <c r="K376" s="55" t="n"/>
      <c r="L376" s="55" t="n"/>
      <c r="M376" s="55" t="n"/>
      <c r="N376" s="55" t="n"/>
      <c r="O376" s="58" t="n"/>
      <c r="P376" s="58" t="n"/>
      <c r="Q376" s="58" t="n"/>
      <c r="R376" s="58" t="n"/>
      <c r="S376" s="59">
        <f>SUM(O376:R376)</f>
        <v/>
      </c>
      <c r="T376" s="52" t="n"/>
      <c r="U376" s="53" t="n"/>
      <c r="V376" s="58" t="n"/>
      <c r="W376" s="68" t="n"/>
      <c r="X376" s="58" t="n"/>
      <c r="Y376" s="52" t="n"/>
      <c r="Z376" s="58" t="n"/>
      <c r="AA376" s="58" t="n"/>
      <c r="AB376" s="58" t="n"/>
      <c r="AC376" s="68" t="n"/>
      <c r="AD376" s="53" t="n"/>
      <c r="AE376" s="61">
        <f>SUMIFS([1]инфо!$D$15:$D$28,[1]инфо!$A$15:$A$28,F376)</f>
        <v/>
      </c>
      <c r="AF376" s="62">
        <f>IF(H376=0,0,N376/H376)</f>
        <v/>
      </c>
      <c r="AG376" s="63">
        <f>AF376-AE376</f>
        <v/>
      </c>
      <c r="AH376" s="61">
        <f>SUMIFS([1]инфо!$E$15:$E$28,[1]инфо!$A$15:$A$28,F376)</f>
        <v/>
      </c>
      <c r="AI376" s="64">
        <f>IF(H376=0,0,S376/H376)</f>
        <v/>
      </c>
      <c r="AJ376" s="63">
        <f>AI376-AH376</f>
        <v/>
      </c>
      <c r="AK376" s="61">
        <f>SUMIFS([1]инфо!$F$15:$F$28,[1]инфо!$A$15:$A$28,F376)</f>
        <v/>
      </c>
      <c r="AL376" s="64">
        <f>IF(H376=0,0,Y376/H376)</f>
        <v/>
      </c>
      <c r="AM376" s="63">
        <f>AL376-AK376</f>
        <v/>
      </c>
      <c r="AN376" s="61">
        <f>SUMIFS([1]инфо!$G$15:$G$28,[1]инфо!$A$15:$A$28,F376)</f>
        <v/>
      </c>
      <c r="AO376" s="64">
        <f>IF(H376=0,0,AA376/H376)</f>
        <v/>
      </c>
      <c r="AP376" s="63">
        <f>AO376-AN376</f>
        <v/>
      </c>
      <c r="AQ376" s="61">
        <f>SUMIFS([1]инфо!$H$15:$H$28,[1]инфо!$A$15:$A$28,F376)</f>
        <v/>
      </c>
      <c r="AR376" s="62">
        <f>IF(H375=0,0,AC376/H375)</f>
        <v/>
      </c>
      <c r="AS376" s="63">
        <f>AR376-AQ376</f>
        <v/>
      </c>
      <c r="AT376" s="61">
        <f>SUMIFS([1]инфо!$I$15:$I$28,[1]инфо!$A$15:$A$28,F376)</f>
        <v/>
      </c>
      <c r="AU376" s="62">
        <f>IF(H376=0,0,AD376/H376)</f>
        <v/>
      </c>
      <c r="AV376" s="63">
        <f>AU376-AT376</f>
        <v/>
      </c>
      <c r="AX376" s="59">
        <f>SUMIFS([1]инфо!$C$15:$C$28,[1]инфо!$A$15:$A$28,F376)*H375</f>
        <v/>
      </c>
    </row>
    <row r="377">
      <c r="A377" s="71">
        <f>A375+1</f>
        <v/>
      </c>
      <c r="B377" s="51" t="n"/>
      <c r="C377" s="52" t="n"/>
      <c r="D377" s="53" t="n"/>
      <c r="E377" s="66" t="n"/>
      <c r="F377" s="67" t="n"/>
      <c r="G377" s="58" t="n"/>
      <c r="H377" s="56" t="n"/>
      <c r="I377" s="57">
        <f>IFERROR(H377*VLOOKUP(F377,[1]инфо!$A$15:$C$28,3,FALSE)/1000,0)</f>
        <v/>
      </c>
      <c r="J377" s="55" t="n"/>
      <c r="K377" s="55" t="n"/>
      <c r="L377" s="55" t="n"/>
      <c r="M377" s="55" t="n"/>
      <c r="N377" s="55" t="n"/>
      <c r="O377" s="58" t="n"/>
      <c r="P377" s="58" t="n"/>
      <c r="Q377" s="58" t="n"/>
      <c r="R377" s="58" t="n"/>
      <c r="S377" s="59">
        <f>SUM(O377:R377)</f>
        <v/>
      </c>
      <c r="T377" s="52" t="n"/>
      <c r="U377" s="53" t="n"/>
      <c r="V377" s="58" t="n"/>
      <c r="W377" s="68" t="n"/>
      <c r="X377" s="58" t="n"/>
      <c r="Y377" s="52" t="n"/>
      <c r="Z377" s="58" t="n"/>
      <c r="AA377" s="58" t="n"/>
      <c r="AB377" s="58" t="n"/>
      <c r="AC377" s="68" t="n"/>
      <c r="AD377" s="53" t="n"/>
      <c r="AE377" s="61">
        <f>SUMIFS([1]инфо!$D$15:$D$28,[1]инфо!$A$15:$A$28,F377)</f>
        <v/>
      </c>
      <c r="AF377" s="62">
        <f>IF(H377=0,0,N377/H377)</f>
        <v/>
      </c>
      <c r="AG377" s="63">
        <f>AF377-AE377</f>
        <v/>
      </c>
      <c r="AH377" s="61">
        <f>SUMIFS([1]инфо!$E$15:$E$28,[1]инфо!$A$15:$A$28,F377)</f>
        <v/>
      </c>
      <c r="AI377" s="64">
        <f>IF(H377=0,0,S377/H377)</f>
        <v/>
      </c>
      <c r="AJ377" s="63">
        <f>AI377-AH377</f>
        <v/>
      </c>
      <c r="AK377" s="61">
        <f>SUMIFS([1]инфо!$F$15:$F$28,[1]инфо!$A$15:$A$28,F377)</f>
        <v/>
      </c>
      <c r="AL377" s="64">
        <f>IF(H377=0,0,Y377/H377)</f>
        <v/>
      </c>
      <c r="AM377" s="63">
        <f>AL377-AK377</f>
        <v/>
      </c>
      <c r="AN377" s="61">
        <f>SUMIFS([1]инфо!$G$15:$G$28,[1]инфо!$A$15:$A$28,F377)</f>
        <v/>
      </c>
      <c r="AO377" s="64">
        <f>IF(H377=0,0,AA377/H377)</f>
        <v/>
      </c>
      <c r="AP377" s="63">
        <f>AO377-AN377</f>
        <v/>
      </c>
      <c r="AQ377" s="61">
        <f>SUMIFS([1]инфо!$H$15:$H$28,[1]инфо!$A$15:$A$28,F377)</f>
        <v/>
      </c>
      <c r="AR377" s="62">
        <f>IF(H376=0,0,AC377/H376)</f>
        <v/>
      </c>
      <c r="AS377" s="63">
        <f>AR377-AQ377</f>
        <v/>
      </c>
      <c r="AT377" s="61">
        <f>SUMIFS([1]инфо!$I$15:$I$28,[1]инфо!$A$15:$A$28,F377)</f>
        <v/>
      </c>
      <c r="AU377" s="62">
        <f>IF(H377=0,0,AD377/H377)</f>
        <v/>
      </c>
      <c r="AV377" s="63">
        <f>AU377-AT377</f>
        <v/>
      </c>
      <c r="AX377" s="59">
        <f>SUMIFS([1]инфо!$C$15:$C$28,[1]инфо!$A$15:$A$28,F377)*H376</f>
        <v/>
      </c>
    </row>
    <row r="378">
      <c r="A378" s="71">
        <f>A376+1</f>
        <v/>
      </c>
      <c r="B378" s="51" t="n"/>
      <c r="C378" s="77" t="n"/>
      <c r="D378" s="78" t="n"/>
      <c r="E378" s="66" t="n"/>
      <c r="F378" s="67" t="n"/>
      <c r="G378" s="79" t="n"/>
      <c r="H378" s="67" t="n"/>
      <c r="I378" s="57">
        <f>IFERROR(H378*VLOOKUP(F378,[1]инфо!$A$15:$C$28,3,FALSE)/1000,0)</f>
        <v/>
      </c>
      <c r="J378" s="55" t="n"/>
      <c r="K378" s="55" t="n"/>
      <c r="L378" s="55" t="n"/>
      <c r="M378" s="55" t="n"/>
      <c r="N378" s="56" t="n"/>
      <c r="O378" s="79" t="n"/>
      <c r="P378" s="79" t="n"/>
      <c r="Q378" s="79" t="n"/>
      <c r="R378" s="79" t="n"/>
      <c r="S378" s="80">
        <f>SUM(O378:R378)</f>
        <v/>
      </c>
      <c r="T378" s="77" t="n"/>
      <c r="U378" s="78" t="n"/>
      <c r="V378" s="79" t="n"/>
      <c r="W378" s="68" t="n"/>
      <c r="X378" s="79" t="n"/>
      <c r="Y378" s="77" t="n"/>
      <c r="Z378" s="79" t="n"/>
      <c r="AA378" s="79" t="n"/>
      <c r="AB378" s="79" t="n"/>
      <c r="AC378" s="68" t="n"/>
      <c r="AD378" s="78" t="n"/>
      <c r="AE378" s="81">
        <f>SUMIFS([1]инфо!$D$15:$D$28,[1]инфо!$A$15:$A$28,F378)</f>
        <v/>
      </c>
      <c r="AF378" s="62">
        <f>IF(H378=0,0,N378/H378)</f>
        <v/>
      </c>
      <c r="AG378" s="82">
        <f>AF378-AE378</f>
        <v/>
      </c>
      <c r="AH378" s="81">
        <f>SUMIFS([1]инфо!$E$15:$E$28,[1]инфо!$A$15:$A$28,F378)</f>
        <v/>
      </c>
      <c r="AI378" s="64">
        <f>IF(H378=0,0,S378/H378)</f>
        <v/>
      </c>
      <c r="AJ378" s="82">
        <f>AI378-AH378</f>
        <v/>
      </c>
      <c r="AK378" s="81">
        <f>SUMIFS([1]инфо!$F$15:$F$28,[1]инфо!$A$15:$A$28,F378)</f>
        <v/>
      </c>
      <c r="AL378" s="64">
        <f>IF(H378=0,0,Y378/H378)</f>
        <v/>
      </c>
      <c r="AM378" s="82">
        <f>AL378-AK378</f>
        <v/>
      </c>
      <c r="AN378" s="81">
        <f>SUMIFS([1]инфо!$G$15:$G$28,[1]инфо!$A$15:$A$28,F378)</f>
        <v/>
      </c>
      <c r="AO378" s="64">
        <f>IF(H378=0,0,AA378/H378)</f>
        <v/>
      </c>
      <c r="AP378" s="82">
        <f>AO378-AN378</f>
        <v/>
      </c>
      <c r="AQ378" s="81">
        <f>SUMIFS([1]инфо!$H$15:$H$28,[1]инфо!$A$15:$A$28,F378)</f>
        <v/>
      </c>
      <c r="AR378" s="85">
        <f>IF(H377=0,0,AC378/H377)</f>
        <v/>
      </c>
      <c r="AS378" s="82">
        <f>AR378-AQ378</f>
        <v/>
      </c>
      <c r="AT378" s="81">
        <f>SUMIFS([1]инфо!$I$15:$I$28,[1]инфо!$A$15:$A$28,F378)</f>
        <v/>
      </c>
      <c r="AU378" s="62">
        <f>IF(H378=0,0,AD378/H378)</f>
        <v/>
      </c>
      <c r="AV378" s="82">
        <f>AU378-AT378</f>
        <v/>
      </c>
      <c r="AX378" s="80">
        <f>SUMIFS([1]инфо!$C$15:$C$28,[1]инфо!$A$15:$A$28,F378)*H377</f>
        <v/>
      </c>
    </row>
    <row r="379">
      <c r="A379" s="71">
        <f>A377+1</f>
        <v/>
      </c>
      <c r="B379" s="51" t="n"/>
      <c r="C379" s="72" t="n"/>
      <c r="D379" s="73" t="n"/>
      <c r="E379" s="66" t="n"/>
      <c r="F379" s="67" t="n"/>
      <c r="G379" s="74" t="n"/>
      <c r="H379" s="55" t="n"/>
      <c r="I379" s="57">
        <f>IFERROR(H379*VLOOKUP(F379,[1]инфо!$A$15:$C$28,3,FALSE)/1000,0)</f>
        <v/>
      </c>
      <c r="J379" s="55" t="n"/>
      <c r="K379" s="55" t="n"/>
      <c r="L379" s="55" t="n"/>
      <c r="M379" s="55" t="n"/>
      <c r="N379" s="67" t="n"/>
      <c r="O379" s="74" t="n"/>
      <c r="P379" s="74" t="n"/>
      <c r="Q379" s="74" t="n"/>
      <c r="R379" s="74" t="n"/>
      <c r="S379" s="70">
        <f>SUM(O379:R379)</f>
        <v/>
      </c>
      <c r="T379" s="72" t="n"/>
      <c r="U379" s="73" t="n"/>
      <c r="V379" s="74" t="n"/>
      <c r="W379" s="68" t="n"/>
      <c r="X379" s="74" t="n"/>
      <c r="Y379" s="72" t="n"/>
      <c r="Z379" s="74" t="n"/>
      <c r="AA379" s="74" t="n"/>
      <c r="AB379" s="74" t="n"/>
      <c r="AC379" s="68" t="n"/>
      <c r="AD379" s="73" t="n"/>
      <c r="AE379" s="75">
        <f>SUMIFS([1]инфо!$D$15:$D$28,[1]инфо!$A$15:$A$28,F379)</f>
        <v/>
      </c>
      <c r="AF379" s="62">
        <f>IF(H379=0,0,N379/H379)</f>
        <v/>
      </c>
      <c r="AG379" s="76">
        <f>AF379-AE379</f>
        <v/>
      </c>
      <c r="AH379" s="75">
        <f>SUMIFS([1]инфо!$E$15:$E$28,[1]инфо!$A$15:$A$28,F379)</f>
        <v/>
      </c>
      <c r="AI379" s="64">
        <f>IF(H379=0,0,S379/H379)</f>
        <v/>
      </c>
      <c r="AJ379" s="76">
        <f>AI379-AH379</f>
        <v/>
      </c>
      <c r="AK379" s="75">
        <f>SUMIFS([1]инфо!$F$15:$F$28,[1]инфо!$A$15:$A$28,F379)</f>
        <v/>
      </c>
      <c r="AL379" s="64">
        <f>IF(H379=0,0,Y379/H379)</f>
        <v/>
      </c>
      <c r="AM379" s="76">
        <f>AL379-AK379</f>
        <v/>
      </c>
      <c r="AN379" s="75">
        <f>SUMIFS([1]инфо!$G$15:$G$28,[1]инфо!$A$15:$A$28,F379)</f>
        <v/>
      </c>
      <c r="AO379" s="64">
        <f>IF(H379=0,0,AA379/H379)</f>
        <v/>
      </c>
      <c r="AP379" s="76">
        <f>AO379-AN379</f>
        <v/>
      </c>
      <c r="AQ379" s="75">
        <f>SUMIFS([1]инфо!$H$15:$H$28,[1]инфо!$A$15:$A$28,F379)</f>
        <v/>
      </c>
      <c r="AR379" s="64">
        <f>IF(H378=0,0,AC379/H378)</f>
        <v/>
      </c>
      <c r="AS379" s="76">
        <f>AR379-AQ379</f>
        <v/>
      </c>
      <c r="AT379" s="75">
        <f>SUMIFS([1]инфо!$I$15:$I$28,[1]инфо!$A$15:$A$28,F379)</f>
        <v/>
      </c>
      <c r="AU379" s="62">
        <f>IF(H379=0,0,AD379/H379)</f>
        <v/>
      </c>
      <c r="AV379" s="76">
        <f>AU379-AT379</f>
        <v/>
      </c>
      <c r="AX379" s="70">
        <f>SUMIFS([1]инфо!$C$15:$C$28,[1]инфо!$A$15:$A$28,F379)*H378</f>
        <v/>
      </c>
    </row>
    <row r="380">
      <c r="A380" s="71">
        <f>A378+1</f>
        <v/>
      </c>
      <c r="B380" s="51" t="n"/>
      <c r="C380" s="52" t="n"/>
      <c r="D380" s="53" t="n"/>
      <c r="E380" s="66" t="n"/>
      <c r="F380" s="67" t="n"/>
      <c r="G380" s="58" t="n"/>
      <c r="H380" s="55" t="n"/>
      <c r="I380" s="57">
        <f>IFERROR(H380*VLOOKUP(F380,[1]инфо!$A$15:$C$28,3,FALSE)/1000,0)</f>
        <v/>
      </c>
      <c r="J380" s="55" t="n"/>
      <c r="K380" s="55" t="n"/>
      <c r="L380" s="55" t="n"/>
      <c r="M380" s="55" t="n"/>
      <c r="N380" s="55" t="n"/>
      <c r="O380" s="58" t="n"/>
      <c r="P380" s="58" t="n"/>
      <c r="Q380" s="58" t="n"/>
      <c r="R380" s="58" t="n"/>
      <c r="S380" s="59">
        <f>SUM(O380:R380)</f>
        <v/>
      </c>
      <c r="T380" s="52" t="n"/>
      <c r="U380" s="53" t="n"/>
      <c r="V380" s="58" t="n"/>
      <c r="W380" s="68" t="n"/>
      <c r="X380" s="58" t="n"/>
      <c r="Y380" s="52" t="n"/>
      <c r="Z380" s="58" t="n"/>
      <c r="AA380" s="58" t="n"/>
      <c r="AB380" s="58" t="n"/>
      <c r="AC380" s="68" t="n"/>
      <c r="AD380" s="53" t="n"/>
      <c r="AE380" s="61">
        <f>SUMIFS([1]инфо!$D$15:$D$28,[1]инфо!$A$15:$A$28,F380)</f>
        <v/>
      </c>
      <c r="AF380" s="62">
        <f>IF(H380=0,0,N380/H380)</f>
        <v/>
      </c>
      <c r="AG380" s="63">
        <f>AF380-AE380</f>
        <v/>
      </c>
      <c r="AH380" s="61">
        <f>SUMIFS([1]инфо!$E$15:$E$28,[1]инфо!$A$15:$A$28,F380)</f>
        <v/>
      </c>
      <c r="AI380" s="64">
        <f>IF(H380=0,0,S380/H380)</f>
        <v/>
      </c>
      <c r="AJ380" s="63">
        <f>AI380-AH380</f>
        <v/>
      </c>
      <c r="AK380" s="61">
        <f>SUMIFS([1]инфо!$F$15:$F$28,[1]инфо!$A$15:$A$28,F380)</f>
        <v/>
      </c>
      <c r="AL380" s="64">
        <f>IF(H380=0,0,Y380/H380)</f>
        <v/>
      </c>
      <c r="AM380" s="63">
        <f>AL380-AK380</f>
        <v/>
      </c>
      <c r="AN380" s="61">
        <f>SUMIFS([1]инфо!$G$15:$G$28,[1]инфо!$A$15:$A$28,F380)</f>
        <v/>
      </c>
      <c r="AO380" s="64">
        <f>IF(H380=0,0,AA380/H380)</f>
        <v/>
      </c>
      <c r="AP380" s="63">
        <f>AO380-AN380</f>
        <v/>
      </c>
      <c r="AQ380" s="61">
        <f>SUMIFS([1]инфо!$H$15:$H$28,[1]инфо!$A$15:$A$28,F380)</f>
        <v/>
      </c>
      <c r="AR380" s="62">
        <f>IF(H379=0,0,AC380/H379)</f>
        <v/>
      </c>
      <c r="AS380" s="63">
        <f>AR380-AQ380</f>
        <v/>
      </c>
      <c r="AT380" s="61">
        <f>SUMIFS([1]инфо!$I$15:$I$28,[1]инфо!$A$15:$A$28,F380)</f>
        <v/>
      </c>
      <c r="AU380" s="62">
        <f>IF(H380=0,0,AD380/H380)</f>
        <v/>
      </c>
      <c r="AV380" s="63">
        <f>AU380-AT380</f>
        <v/>
      </c>
      <c r="AX380" s="59">
        <f>SUMIFS([1]инфо!$C$15:$C$28,[1]инфо!$A$15:$A$28,F380)*H379</f>
        <v/>
      </c>
    </row>
    <row r="381">
      <c r="A381" s="71">
        <f>A379+1</f>
        <v/>
      </c>
      <c r="B381" s="51" t="n"/>
      <c r="C381" s="52" t="n"/>
      <c r="D381" s="53" t="n"/>
      <c r="E381" s="66" t="n"/>
      <c r="F381" s="67" t="n"/>
      <c r="G381" s="58" t="n"/>
      <c r="H381" s="56" t="n"/>
      <c r="I381" s="57">
        <f>IFERROR(H381*VLOOKUP(F381,[1]инфо!$A$15:$C$28,3,FALSE)/1000,0)</f>
        <v/>
      </c>
      <c r="J381" s="55" t="n"/>
      <c r="K381" s="55" t="n"/>
      <c r="L381" s="55" t="n"/>
      <c r="M381" s="55" t="n"/>
      <c r="N381" s="55" t="n"/>
      <c r="O381" s="58" t="n"/>
      <c r="P381" s="58" t="n"/>
      <c r="Q381" s="58" t="n"/>
      <c r="R381" s="58" t="n"/>
      <c r="S381" s="59">
        <f>SUM(O381:R381)</f>
        <v/>
      </c>
      <c r="T381" s="52" t="n"/>
      <c r="U381" s="53" t="n"/>
      <c r="V381" s="58" t="n"/>
      <c r="W381" s="68" t="n"/>
      <c r="X381" s="58" t="n"/>
      <c r="Y381" s="52" t="n"/>
      <c r="Z381" s="58" t="n"/>
      <c r="AA381" s="58" t="n"/>
      <c r="AB381" s="58" t="n"/>
      <c r="AC381" s="68" t="n"/>
      <c r="AD381" s="53" t="n"/>
      <c r="AE381" s="61">
        <f>SUMIFS([1]инфо!$D$15:$D$28,[1]инфо!$A$15:$A$28,F381)</f>
        <v/>
      </c>
      <c r="AF381" s="62">
        <f>IF(H381=0,0,N381/H381)</f>
        <v/>
      </c>
      <c r="AG381" s="63">
        <f>AF381-AE381</f>
        <v/>
      </c>
      <c r="AH381" s="61">
        <f>SUMIFS([1]инфо!$E$15:$E$28,[1]инфо!$A$15:$A$28,F381)</f>
        <v/>
      </c>
      <c r="AI381" s="64">
        <f>IF(H381=0,0,S381/H381)</f>
        <v/>
      </c>
      <c r="AJ381" s="63">
        <f>AI381-AH381</f>
        <v/>
      </c>
      <c r="AK381" s="61">
        <f>SUMIFS([1]инфо!$F$15:$F$28,[1]инфо!$A$15:$A$28,F381)</f>
        <v/>
      </c>
      <c r="AL381" s="64">
        <f>IF(H381=0,0,Y381/H381)</f>
        <v/>
      </c>
      <c r="AM381" s="63">
        <f>AL381-AK381</f>
        <v/>
      </c>
      <c r="AN381" s="61">
        <f>SUMIFS([1]инфо!$G$15:$G$28,[1]инфо!$A$15:$A$28,F381)</f>
        <v/>
      </c>
      <c r="AO381" s="64">
        <f>IF(H381=0,0,AA381/H381)</f>
        <v/>
      </c>
      <c r="AP381" s="63">
        <f>AO381-AN381</f>
        <v/>
      </c>
      <c r="AQ381" s="61">
        <f>SUMIFS([1]инфо!$H$15:$H$28,[1]инфо!$A$15:$A$28,F381)</f>
        <v/>
      </c>
      <c r="AR381" s="62">
        <f>IF(H380=0,0,AC381/H380)</f>
        <v/>
      </c>
      <c r="AS381" s="63">
        <f>AR381-AQ381</f>
        <v/>
      </c>
      <c r="AT381" s="61">
        <f>SUMIFS([1]инфо!$I$15:$I$28,[1]инфо!$A$15:$A$28,F381)</f>
        <v/>
      </c>
      <c r="AU381" s="62">
        <f>IF(H381=0,0,AD381/H381)</f>
        <v/>
      </c>
      <c r="AV381" s="63">
        <f>AU381-AT381</f>
        <v/>
      </c>
      <c r="AX381" s="59">
        <f>SUMIFS([1]инфо!$C$15:$C$28,[1]инфо!$A$15:$A$28,F381)*H380</f>
        <v/>
      </c>
    </row>
    <row r="382">
      <c r="A382" s="71">
        <f>A380+1</f>
        <v/>
      </c>
      <c r="B382" s="51" t="n"/>
      <c r="C382" s="77" t="n"/>
      <c r="D382" s="78" t="n"/>
      <c r="E382" s="66" t="n"/>
      <c r="F382" s="67" t="n"/>
      <c r="G382" s="79" t="n"/>
      <c r="H382" s="67" t="n"/>
      <c r="I382" s="57">
        <f>IFERROR(H382*VLOOKUP(F382,[1]инфо!$A$15:$C$28,3,FALSE)/1000,0)</f>
        <v/>
      </c>
      <c r="J382" s="55" t="n"/>
      <c r="K382" s="55" t="n"/>
      <c r="L382" s="55" t="n"/>
      <c r="M382" s="55" t="n"/>
      <c r="N382" s="56" t="n"/>
      <c r="O382" s="79" t="n"/>
      <c r="P382" s="79" t="n"/>
      <c r="Q382" s="79" t="n"/>
      <c r="R382" s="79" t="n"/>
      <c r="S382" s="80">
        <f>SUM(O382:R382)</f>
        <v/>
      </c>
      <c r="T382" s="77" t="n"/>
      <c r="U382" s="78" t="n"/>
      <c r="V382" s="79" t="n"/>
      <c r="W382" s="68" t="n"/>
      <c r="X382" s="79" t="n"/>
      <c r="Y382" s="77" t="n"/>
      <c r="Z382" s="79" t="n"/>
      <c r="AA382" s="79" t="n"/>
      <c r="AB382" s="79" t="n"/>
      <c r="AC382" s="68" t="n"/>
      <c r="AD382" s="78" t="n"/>
      <c r="AE382" s="81">
        <f>SUMIFS([1]инфо!$D$15:$D$28,[1]инфо!$A$15:$A$28,F382)</f>
        <v/>
      </c>
      <c r="AF382" s="62">
        <f>IF(H382=0,0,N382/H382)</f>
        <v/>
      </c>
      <c r="AG382" s="82">
        <f>AF382-AE382</f>
        <v/>
      </c>
      <c r="AH382" s="81">
        <f>SUMIFS([1]инфо!$E$15:$E$28,[1]инфо!$A$15:$A$28,F382)</f>
        <v/>
      </c>
      <c r="AI382" s="64">
        <f>IF(H382=0,0,S382/H382)</f>
        <v/>
      </c>
      <c r="AJ382" s="82">
        <f>AI382-AH382</f>
        <v/>
      </c>
      <c r="AK382" s="81">
        <f>SUMIFS([1]инфо!$F$15:$F$28,[1]инфо!$A$15:$A$28,F382)</f>
        <v/>
      </c>
      <c r="AL382" s="64">
        <f>IF(H382=0,0,Y382/H382)</f>
        <v/>
      </c>
      <c r="AM382" s="82">
        <f>AL382-AK382</f>
        <v/>
      </c>
      <c r="AN382" s="81">
        <f>SUMIFS([1]инфо!$G$15:$G$28,[1]инфо!$A$15:$A$28,F382)</f>
        <v/>
      </c>
      <c r="AO382" s="64">
        <f>IF(H382=0,0,AA382/H382)</f>
        <v/>
      </c>
      <c r="AP382" s="82">
        <f>AO382-AN382</f>
        <v/>
      </c>
      <c r="AQ382" s="81">
        <f>SUMIFS([1]инфо!$H$15:$H$28,[1]инфо!$A$15:$A$28,F382)</f>
        <v/>
      </c>
      <c r="AR382" s="85">
        <f>IF(H381=0,0,AC382/H381)</f>
        <v/>
      </c>
      <c r="AS382" s="82">
        <f>AR382-AQ382</f>
        <v/>
      </c>
      <c r="AT382" s="81">
        <f>SUMIFS([1]инфо!$I$15:$I$28,[1]инфо!$A$15:$A$28,F382)</f>
        <v/>
      </c>
      <c r="AU382" s="62">
        <f>IF(H382=0,0,AD382/H382)</f>
        <v/>
      </c>
      <c r="AV382" s="82">
        <f>AU382-AT382</f>
        <v/>
      </c>
      <c r="AX382" s="80">
        <f>SUMIFS([1]инфо!$C$15:$C$28,[1]инфо!$A$15:$A$28,F382)*H381</f>
        <v/>
      </c>
    </row>
    <row r="383">
      <c r="A383" s="71">
        <f>A381+1</f>
        <v/>
      </c>
      <c r="B383" s="51" t="n"/>
      <c r="C383" s="72" t="n"/>
      <c r="D383" s="73" t="n"/>
      <c r="E383" s="66" t="n"/>
      <c r="F383" s="67" t="n"/>
      <c r="G383" s="74" t="n"/>
      <c r="H383" s="55" t="n"/>
      <c r="I383" s="57">
        <f>IFERROR(H383*VLOOKUP(F383,[1]инфо!$A$15:$C$28,3,FALSE)/1000,0)</f>
        <v/>
      </c>
      <c r="J383" s="55" t="n"/>
      <c r="K383" s="55" t="n"/>
      <c r="L383" s="55" t="n"/>
      <c r="M383" s="55" t="n"/>
      <c r="N383" s="67" t="n"/>
      <c r="O383" s="74" t="n"/>
      <c r="P383" s="74" t="n"/>
      <c r="Q383" s="74" t="n"/>
      <c r="R383" s="74" t="n"/>
      <c r="S383" s="70">
        <f>SUM(O383:R383)</f>
        <v/>
      </c>
      <c r="T383" s="72" t="n"/>
      <c r="U383" s="73" t="n"/>
      <c r="V383" s="74" t="n"/>
      <c r="W383" s="68" t="n"/>
      <c r="X383" s="74" t="n"/>
      <c r="Y383" s="72" t="n"/>
      <c r="Z383" s="74" t="n"/>
      <c r="AA383" s="74" t="n"/>
      <c r="AB383" s="74" t="n"/>
      <c r="AC383" s="68" t="n"/>
      <c r="AD383" s="73" t="n"/>
      <c r="AE383" s="75">
        <f>SUMIFS([1]инфо!$D$15:$D$28,[1]инфо!$A$15:$A$28,F383)</f>
        <v/>
      </c>
      <c r="AF383" s="62">
        <f>IF(H383=0,0,N383/H383)</f>
        <v/>
      </c>
      <c r="AG383" s="76">
        <f>AF383-AE383</f>
        <v/>
      </c>
      <c r="AH383" s="75">
        <f>SUMIFS([1]инфо!$E$15:$E$28,[1]инфо!$A$15:$A$28,F383)</f>
        <v/>
      </c>
      <c r="AI383" s="64">
        <f>IF(H383=0,0,S383/H383)</f>
        <v/>
      </c>
      <c r="AJ383" s="76">
        <f>AI383-AH383</f>
        <v/>
      </c>
      <c r="AK383" s="75">
        <f>SUMIFS([1]инфо!$F$15:$F$28,[1]инфо!$A$15:$A$28,F383)</f>
        <v/>
      </c>
      <c r="AL383" s="64">
        <f>IF(H383=0,0,Y383/H383)</f>
        <v/>
      </c>
      <c r="AM383" s="76">
        <f>AL383-AK383</f>
        <v/>
      </c>
      <c r="AN383" s="75">
        <f>SUMIFS([1]инфо!$G$15:$G$28,[1]инфо!$A$15:$A$28,F383)</f>
        <v/>
      </c>
      <c r="AO383" s="64">
        <f>IF(H383=0,0,AA383/H383)</f>
        <v/>
      </c>
      <c r="AP383" s="76">
        <f>AO383-AN383</f>
        <v/>
      </c>
      <c r="AQ383" s="75">
        <f>SUMIFS([1]инфо!$H$15:$H$28,[1]инфо!$A$15:$A$28,F383)</f>
        <v/>
      </c>
      <c r="AR383" s="64">
        <f>IF(H382=0,0,AC383/H382)</f>
        <v/>
      </c>
      <c r="AS383" s="76">
        <f>AR383-AQ383</f>
        <v/>
      </c>
      <c r="AT383" s="75">
        <f>SUMIFS([1]инфо!$I$15:$I$28,[1]инфо!$A$15:$A$28,F383)</f>
        <v/>
      </c>
      <c r="AU383" s="62">
        <f>IF(H383=0,0,AD383/H383)</f>
        <v/>
      </c>
      <c r="AV383" s="76">
        <f>AU383-AT383</f>
        <v/>
      </c>
      <c r="AX383" s="70">
        <f>SUMIFS([1]инфо!$C$15:$C$28,[1]инфо!$A$15:$A$28,F383)*H382</f>
        <v/>
      </c>
    </row>
    <row r="384">
      <c r="A384" s="71">
        <f>A382+1</f>
        <v/>
      </c>
      <c r="B384" s="51" t="n"/>
      <c r="C384" s="52" t="n"/>
      <c r="D384" s="53" t="n"/>
      <c r="E384" s="66" t="n"/>
      <c r="F384" s="67" t="n"/>
      <c r="G384" s="58" t="n"/>
      <c r="H384" s="55" t="n"/>
      <c r="I384" s="57">
        <f>IFERROR(H384*VLOOKUP(F384,[1]инфо!$A$15:$C$28,3,FALSE)/1000,0)</f>
        <v/>
      </c>
      <c r="J384" s="55" t="n"/>
      <c r="K384" s="55" t="n"/>
      <c r="L384" s="55" t="n"/>
      <c r="M384" s="55" t="n"/>
      <c r="N384" s="55" t="n"/>
      <c r="O384" s="58" t="n"/>
      <c r="P384" s="58" t="n"/>
      <c r="Q384" s="58" t="n"/>
      <c r="R384" s="58" t="n"/>
      <c r="S384" s="59">
        <f>SUM(O384:R384)</f>
        <v/>
      </c>
      <c r="T384" s="52" t="n"/>
      <c r="U384" s="53" t="n"/>
      <c r="V384" s="58" t="n"/>
      <c r="W384" s="68" t="n"/>
      <c r="X384" s="58" t="n"/>
      <c r="Y384" s="52" t="n"/>
      <c r="Z384" s="58" t="n"/>
      <c r="AA384" s="58" t="n"/>
      <c r="AB384" s="58" t="n"/>
      <c r="AC384" s="68" t="n"/>
      <c r="AD384" s="53" t="n"/>
      <c r="AE384" s="61">
        <f>SUMIFS([1]инфо!$D$15:$D$28,[1]инфо!$A$15:$A$28,F384)</f>
        <v/>
      </c>
      <c r="AF384" s="62">
        <f>IF(H384=0,0,N384/H384)</f>
        <v/>
      </c>
      <c r="AG384" s="63">
        <f>AF384-AE384</f>
        <v/>
      </c>
      <c r="AH384" s="61">
        <f>SUMIFS([1]инфо!$E$15:$E$28,[1]инфо!$A$15:$A$28,F384)</f>
        <v/>
      </c>
      <c r="AI384" s="64">
        <f>IF(H384=0,0,S384/H384)</f>
        <v/>
      </c>
      <c r="AJ384" s="63">
        <f>AI384-AH384</f>
        <v/>
      </c>
      <c r="AK384" s="61">
        <f>SUMIFS([1]инфо!$F$15:$F$28,[1]инфо!$A$15:$A$28,F384)</f>
        <v/>
      </c>
      <c r="AL384" s="64">
        <f>IF(H384=0,0,Y384/H384)</f>
        <v/>
      </c>
      <c r="AM384" s="63">
        <f>AL384-AK384</f>
        <v/>
      </c>
      <c r="AN384" s="61">
        <f>SUMIFS([1]инфо!$G$15:$G$28,[1]инфо!$A$15:$A$28,F384)</f>
        <v/>
      </c>
      <c r="AO384" s="64">
        <f>IF(H384=0,0,AA384/H384)</f>
        <v/>
      </c>
      <c r="AP384" s="63">
        <f>AO384-AN384</f>
        <v/>
      </c>
      <c r="AQ384" s="61">
        <f>SUMIFS([1]инфо!$H$15:$H$28,[1]инфо!$A$15:$A$28,F384)</f>
        <v/>
      </c>
      <c r="AR384" s="62">
        <f>IF(H383=0,0,AC384/H383)</f>
        <v/>
      </c>
      <c r="AS384" s="63">
        <f>AR384-AQ384</f>
        <v/>
      </c>
      <c r="AT384" s="61">
        <f>SUMIFS([1]инфо!$I$15:$I$28,[1]инфо!$A$15:$A$28,F384)</f>
        <v/>
      </c>
      <c r="AU384" s="62">
        <f>IF(H384=0,0,AD384/H384)</f>
        <v/>
      </c>
      <c r="AV384" s="63">
        <f>AU384-AT384</f>
        <v/>
      </c>
      <c r="AX384" s="59">
        <f>SUMIFS([1]инфо!$C$15:$C$28,[1]инфо!$A$15:$A$28,F384)*H383</f>
        <v/>
      </c>
    </row>
    <row r="385">
      <c r="A385" s="71">
        <f>A383+1</f>
        <v/>
      </c>
      <c r="B385" s="51" t="n"/>
      <c r="C385" s="52" t="n"/>
      <c r="D385" s="53" t="n"/>
      <c r="E385" s="66" t="n"/>
      <c r="F385" s="67" t="n"/>
      <c r="G385" s="58" t="n"/>
      <c r="H385" s="56" t="n"/>
      <c r="I385" s="57">
        <f>IFERROR(H385*VLOOKUP(F385,[1]инфо!$A$15:$C$28,3,FALSE)/1000,0)</f>
        <v/>
      </c>
      <c r="J385" s="55" t="n"/>
      <c r="K385" s="55" t="n"/>
      <c r="L385" s="55" t="n"/>
      <c r="M385" s="55" t="n"/>
      <c r="N385" s="55" t="n"/>
      <c r="O385" s="58" t="n"/>
      <c r="P385" s="58" t="n"/>
      <c r="Q385" s="58" t="n"/>
      <c r="R385" s="58" t="n"/>
      <c r="S385" s="59">
        <f>SUM(O385:R385)</f>
        <v/>
      </c>
      <c r="T385" s="52" t="n"/>
      <c r="U385" s="53" t="n"/>
      <c r="V385" s="58" t="n"/>
      <c r="W385" s="68" t="n"/>
      <c r="X385" s="58" t="n"/>
      <c r="Y385" s="52" t="n"/>
      <c r="Z385" s="58" t="n"/>
      <c r="AA385" s="58" t="n"/>
      <c r="AB385" s="58" t="n"/>
      <c r="AC385" s="68" t="n"/>
      <c r="AD385" s="53" t="n"/>
      <c r="AE385" s="61">
        <f>SUMIFS([1]инфо!$D$15:$D$28,[1]инфо!$A$15:$A$28,F385)</f>
        <v/>
      </c>
      <c r="AF385" s="62">
        <f>IF(H385=0,0,N385/H385)</f>
        <v/>
      </c>
      <c r="AG385" s="63">
        <f>AF385-AE385</f>
        <v/>
      </c>
      <c r="AH385" s="61">
        <f>SUMIFS([1]инфо!$E$15:$E$28,[1]инфо!$A$15:$A$28,F385)</f>
        <v/>
      </c>
      <c r="AI385" s="64">
        <f>IF(H385=0,0,S385/H385)</f>
        <v/>
      </c>
      <c r="AJ385" s="63">
        <f>AI385-AH385</f>
        <v/>
      </c>
      <c r="AK385" s="61">
        <f>SUMIFS([1]инфо!$F$15:$F$28,[1]инфо!$A$15:$A$28,F385)</f>
        <v/>
      </c>
      <c r="AL385" s="64">
        <f>IF(H385=0,0,Y385/H385)</f>
        <v/>
      </c>
      <c r="AM385" s="63">
        <f>AL385-AK385</f>
        <v/>
      </c>
      <c r="AN385" s="61">
        <f>SUMIFS([1]инфо!$G$15:$G$28,[1]инфо!$A$15:$A$28,F385)</f>
        <v/>
      </c>
      <c r="AO385" s="64">
        <f>IF(H385=0,0,AA385/H385)</f>
        <v/>
      </c>
      <c r="AP385" s="63">
        <f>AO385-AN385</f>
        <v/>
      </c>
      <c r="AQ385" s="61">
        <f>SUMIFS([1]инфо!$H$15:$H$28,[1]инфо!$A$15:$A$28,F385)</f>
        <v/>
      </c>
      <c r="AR385" s="62">
        <f>IF(H384=0,0,AC385/H384)</f>
        <v/>
      </c>
      <c r="AS385" s="63">
        <f>AR385-AQ385</f>
        <v/>
      </c>
      <c r="AT385" s="61">
        <f>SUMIFS([1]инфо!$I$15:$I$28,[1]инфо!$A$15:$A$28,F385)</f>
        <v/>
      </c>
      <c r="AU385" s="62">
        <f>IF(H385=0,0,AD385/H385)</f>
        <v/>
      </c>
      <c r="AV385" s="63">
        <f>AU385-AT385</f>
        <v/>
      </c>
      <c r="AX385" s="59">
        <f>SUMIFS([1]инфо!$C$15:$C$28,[1]инфо!$A$15:$A$28,F385)*H384</f>
        <v/>
      </c>
    </row>
    <row r="386">
      <c r="A386" s="71">
        <f>A384+1</f>
        <v/>
      </c>
      <c r="B386" s="51" t="n"/>
      <c r="C386" s="77" t="n"/>
      <c r="D386" s="78" t="n"/>
      <c r="E386" s="66" t="n"/>
      <c r="F386" s="67" t="n"/>
      <c r="G386" s="79" t="n"/>
      <c r="H386" s="67" t="n"/>
      <c r="I386" s="57">
        <f>IFERROR(H386*VLOOKUP(F386,[1]инфо!$A$15:$C$28,3,FALSE)/1000,0)</f>
        <v/>
      </c>
      <c r="J386" s="55" t="n"/>
      <c r="K386" s="55" t="n"/>
      <c r="L386" s="55" t="n"/>
      <c r="M386" s="55" t="n"/>
      <c r="N386" s="56" t="n"/>
      <c r="O386" s="79" t="n"/>
      <c r="P386" s="79" t="n"/>
      <c r="Q386" s="79" t="n"/>
      <c r="R386" s="79" t="n"/>
      <c r="S386" s="80">
        <f>SUM(O386:R386)</f>
        <v/>
      </c>
      <c r="T386" s="77" t="n"/>
      <c r="U386" s="78" t="n"/>
      <c r="V386" s="79" t="n"/>
      <c r="W386" s="68" t="n"/>
      <c r="X386" s="79" t="n"/>
      <c r="Y386" s="77" t="n"/>
      <c r="Z386" s="79" t="n"/>
      <c r="AA386" s="79" t="n"/>
      <c r="AB386" s="79" t="n"/>
      <c r="AC386" s="68" t="n"/>
      <c r="AD386" s="78" t="n"/>
      <c r="AE386" s="81">
        <f>SUMIFS([1]инфо!$D$15:$D$28,[1]инфо!$A$15:$A$28,F386)</f>
        <v/>
      </c>
      <c r="AF386" s="62">
        <f>IF(H386=0,0,N386/H386)</f>
        <v/>
      </c>
      <c r="AG386" s="82">
        <f>AF386-AE386</f>
        <v/>
      </c>
      <c r="AH386" s="81">
        <f>SUMIFS([1]инфо!$E$15:$E$28,[1]инфо!$A$15:$A$28,F386)</f>
        <v/>
      </c>
      <c r="AI386" s="64">
        <f>IF(H386=0,0,S386/H386)</f>
        <v/>
      </c>
      <c r="AJ386" s="82">
        <f>AI386-AH386</f>
        <v/>
      </c>
      <c r="AK386" s="81">
        <f>SUMIFS([1]инфо!$F$15:$F$28,[1]инфо!$A$15:$A$28,F386)</f>
        <v/>
      </c>
      <c r="AL386" s="64">
        <f>IF(H386=0,0,Y386/H386)</f>
        <v/>
      </c>
      <c r="AM386" s="82">
        <f>AL386-AK386</f>
        <v/>
      </c>
      <c r="AN386" s="81">
        <f>SUMIFS([1]инфо!$G$15:$G$28,[1]инфо!$A$15:$A$28,F386)</f>
        <v/>
      </c>
      <c r="AO386" s="64">
        <f>IF(H386=0,0,AA386/H386)</f>
        <v/>
      </c>
      <c r="AP386" s="82">
        <f>AO386-AN386</f>
        <v/>
      </c>
      <c r="AQ386" s="81">
        <f>SUMIFS([1]инфо!$H$15:$H$28,[1]инфо!$A$15:$A$28,F386)</f>
        <v/>
      </c>
      <c r="AR386" s="85">
        <f>IF(H385=0,0,AC386/H385)</f>
        <v/>
      </c>
      <c r="AS386" s="82">
        <f>AR386-AQ386</f>
        <v/>
      </c>
      <c r="AT386" s="81">
        <f>SUMIFS([1]инфо!$I$15:$I$28,[1]инфо!$A$15:$A$28,F386)</f>
        <v/>
      </c>
      <c r="AU386" s="62">
        <f>IF(H386=0,0,AD386/H386)</f>
        <v/>
      </c>
      <c r="AV386" s="82">
        <f>AU386-AT386</f>
        <v/>
      </c>
      <c r="AX386" s="80">
        <f>SUMIFS([1]инфо!$C$15:$C$28,[1]инфо!$A$15:$A$28,F386)*H385</f>
        <v/>
      </c>
    </row>
    <row r="387">
      <c r="A387" s="71">
        <f>A385+1</f>
        <v/>
      </c>
      <c r="B387" s="51" t="n"/>
      <c r="C387" s="72" t="n"/>
      <c r="D387" s="73" t="n"/>
      <c r="E387" s="66" t="n"/>
      <c r="F387" s="67" t="n"/>
      <c r="G387" s="74" t="n"/>
      <c r="H387" s="55" t="n"/>
      <c r="I387" s="57">
        <f>IFERROR(H387*VLOOKUP(F387,[1]инфо!$A$15:$C$28,3,FALSE)/1000,0)</f>
        <v/>
      </c>
      <c r="J387" s="55" t="n"/>
      <c r="K387" s="55" t="n"/>
      <c r="L387" s="55" t="n"/>
      <c r="M387" s="55" t="n"/>
      <c r="N387" s="67" t="n"/>
      <c r="O387" s="74" t="n"/>
      <c r="P387" s="74" t="n"/>
      <c r="Q387" s="74" t="n"/>
      <c r="R387" s="74" t="n"/>
      <c r="S387" s="70">
        <f>SUM(O387:R387)</f>
        <v/>
      </c>
      <c r="T387" s="72" t="n"/>
      <c r="U387" s="73" t="n"/>
      <c r="V387" s="74" t="n"/>
      <c r="W387" s="68" t="n"/>
      <c r="X387" s="74" t="n"/>
      <c r="Y387" s="72" t="n"/>
      <c r="Z387" s="74" t="n"/>
      <c r="AA387" s="74" t="n"/>
      <c r="AB387" s="74" t="n"/>
      <c r="AC387" s="68" t="n"/>
      <c r="AD387" s="73" t="n"/>
      <c r="AE387" s="75">
        <f>SUMIFS([1]инфо!$D$15:$D$28,[1]инфо!$A$15:$A$28,F387)</f>
        <v/>
      </c>
      <c r="AF387" s="62">
        <f>IF(H387=0,0,N387/H387)</f>
        <v/>
      </c>
      <c r="AG387" s="76">
        <f>AF387-AE387</f>
        <v/>
      </c>
      <c r="AH387" s="75">
        <f>SUMIFS([1]инфо!$E$15:$E$28,[1]инфо!$A$15:$A$28,F387)</f>
        <v/>
      </c>
      <c r="AI387" s="64">
        <f>IF(H387=0,0,S387/H387)</f>
        <v/>
      </c>
      <c r="AJ387" s="76">
        <f>AI387-AH387</f>
        <v/>
      </c>
      <c r="AK387" s="75">
        <f>SUMIFS([1]инфо!$F$15:$F$28,[1]инфо!$A$15:$A$28,F387)</f>
        <v/>
      </c>
      <c r="AL387" s="64">
        <f>IF(H387=0,0,Y387/H387)</f>
        <v/>
      </c>
      <c r="AM387" s="76">
        <f>AL387-AK387</f>
        <v/>
      </c>
      <c r="AN387" s="75">
        <f>SUMIFS([1]инфо!$G$15:$G$28,[1]инфо!$A$15:$A$28,F387)</f>
        <v/>
      </c>
      <c r="AO387" s="64">
        <f>IF(H387=0,0,AA387/H387)</f>
        <v/>
      </c>
      <c r="AP387" s="76">
        <f>AO387-AN387</f>
        <v/>
      </c>
      <c r="AQ387" s="75">
        <f>SUMIFS([1]инфо!$H$15:$H$28,[1]инфо!$A$15:$A$28,F387)</f>
        <v/>
      </c>
      <c r="AR387" s="64">
        <f>IF(H386=0,0,AC387/H386)</f>
        <v/>
      </c>
      <c r="AS387" s="76">
        <f>AR387-AQ387</f>
        <v/>
      </c>
      <c r="AT387" s="75">
        <f>SUMIFS([1]инфо!$I$15:$I$28,[1]инфо!$A$15:$A$28,F387)</f>
        <v/>
      </c>
      <c r="AU387" s="62">
        <f>IF(H387=0,0,AD387/H387)</f>
        <v/>
      </c>
      <c r="AV387" s="76">
        <f>AU387-AT387</f>
        <v/>
      </c>
      <c r="AX387" s="70">
        <f>SUMIFS([1]инфо!$C$15:$C$28,[1]инфо!$A$15:$A$28,F387)*H386</f>
        <v/>
      </c>
    </row>
    <row r="388">
      <c r="A388" s="71">
        <f>A386+1</f>
        <v/>
      </c>
      <c r="B388" s="51" t="n"/>
      <c r="C388" s="52" t="n"/>
      <c r="D388" s="53" t="n"/>
      <c r="E388" s="66" t="n"/>
      <c r="F388" s="67" t="n"/>
      <c r="G388" s="58" t="n"/>
      <c r="H388" s="55" t="n"/>
      <c r="I388" s="57">
        <f>IFERROR(H388*VLOOKUP(F388,[1]инфо!$A$15:$C$28,3,FALSE)/1000,0)</f>
        <v/>
      </c>
      <c r="J388" s="55" t="n"/>
      <c r="K388" s="55" t="n"/>
      <c r="L388" s="55" t="n"/>
      <c r="M388" s="55" t="n"/>
      <c r="N388" s="55" t="n"/>
      <c r="O388" s="58" t="n"/>
      <c r="P388" s="58" t="n"/>
      <c r="Q388" s="58" t="n"/>
      <c r="R388" s="58" t="n"/>
      <c r="S388" s="59">
        <f>SUM(O388:R388)</f>
        <v/>
      </c>
      <c r="T388" s="52" t="n"/>
      <c r="U388" s="53" t="n"/>
      <c r="V388" s="58" t="n"/>
      <c r="W388" s="68" t="n"/>
      <c r="X388" s="58" t="n"/>
      <c r="Y388" s="52" t="n"/>
      <c r="Z388" s="58" t="n"/>
      <c r="AA388" s="58" t="n"/>
      <c r="AB388" s="58" t="n"/>
      <c r="AC388" s="68" t="n"/>
      <c r="AD388" s="53" t="n"/>
      <c r="AE388" s="61">
        <f>SUMIFS([1]инфо!$D$15:$D$28,[1]инфо!$A$15:$A$28,F388)</f>
        <v/>
      </c>
      <c r="AF388" s="62">
        <f>IF(H388=0,0,N388/H388)</f>
        <v/>
      </c>
      <c r="AG388" s="63">
        <f>AF388-AE388</f>
        <v/>
      </c>
      <c r="AH388" s="61">
        <f>SUMIFS([1]инфо!$E$15:$E$28,[1]инфо!$A$15:$A$28,F388)</f>
        <v/>
      </c>
      <c r="AI388" s="64">
        <f>IF(H388=0,0,S388/H388)</f>
        <v/>
      </c>
      <c r="AJ388" s="63">
        <f>AI388-AH388</f>
        <v/>
      </c>
      <c r="AK388" s="61">
        <f>SUMIFS([1]инфо!$F$15:$F$28,[1]инфо!$A$15:$A$28,F388)</f>
        <v/>
      </c>
      <c r="AL388" s="64">
        <f>IF(H388=0,0,Y388/H388)</f>
        <v/>
      </c>
      <c r="AM388" s="63">
        <f>AL388-AK388</f>
        <v/>
      </c>
      <c r="AN388" s="61">
        <f>SUMIFS([1]инфо!$G$15:$G$28,[1]инфо!$A$15:$A$28,F388)</f>
        <v/>
      </c>
      <c r="AO388" s="64">
        <f>IF(H388=0,0,AA388/H388)</f>
        <v/>
      </c>
      <c r="AP388" s="63">
        <f>AO388-AN388</f>
        <v/>
      </c>
      <c r="AQ388" s="61">
        <f>SUMIFS([1]инфо!$H$15:$H$28,[1]инфо!$A$15:$A$28,F388)</f>
        <v/>
      </c>
      <c r="AR388" s="62">
        <f>IF(H387=0,0,AC388/H387)</f>
        <v/>
      </c>
      <c r="AS388" s="63">
        <f>AR388-AQ388</f>
        <v/>
      </c>
      <c r="AT388" s="61">
        <f>SUMIFS([1]инфо!$I$15:$I$28,[1]инфо!$A$15:$A$28,F388)</f>
        <v/>
      </c>
      <c r="AU388" s="62">
        <f>IF(H388=0,0,AD388/H388)</f>
        <v/>
      </c>
      <c r="AV388" s="63">
        <f>AU388-AT388</f>
        <v/>
      </c>
      <c r="AX388" s="59">
        <f>SUMIFS([1]инфо!$C$15:$C$28,[1]инфо!$A$15:$A$28,F388)*H387</f>
        <v/>
      </c>
    </row>
    <row r="389">
      <c r="A389" s="71">
        <f>A387+1</f>
        <v/>
      </c>
      <c r="B389" s="51" t="n"/>
      <c r="C389" s="52" t="n"/>
      <c r="D389" s="53" t="n"/>
      <c r="E389" s="66" t="n"/>
      <c r="F389" s="67" t="n"/>
      <c r="G389" s="58" t="n"/>
      <c r="H389" s="56" t="n"/>
      <c r="I389" s="57">
        <f>IFERROR(H389*VLOOKUP(F389,[1]инфо!$A$15:$C$28,3,FALSE)/1000,0)</f>
        <v/>
      </c>
      <c r="J389" s="55" t="n"/>
      <c r="K389" s="55" t="n"/>
      <c r="L389" s="55" t="n"/>
      <c r="M389" s="55" t="n"/>
      <c r="N389" s="55" t="n"/>
      <c r="O389" s="58" t="n"/>
      <c r="P389" s="58" t="n"/>
      <c r="Q389" s="58" t="n"/>
      <c r="R389" s="58" t="n"/>
      <c r="S389" s="59">
        <f>SUM(O389:R389)</f>
        <v/>
      </c>
      <c r="T389" s="52" t="n"/>
      <c r="U389" s="53" t="n"/>
      <c r="V389" s="58" t="n"/>
      <c r="W389" s="68" t="n"/>
      <c r="X389" s="58" t="n"/>
      <c r="Y389" s="52" t="n"/>
      <c r="Z389" s="58" t="n"/>
      <c r="AA389" s="58" t="n"/>
      <c r="AB389" s="58" t="n"/>
      <c r="AC389" s="68" t="n"/>
      <c r="AD389" s="53" t="n"/>
      <c r="AE389" s="61">
        <f>SUMIFS([1]инфо!$D$15:$D$28,[1]инфо!$A$15:$A$28,F389)</f>
        <v/>
      </c>
      <c r="AF389" s="62">
        <f>IF(H389=0,0,N389/H389)</f>
        <v/>
      </c>
      <c r="AG389" s="63">
        <f>AF389-AE389</f>
        <v/>
      </c>
      <c r="AH389" s="61">
        <f>SUMIFS([1]инфо!$E$15:$E$28,[1]инфо!$A$15:$A$28,F389)</f>
        <v/>
      </c>
      <c r="AI389" s="64">
        <f>IF(H389=0,0,S389/H389)</f>
        <v/>
      </c>
      <c r="AJ389" s="63">
        <f>AI389-AH389</f>
        <v/>
      </c>
      <c r="AK389" s="61">
        <f>SUMIFS([1]инфо!$F$15:$F$28,[1]инфо!$A$15:$A$28,F389)</f>
        <v/>
      </c>
      <c r="AL389" s="64">
        <f>IF(H389=0,0,Y389/H389)</f>
        <v/>
      </c>
      <c r="AM389" s="63">
        <f>AL389-AK389</f>
        <v/>
      </c>
      <c r="AN389" s="61">
        <f>SUMIFS([1]инфо!$G$15:$G$28,[1]инфо!$A$15:$A$28,F389)</f>
        <v/>
      </c>
      <c r="AO389" s="64">
        <f>IF(H389=0,0,AA389/H389)</f>
        <v/>
      </c>
      <c r="AP389" s="63">
        <f>AO389-AN389</f>
        <v/>
      </c>
      <c r="AQ389" s="61">
        <f>SUMIFS([1]инфо!$H$15:$H$28,[1]инфо!$A$15:$A$28,F389)</f>
        <v/>
      </c>
      <c r="AR389" s="62">
        <f>IF(H388=0,0,AC389/H388)</f>
        <v/>
      </c>
      <c r="AS389" s="63">
        <f>AR389-AQ389</f>
        <v/>
      </c>
      <c r="AT389" s="61">
        <f>SUMIFS([1]инфо!$I$15:$I$28,[1]инфо!$A$15:$A$28,F389)</f>
        <v/>
      </c>
      <c r="AU389" s="62">
        <f>IF(H389=0,0,AD389/H389)</f>
        <v/>
      </c>
      <c r="AV389" s="63">
        <f>AU389-AT389</f>
        <v/>
      </c>
      <c r="AX389" s="59">
        <f>SUMIFS([1]инфо!$C$15:$C$28,[1]инфо!$A$15:$A$28,F389)*H388</f>
        <v/>
      </c>
    </row>
    <row r="390">
      <c r="A390" s="71">
        <f>A388+1</f>
        <v/>
      </c>
      <c r="B390" s="51" t="n"/>
      <c r="C390" s="77" t="n"/>
      <c r="D390" s="78" t="n"/>
      <c r="E390" s="66" t="n"/>
      <c r="F390" s="67" t="n"/>
      <c r="G390" s="79" t="n"/>
      <c r="H390" s="67" t="n"/>
      <c r="I390" s="57">
        <f>IFERROR(H390*VLOOKUP(F390,[1]инфо!$A$15:$C$28,3,FALSE)/1000,0)</f>
        <v/>
      </c>
      <c r="J390" s="55" t="n"/>
      <c r="K390" s="55" t="n"/>
      <c r="L390" s="55" t="n"/>
      <c r="M390" s="55" t="n"/>
      <c r="N390" s="56" t="n"/>
      <c r="O390" s="79" t="n"/>
      <c r="P390" s="79" t="n"/>
      <c r="Q390" s="79" t="n"/>
      <c r="R390" s="79" t="n"/>
      <c r="S390" s="80">
        <f>SUM(O390:R390)</f>
        <v/>
      </c>
      <c r="T390" s="77" t="n"/>
      <c r="U390" s="78" t="n"/>
      <c r="V390" s="79" t="n"/>
      <c r="W390" s="68" t="n"/>
      <c r="X390" s="79" t="n"/>
      <c r="Y390" s="77" t="n"/>
      <c r="Z390" s="79" t="n"/>
      <c r="AA390" s="79" t="n"/>
      <c r="AB390" s="79" t="n"/>
      <c r="AC390" s="68" t="n"/>
      <c r="AD390" s="78" t="n"/>
      <c r="AE390" s="81">
        <f>SUMIFS([1]инфо!$D$15:$D$28,[1]инфо!$A$15:$A$28,F390)</f>
        <v/>
      </c>
      <c r="AF390" s="62">
        <f>IF(H390=0,0,N390/H390)</f>
        <v/>
      </c>
      <c r="AG390" s="82">
        <f>AF390-AE390</f>
        <v/>
      </c>
      <c r="AH390" s="81">
        <f>SUMIFS([1]инфо!$E$15:$E$28,[1]инфо!$A$15:$A$28,F390)</f>
        <v/>
      </c>
      <c r="AI390" s="64">
        <f>IF(H390=0,0,S390/H390)</f>
        <v/>
      </c>
      <c r="AJ390" s="82">
        <f>AI390-AH390</f>
        <v/>
      </c>
      <c r="AK390" s="81">
        <f>SUMIFS([1]инфо!$F$15:$F$28,[1]инфо!$A$15:$A$28,F390)</f>
        <v/>
      </c>
      <c r="AL390" s="64">
        <f>IF(H390=0,0,Y390/H390)</f>
        <v/>
      </c>
      <c r="AM390" s="82">
        <f>AL390-AK390</f>
        <v/>
      </c>
      <c r="AN390" s="81">
        <f>SUMIFS([1]инфо!$G$15:$G$28,[1]инфо!$A$15:$A$28,F390)</f>
        <v/>
      </c>
      <c r="AO390" s="64">
        <f>IF(H390=0,0,AA390/H390)</f>
        <v/>
      </c>
      <c r="AP390" s="82">
        <f>AO390-AN390</f>
        <v/>
      </c>
      <c r="AQ390" s="81">
        <f>SUMIFS([1]инфо!$H$15:$H$28,[1]инфо!$A$15:$A$28,F390)</f>
        <v/>
      </c>
      <c r="AR390" s="85">
        <f>IF(H389=0,0,AC390/H389)</f>
        <v/>
      </c>
      <c r="AS390" s="82">
        <f>AR390-AQ390</f>
        <v/>
      </c>
      <c r="AT390" s="81">
        <f>SUMIFS([1]инфо!$I$15:$I$28,[1]инфо!$A$15:$A$28,F390)</f>
        <v/>
      </c>
      <c r="AU390" s="62">
        <f>IF(H390=0,0,AD390/H390)</f>
        <v/>
      </c>
      <c r="AV390" s="82">
        <f>AU390-AT390</f>
        <v/>
      </c>
      <c r="AX390" s="80">
        <f>SUMIFS([1]инфо!$C$15:$C$28,[1]инфо!$A$15:$A$28,F390)*H389</f>
        <v/>
      </c>
    </row>
    <row r="391">
      <c r="A391" s="71">
        <f>A389+1</f>
        <v/>
      </c>
      <c r="B391" s="51" t="n"/>
      <c r="C391" s="72" t="n"/>
      <c r="D391" s="73" t="n"/>
      <c r="E391" s="66" t="n"/>
      <c r="F391" s="67" t="n"/>
      <c r="G391" s="74" t="n"/>
      <c r="H391" s="55" t="n"/>
      <c r="I391" s="57">
        <f>IFERROR(H391*VLOOKUP(F391,[1]инфо!$A$15:$C$28,3,FALSE)/1000,0)</f>
        <v/>
      </c>
      <c r="J391" s="55" t="n"/>
      <c r="K391" s="55" t="n"/>
      <c r="L391" s="55" t="n"/>
      <c r="M391" s="55" t="n"/>
      <c r="N391" s="67" t="n"/>
      <c r="O391" s="74" t="n"/>
      <c r="P391" s="74" t="n"/>
      <c r="Q391" s="74" t="n"/>
      <c r="R391" s="74" t="n"/>
      <c r="S391" s="70">
        <f>SUM(O391:R391)</f>
        <v/>
      </c>
      <c r="T391" s="72" t="n"/>
      <c r="U391" s="73" t="n"/>
      <c r="V391" s="74" t="n"/>
      <c r="W391" s="68" t="n"/>
      <c r="X391" s="74" t="n"/>
      <c r="Y391" s="72" t="n"/>
      <c r="Z391" s="74" t="n"/>
      <c r="AA391" s="74" t="n"/>
      <c r="AB391" s="74" t="n"/>
      <c r="AC391" s="68" t="n"/>
      <c r="AD391" s="73" t="n"/>
      <c r="AE391" s="75">
        <f>SUMIFS([1]инфо!$D$15:$D$28,[1]инфо!$A$15:$A$28,F391)</f>
        <v/>
      </c>
      <c r="AF391" s="62">
        <f>IF(H391=0,0,N391/H391)</f>
        <v/>
      </c>
      <c r="AG391" s="76">
        <f>AF391-AE391</f>
        <v/>
      </c>
      <c r="AH391" s="75">
        <f>SUMIFS([1]инфо!$E$15:$E$28,[1]инфо!$A$15:$A$28,F391)</f>
        <v/>
      </c>
      <c r="AI391" s="64">
        <f>IF(H391=0,0,S391/H391)</f>
        <v/>
      </c>
      <c r="AJ391" s="76">
        <f>AI391-AH391</f>
        <v/>
      </c>
      <c r="AK391" s="75">
        <f>SUMIFS([1]инфо!$F$15:$F$28,[1]инфо!$A$15:$A$28,F391)</f>
        <v/>
      </c>
      <c r="AL391" s="64">
        <f>IF(H391=0,0,Y391/H391)</f>
        <v/>
      </c>
      <c r="AM391" s="76">
        <f>AL391-AK391</f>
        <v/>
      </c>
      <c r="AN391" s="75">
        <f>SUMIFS([1]инфо!$G$15:$G$28,[1]инфо!$A$15:$A$28,F391)</f>
        <v/>
      </c>
      <c r="AO391" s="64">
        <f>IF(H391=0,0,AA391/H391)</f>
        <v/>
      </c>
      <c r="AP391" s="76">
        <f>AO391-AN391</f>
        <v/>
      </c>
      <c r="AQ391" s="75">
        <f>SUMIFS([1]инфо!$H$15:$H$28,[1]инфо!$A$15:$A$28,F391)</f>
        <v/>
      </c>
      <c r="AR391" s="64">
        <f>IF(H390=0,0,AC391/H390)</f>
        <v/>
      </c>
      <c r="AS391" s="76">
        <f>AR391-AQ391</f>
        <v/>
      </c>
      <c r="AT391" s="75">
        <f>SUMIFS([1]инфо!$I$15:$I$28,[1]инфо!$A$15:$A$28,F391)</f>
        <v/>
      </c>
      <c r="AU391" s="62">
        <f>IF(H391=0,0,AD391/H391)</f>
        <v/>
      </c>
      <c r="AV391" s="76">
        <f>AU391-AT391</f>
        <v/>
      </c>
      <c r="AX391" s="70">
        <f>SUMIFS([1]инфо!$C$15:$C$28,[1]инфо!$A$15:$A$28,F391)*H390</f>
        <v/>
      </c>
    </row>
    <row r="392">
      <c r="A392" s="71">
        <f>A390+1</f>
        <v/>
      </c>
      <c r="B392" s="51" t="n"/>
      <c r="C392" s="52" t="n"/>
      <c r="D392" s="53" t="n"/>
      <c r="E392" s="66" t="n"/>
      <c r="F392" s="67" t="n"/>
      <c r="G392" s="58" t="n"/>
      <c r="H392" s="55" t="n"/>
      <c r="I392" s="57">
        <f>IFERROR(H392*VLOOKUP(F392,[1]инфо!$A$15:$C$28,3,FALSE)/1000,0)</f>
        <v/>
      </c>
      <c r="J392" s="55" t="n"/>
      <c r="K392" s="55" t="n"/>
      <c r="L392" s="55" t="n"/>
      <c r="M392" s="55" t="n"/>
      <c r="N392" s="55" t="n"/>
      <c r="O392" s="58" t="n"/>
      <c r="P392" s="58" t="n"/>
      <c r="Q392" s="58" t="n"/>
      <c r="R392" s="58" t="n"/>
      <c r="S392" s="59">
        <f>SUM(O392:R392)</f>
        <v/>
      </c>
      <c r="T392" s="52" t="n"/>
      <c r="U392" s="53" t="n"/>
      <c r="V392" s="58" t="n"/>
      <c r="W392" s="68" t="n"/>
      <c r="X392" s="58" t="n"/>
      <c r="Y392" s="52" t="n"/>
      <c r="Z392" s="58" t="n"/>
      <c r="AA392" s="58" t="n"/>
      <c r="AB392" s="58" t="n"/>
      <c r="AC392" s="68" t="n"/>
      <c r="AD392" s="53" t="n"/>
      <c r="AE392" s="61">
        <f>SUMIFS([1]инфо!$D$15:$D$28,[1]инфо!$A$15:$A$28,F392)</f>
        <v/>
      </c>
      <c r="AF392" s="62">
        <f>IF(H392=0,0,N392/H392)</f>
        <v/>
      </c>
      <c r="AG392" s="63">
        <f>AF392-AE392</f>
        <v/>
      </c>
      <c r="AH392" s="61">
        <f>SUMIFS([1]инфо!$E$15:$E$28,[1]инфо!$A$15:$A$28,F392)</f>
        <v/>
      </c>
      <c r="AI392" s="64">
        <f>IF(H392=0,0,S392/H392)</f>
        <v/>
      </c>
      <c r="AJ392" s="63">
        <f>AI392-AH392</f>
        <v/>
      </c>
      <c r="AK392" s="61">
        <f>SUMIFS([1]инфо!$F$15:$F$28,[1]инфо!$A$15:$A$28,F392)</f>
        <v/>
      </c>
      <c r="AL392" s="64">
        <f>IF(H392=0,0,Y392/H392)</f>
        <v/>
      </c>
      <c r="AM392" s="63">
        <f>AL392-AK392</f>
        <v/>
      </c>
      <c r="AN392" s="61">
        <f>SUMIFS([1]инфо!$G$15:$G$28,[1]инфо!$A$15:$A$28,F392)</f>
        <v/>
      </c>
      <c r="AO392" s="64">
        <f>IF(H392=0,0,AA392/H392)</f>
        <v/>
      </c>
      <c r="AP392" s="63">
        <f>AO392-AN392</f>
        <v/>
      </c>
      <c r="AQ392" s="61">
        <f>SUMIFS([1]инфо!$H$15:$H$28,[1]инфо!$A$15:$A$28,F392)</f>
        <v/>
      </c>
      <c r="AR392" s="62">
        <f>IF(H391=0,0,AC392/H391)</f>
        <v/>
      </c>
      <c r="AS392" s="63">
        <f>AR392-AQ392</f>
        <v/>
      </c>
      <c r="AT392" s="61">
        <f>SUMIFS([1]инфо!$I$15:$I$28,[1]инфо!$A$15:$A$28,F392)</f>
        <v/>
      </c>
      <c r="AU392" s="62">
        <f>IF(H392=0,0,AD392/H392)</f>
        <v/>
      </c>
      <c r="AV392" s="63">
        <f>AU392-AT392</f>
        <v/>
      </c>
      <c r="AX392" s="59">
        <f>SUMIFS([1]инфо!$C$15:$C$28,[1]инфо!$A$15:$A$28,F392)*H391</f>
        <v/>
      </c>
    </row>
    <row r="393">
      <c r="A393" s="71">
        <f>A391+1</f>
        <v/>
      </c>
      <c r="B393" s="51" t="n"/>
      <c r="C393" s="52" t="n"/>
      <c r="D393" s="53" t="n"/>
      <c r="E393" s="66" t="n"/>
      <c r="F393" s="67" t="n"/>
      <c r="G393" s="58" t="n"/>
      <c r="H393" s="56" t="n"/>
      <c r="I393" s="57">
        <f>IFERROR(H393*VLOOKUP(F393,[1]инфо!$A$15:$C$28,3,FALSE)/1000,0)</f>
        <v/>
      </c>
      <c r="J393" s="55" t="n"/>
      <c r="K393" s="55" t="n"/>
      <c r="L393" s="55" t="n"/>
      <c r="M393" s="55" t="n"/>
      <c r="N393" s="55" t="n"/>
      <c r="O393" s="58" t="n"/>
      <c r="P393" s="58" t="n"/>
      <c r="Q393" s="58" t="n"/>
      <c r="R393" s="58" t="n"/>
      <c r="S393" s="59">
        <f>SUM(O393:R393)</f>
        <v/>
      </c>
      <c r="T393" s="52" t="n"/>
      <c r="U393" s="53" t="n"/>
      <c r="V393" s="58" t="n"/>
      <c r="W393" s="68" t="n"/>
      <c r="X393" s="58" t="n"/>
      <c r="Y393" s="52" t="n"/>
      <c r="Z393" s="58" t="n"/>
      <c r="AA393" s="58" t="n"/>
      <c r="AB393" s="58" t="n"/>
      <c r="AC393" s="68" t="n"/>
      <c r="AD393" s="53" t="n"/>
      <c r="AE393" s="61">
        <f>SUMIFS([1]инфо!$D$15:$D$28,[1]инфо!$A$15:$A$28,F393)</f>
        <v/>
      </c>
      <c r="AF393" s="62">
        <f>IF(H393=0,0,N393/H393)</f>
        <v/>
      </c>
      <c r="AG393" s="63">
        <f>AF393-AE393</f>
        <v/>
      </c>
      <c r="AH393" s="61">
        <f>SUMIFS([1]инфо!$E$15:$E$28,[1]инфо!$A$15:$A$28,F393)</f>
        <v/>
      </c>
      <c r="AI393" s="64">
        <f>IF(H393=0,0,S393/H393)</f>
        <v/>
      </c>
      <c r="AJ393" s="63">
        <f>AI393-AH393</f>
        <v/>
      </c>
      <c r="AK393" s="61">
        <f>SUMIFS([1]инфо!$F$15:$F$28,[1]инфо!$A$15:$A$28,F393)</f>
        <v/>
      </c>
      <c r="AL393" s="64">
        <f>IF(H393=0,0,Y393/H393)</f>
        <v/>
      </c>
      <c r="AM393" s="63">
        <f>AL393-AK393</f>
        <v/>
      </c>
      <c r="AN393" s="61">
        <f>SUMIFS([1]инфо!$G$15:$G$28,[1]инфо!$A$15:$A$28,F393)</f>
        <v/>
      </c>
      <c r="AO393" s="64">
        <f>IF(H393=0,0,AA393/H393)</f>
        <v/>
      </c>
      <c r="AP393" s="63">
        <f>AO393-AN393</f>
        <v/>
      </c>
      <c r="AQ393" s="61">
        <f>SUMIFS([1]инфо!$H$15:$H$28,[1]инфо!$A$15:$A$28,F393)</f>
        <v/>
      </c>
      <c r="AR393" s="62">
        <f>IF(H392=0,0,AC393/H392)</f>
        <v/>
      </c>
      <c r="AS393" s="63">
        <f>AR393-AQ393</f>
        <v/>
      </c>
      <c r="AT393" s="61">
        <f>SUMIFS([1]инфо!$I$15:$I$28,[1]инфо!$A$15:$A$28,F393)</f>
        <v/>
      </c>
      <c r="AU393" s="62">
        <f>IF(H393=0,0,AD393/H393)</f>
        <v/>
      </c>
      <c r="AV393" s="63">
        <f>AU393-AT393</f>
        <v/>
      </c>
      <c r="AX393" s="59">
        <f>SUMIFS([1]инфо!$C$15:$C$28,[1]инфо!$A$15:$A$28,F393)*H392</f>
        <v/>
      </c>
    </row>
    <row r="394">
      <c r="A394" s="71">
        <f>A392+1</f>
        <v/>
      </c>
      <c r="B394" s="51" t="n"/>
      <c r="C394" s="77" t="n"/>
      <c r="D394" s="78" t="n"/>
      <c r="E394" s="66" t="n"/>
      <c r="F394" s="67" t="n"/>
      <c r="G394" s="79" t="n"/>
      <c r="H394" s="67" t="n"/>
      <c r="I394" s="57">
        <f>IFERROR(H394*VLOOKUP(F394,[1]инфо!$A$15:$C$28,3,FALSE)/1000,0)</f>
        <v/>
      </c>
      <c r="J394" s="55" t="n"/>
      <c r="K394" s="55" t="n"/>
      <c r="L394" s="55" t="n"/>
      <c r="M394" s="55" t="n"/>
      <c r="N394" s="56" t="n"/>
      <c r="O394" s="79" t="n"/>
      <c r="P394" s="79" t="n"/>
      <c r="Q394" s="79" t="n"/>
      <c r="R394" s="79" t="n"/>
      <c r="S394" s="80">
        <f>SUM(O394:R394)</f>
        <v/>
      </c>
      <c r="T394" s="77" t="n"/>
      <c r="U394" s="78" t="n"/>
      <c r="V394" s="79" t="n"/>
      <c r="W394" s="68" t="n"/>
      <c r="X394" s="79" t="n"/>
      <c r="Y394" s="77" t="n"/>
      <c r="Z394" s="79" t="n"/>
      <c r="AA394" s="79" t="n"/>
      <c r="AB394" s="79" t="n"/>
      <c r="AC394" s="68" t="n"/>
      <c r="AD394" s="78" t="n"/>
      <c r="AE394" s="81">
        <f>SUMIFS([1]инфо!$D$15:$D$28,[1]инфо!$A$15:$A$28,F394)</f>
        <v/>
      </c>
      <c r="AF394" s="62">
        <f>IF(H394=0,0,N394/H394)</f>
        <v/>
      </c>
      <c r="AG394" s="82">
        <f>AF394-AE394</f>
        <v/>
      </c>
      <c r="AH394" s="81">
        <f>SUMIFS([1]инфо!$E$15:$E$28,[1]инфо!$A$15:$A$28,F394)</f>
        <v/>
      </c>
      <c r="AI394" s="64">
        <f>IF(H394=0,0,S394/H394)</f>
        <v/>
      </c>
      <c r="AJ394" s="82">
        <f>AI394-AH394</f>
        <v/>
      </c>
      <c r="AK394" s="81">
        <f>SUMIFS([1]инфо!$F$15:$F$28,[1]инфо!$A$15:$A$28,F394)</f>
        <v/>
      </c>
      <c r="AL394" s="64">
        <f>IF(H394=0,0,Y394/H394)</f>
        <v/>
      </c>
      <c r="AM394" s="82">
        <f>AL394-AK394</f>
        <v/>
      </c>
      <c r="AN394" s="81">
        <f>SUMIFS([1]инфо!$G$15:$G$28,[1]инфо!$A$15:$A$28,F394)</f>
        <v/>
      </c>
      <c r="AO394" s="64">
        <f>IF(H394=0,0,AA394/H394)</f>
        <v/>
      </c>
      <c r="AP394" s="82">
        <f>AO394-AN394</f>
        <v/>
      </c>
      <c r="AQ394" s="81">
        <f>SUMIFS([1]инфо!$H$15:$H$28,[1]инфо!$A$15:$A$28,F394)</f>
        <v/>
      </c>
      <c r="AR394" s="85">
        <f>IF(H393=0,0,AC394/H393)</f>
        <v/>
      </c>
      <c r="AS394" s="82">
        <f>AR394-AQ394</f>
        <v/>
      </c>
      <c r="AT394" s="81">
        <f>SUMIFS([1]инфо!$I$15:$I$28,[1]инфо!$A$15:$A$28,F394)</f>
        <v/>
      </c>
      <c r="AU394" s="62">
        <f>IF(H394=0,0,AD394/H394)</f>
        <v/>
      </c>
      <c r="AV394" s="82">
        <f>AU394-AT394</f>
        <v/>
      </c>
      <c r="AX394" s="80">
        <f>SUMIFS([1]инфо!$C$15:$C$28,[1]инфо!$A$15:$A$28,F394)*H393</f>
        <v/>
      </c>
    </row>
    <row r="395">
      <c r="A395" s="71">
        <f>A393+1</f>
        <v/>
      </c>
      <c r="B395" s="51" t="n"/>
      <c r="C395" s="72" t="n"/>
      <c r="D395" s="73" t="n"/>
      <c r="E395" s="66" t="n"/>
      <c r="F395" s="67" t="n"/>
      <c r="G395" s="74" t="n"/>
      <c r="H395" s="55" t="n"/>
      <c r="I395" s="57">
        <f>IFERROR(H395*VLOOKUP(F395,[1]инфо!$A$15:$C$28,3,FALSE)/1000,0)</f>
        <v/>
      </c>
      <c r="J395" s="55" t="n"/>
      <c r="K395" s="55" t="n"/>
      <c r="L395" s="55" t="n"/>
      <c r="M395" s="55" t="n"/>
      <c r="N395" s="67" t="n"/>
      <c r="O395" s="74" t="n"/>
      <c r="P395" s="74" t="n"/>
      <c r="Q395" s="74" t="n"/>
      <c r="R395" s="74" t="n"/>
      <c r="S395" s="70">
        <f>SUM(O395:R395)</f>
        <v/>
      </c>
      <c r="T395" s="72" t="n"/>
      <c r="U395" s="73" t="n"/>
      <c r="V395" s="74" t="n"/>
      <c r="W395" s="68" t="n"/>
      <c r="X395" s="74" t="n"/>
      <c r="Y395" s="72" t="n"/>
      <c r="Z395" s="74" t="n"/>
      <c r="AA395" s="74" t="n"/>
      <c r="AB395" s="74" t="n"/>
      <c r="AC395" s="68" t="n"/>
      <c r="AD395" s="73" t="n"/>
      <c r="AE395" s="75">
        <f>SUMIFS([1]инфо!$D$15:$D$28,[1]инфо!$A$15:$A$28,F395)</f>
        <v/>
      </c>
      <c r="AF395" s="62">
        <f>IF(H395=0,0,N395/H395)</f>
        <v/>
      </c>
      <c r="AG395" s="76">
        <f>AF395-AE395</f>
        <v/>
      </c>
      <c r="AH395" s="75">
        <f>SUMIFS([1]инфо!$E$15:$E$28,[1]инфо!$A$15:$A$28,F395)</f>
        <v/>
      </c>
      <c r="AI395" s="64">
        <f>IF(H395=0,0,S395/H395)</f>
        <v/>
      </c>
      <c r="AJ395" s="76">
        <f>AI395-AH395</f>
        <v/>
      </c>
      <c r="AK395" s="75">
        <f>SUMIFS([1]инфо!$F$15:$F$28,[1]инфо!$A$15:$A$28,F395)</f>
        <v/>
      </c>
      <c r="AL395" s="64">
        <f>IF(H395=0,0,Y395/H395)</f>
        <v/>
      </c>
      <c r="AM395" s="76">
        <f>AL395-AK395</f>
        <v/>
      </c>
      <c r="AN395" s="75">
        <f>SUMIFS([1]инфо!$G$15:$G$28,[1]инфо!$A$15:$A$28,F395)</f>
        <v/>
      </c>
      <c r="AO395" s="64">
        <f>IF(H395=0,0,AA395/H395)</f>
        <v/>
      </c>
      <c r="AP395" s="76">
        <f>AO395-AN395</f>
        <v/>
      </c>
      <c r="AQ395" s="75">
        <f>SUMIFS([1]инфо!$H$15:$H$28,[1]инфо!$A$15:$A$28,F395)</f>
        <v/>
      </c>
      <c r="AR395" s="64">
        <f>IF(H394=0,0,AC395/H394)</f>
        <v/>
      </c>
      <c r="AS395" s="76">
        <f>AR395-AQ395</f>
        <v/>
      </c>
      <c r="AT395" s="75">
        <f>SUMIFS([1]инфо!$I$15:$I$28,[1]инфо!$A$15:$A$28,F395)</f>
        <v/>
      </c>
      <c r="AU395" s="62">
        <f>IF(H395=0,0,AD395/H395)</f>
        <v/>
      </c>
      <c r="AV395" s="76">
        <f>AU395-AT395</f>
        <v/>
      </c>
      <c r="AX395" s="70">
        <f>SUMIFS([1]инфо!$C$15:$C$28,[1]инфо!$A$15:$A$28,F395)*H394</f>
        <v/>
      </c>
    </row>
    <row r="396">
      <c r="A396" s="71">
        <f>A394+1</f>
        <v/>
      </c>
      <c r="B396" s="51" t="n"/>
      <c r="C396" s="52" t="n"/>
      <c r="D396" s="53" t="n"/>
      <c r="E396" s="66" t="n"/>
      <c r="F396" s="67" t="n"/>
      <c r="G396" s="58" t="n"/>
      <c r="H396" s="55" t="n"/>
      <c r="I396" s="57">
        <f>IFERROR(H396*VLOOKUP(F396,[1]инфо!$A$15:$C$28,3,FALSE)/1000,0)</f>
        <v/>
      </c>
      <c r="J396" s="55" t="n"/>
      <c r="K396" s="55" t="n"/>
      <c r="L396" s="55" t="n"/>
      <c r="M396" s="55" t="n"/>
      <c r="N396" s="55" t="n"/>
      <c r="O396" s="58" t="n"/>
      <c r="P396" s="58" t="n"/>
      <c r="Q396" s="58" t="n"/>
      <c r="R396" s="58" t="n"/>
      <c r="S396" s="59">
        <f>SUM(O396:R396)</f>
        <v/>
      </c>
      <c r="T396" s="52" t="n"/>
      <c r="U396" s="53" t="n"/>
      <c r="V396" s="58" t="n"/>
      <c r="W396" s="68" t="n"/>
      <c r="X396" s="58" t="n"/>
      <c r="Y396" s="52" t="n"/>
      <c r="Z396" s="58" t="n"/>
      <c r="AA396" s="58" t="n"/>
      <c r="AB396" s="58" t="n"/>
      <c r="AC396" s="68" t="n"/>
      <c r="AD396" s="53" t="n"/>
      <c r="AE396" s="61">
        <f>SUMIFS([1]инфо!$D$15:$D$28,[1]инфо!$A$15:$A$28,F396)</f>
        <v/>
      </c>
      <c r="AF396" s="62">
        <f>IF(H396=0,0,N396/H396)</f>
        <v/>
      </c>
      <c r="AG396" s="63">
        <f>AF396-AE396</f>
        <v/>
      </c>
      <c r="AH396" s="61">
        <f>SUMIFS([1]инфо!$E$15:$E$28,[1]инфо!$A$15:$A$28,F396)</f>
        <v/>
      </c>
      <c r="AI396" s="64">
        <f>IF(H396=0,0,S396/H396)</f>
        <v/>
      </c>
      <c r="AJ396" s="63">
        <f>AI396-AH396</f>
        <v/>
      </c>
      <c r="AK396" s="61">
        <f>SUMIFS([1]инфо!$F$15:$F$28,[1]инфо!$A$15:$A$28,F396)</f>
        <v/>
      </c>
      <c r="AL396" s="64">
        <f>IF(H396=0,0,Y396/H396)</f>
        <v/>
      </c>
      <c r="AM396" s="63">
        <f>AL396-AK396</f>
        <v/>
      </c>
      <c r="AN396" s="61">
        <f>SUMIFS([1]инфо!$G$15:$G$28,[1]инфо!$A$15:$A$28,F396)</f>
        <v/>
      </c>
      <c r="AO396" s="64">
        <f>IF(H396=0,0,AA396/H396)</f>
        <v/>
      </c>
      <c r="AP396" s="63">
        <f>AO396-AN396</f>
        <v/>
      </c>
      <c r="AQ396" s="61">
        <f>SUMIFS([1]инфо!$H$15:$H$28,[1]инфо!$A$15:$A$28,F396)</f>
        <v/>
      </c>
      <c r="AR396" s="62">
        <f>IF(H395=0,0,AC396/H395)</f>
        <v/>
      </c>
      <c r="AS396" s="63">
        <f>AR396-AQ396</f>
        <v/>
      </c>
      <c r="AT396" s="61">
        <f>SUMIFS([1]инфо!$I$15:$I$28,[1]инфо!$A$15:$A$28,F396)</f>
        <v/>
      </c>
      <c r="AU396" s="62">
        <f>IF(H396=0,0,AD396/H396)</f>
        <v/>
      </c>
      <c r="AV396" s="63">
        <f>AU396-AT396</f>
        <v/>
      </c>
      <c r="AX396" s="59">
        <f>SUMIFS([1]инфо!$C$15:$C$28,[1]инфо!$A$15:$A$28,F396)*H395</f>
        <v/>
      </c>
    </row>
    <row r="397">
      <c r="A397" s="71">
        <f>A395+1</f>
        <v/>
      </c>
      <c r="B397" s="51" t="n"/>
      <c r="C397" s="52" t="n"/>
      <c r="D397" s="53" t="n"/>
      <c r="E397" s="66" t="n"/>
      <c r="F397" s="67" t="n"/>
      <c r="G397" s="58" t="n"/>
      <c r="H397" s="56" t="n"/>
      <c r="I397" s="57">
        <f>IFERROR(H397*VLOOKUP(F397,[1]инфо!$A$15:$C$28,3,FALSE)/1000,0)</f>
        <v/>
      </c>
      <c r="J397" s="55" t="n"/>
      <c r="K397" s="55" t="n"/>
      <c r="L397" s="55" t="n"/>
      <c r="M397" s="55" t="n"/>
      <c r="N397" s="55" t="n"/>
      <c r="O397" s="58" t="n"/>
      <c r="P397" s="58" t="n"/>
      <c r="Q397" s="58" t="n"/>
      <c r="R397" s="58" t="n"/>
      <c r="S397" s="59">
        <f>SUM(O397:R397)</f>
        <v/>
      </c>
      <c r="T397" s="52" t="n"/>
      <c r="U397" s="53" t="n"/>
      <c r="V397" s="58" t="n"/>
      <c r="W397" s="68" t="n"/>
      <c r="X397" s="58" t="n"/>
      <c r="Y397" s="52" t="n"/>
      <c r="Z397" s="58" t="n"/>
      <c r="AA397" s="58" t="n"/>
      <c r="AB397" s="58" t="n"/>
      <c r="AC397" s="68" t="n"/>
      <c r="AD397" s="53" t="n"/>
      <c r="AE397" s="61">
        <f>SUMIFS([1]инфо!$D$15:$D$28,[1]инфо!$A$15:$A$28,F397)</f>
        <v/>
      </c>
      <c r="AF397" s="62">
        <f>IF(H397=0,0,N397/H397)</f>
        <v/>
      </c>
      <c r="AG397" s="63">
        <f>AF397-AE397</f>
        <v/>
      </c>
      <c r="AH397" s="61">
        <f>SUMIFS([1]инфо!$E$15:$E$28,[1]инфо!$A$15:$A$28,F397)</f>
        <v/>
      </c>
      <c r="AI397" s="64">
        <f>IF(H397=0,0,S397/H397)</f>
        <v/>
      </c>
      <c r="AJ397" s="63">
        <f>AI397-AH397</f>
        <v/>
      </c>
      <c r="AK397" s="61">
        <f>SUMIFS([1]инфо!$F$15:$F$28,[1]инфо!$A$15:$A$28,F397)</f>
        <v/>
      </c>
      <c r="AL397" s="64">
        <f>IF(H397=0,0,Y397/H397)</f>
        <v/>
      </c>
      <c r="AM397" s="63">
        <f>AL397-AK397</f>
        <v/>
      </c>
      <c r="AN397" s="61">
        <f>SUMIFS([1]инфо!$G$15:$G$28,[1]инфо!$A$15:$A$28,F397)</f>
        <v/>
      </c>
      <c r="AO397" s="64">
        <f>IF(H397=0,0,AA397/H397)</f>
        <v/>
      </c>
      <c r="AP397" s="63">
        <f>AO397-AN397</f>
        <v/>
      </c>
      <c r="AQ397" s="61">
        <f>SUMIFS([1]инфо!$H$15:$H$28,[1]инфо!$A$15:$A$28,F397)</f>
        <v/>
      </c>
      <c r="AR397" s="62">
        <f>IF(H396=0,0,AC397/H396)</f>
        <v/>
      </c>
      <c r="AS397" s="63">
        <f>AR397-AQ397</f>
        <v/>
      </c>
      <c r="AT397" s="61">
        <f>SUMIFS([1]инфо!$I$15:$I$28,[1]инфо!$A$15:$A$28,F397)</f>
        <v/>
      </c>
      <c r="AU397" s="62">
        <f>IF(H397=0,0,AD397/H397)</f>
        <v/>
      </c>
      <c r="AV397" s="63">
        <f>AU397-AT397</f>
        <v/>
      </c>
      <c r="AX397" s="59">
        <f>SUMIFS([1]инфо!$C$15:$C$28,[1]инфо!$A$15:$A$28,F397)*H396</f>
        <v/>
      </c>
    </row>
    <row r="398">
      <c r="A398" s="71">
        <f>A396+1</f>
        <v/>
      </c>
      <c r="B398" s="51" t="n"/>
      <c r="C398" s="77" t="n"/>
      <c r="D398" s="78" t="n"/>
      <c r="E398" s="66" t="n"/>
      <c r="F398" s="67" t="n"/>
      <c r="G398" s="79" t="n"/>
      <c r="H398" s="67" t="n"/>
      <c r="I398" s="57">
        <f>IFERROR(H398*VLOOKUP(F398,[1]инфо!$A$15:$C$28,3,FALSE)/1000,0)</f>
        <v/>
      </c>
      <c r="J398" s="55" t="n"/>
      <c r="K398" s="55" t="n"/>
      <c r="L398" s="55" t="n"/>
      <c r="M398" s="55" t="n"/>
      <c r="N398" s="56" t="n"/>
      <c r="O398" s="79" t="n"/>
      <c r="P398" s="79" t="n"/>
      <c r="Q398" s="79" t="n"/>
      <c r="R398" s="79" t="n"/>
      <c r="S398" s="80">
        <f>SUM(O398:R398)</f>
        <v/>
      </c>
      <c r="T398" s="77" t="n"/>
      <c r="U398" s="78" t="n"/>
      <c r="V398" s="79" t="n"/>
      <c r="W398" s="68" t="n"/>
      <c r="X398" s="79" t="n"/>
      <c r="Y398" s="77" t="n"/>
      <c r="Z398" s="79" t="n"/>
      <c r="AA398" s="79" t="n"/>
      <c r="AB398" s="79" t="n"/>
      <c r="AC398" s="68" t="n"/>
      <c r="AD398" s="78" t="n"/>
      <c r="AE398" s="81">
        <f>SUMIFS([1]инфо!$D$15:$D$28,[1]инфо!$A$15:$A$28,F398)</f>
        <v/>
      </c>
      <c r="AF398" s="62">
        <f>IF(H398=0,0,N398/H398)</f>
        <v/>
      </c>
      <c r="AG398" s="82">
        <f>AF398-AE398</f>
        <v/>
      </c>
      <c r="AH398" s="81">
        <f>SUMIFS([1]инфо!$E$15:$E$28,[1]инфо!$A$15:$A$28,F398)</f>
        <v/>
      </c>
      <c r="AI398" s="64">
        <f>IF(H398=0,0,S398/H398)</f>
        <v/>
      </c>
      <c r="AJ398" s="82">
        <f>AI398-AH398</f>
        <v/>
      </c>
      <c r="AK398" s="81">
        <f>SUMIFS([1]инфо!$F$15:$F$28,[1]инфо!$A$15:$A$28,F398)</f>
        <v/>
      </c>
      <c r="AL398" s="64">
        <f>IF(H398=0,0,Y398/H398)</f>
        <v/>
      </c>
      <c r="AM398" s="82">
        <f>AL398-AK398</f>
        <v/>
      </c>
      <c r="AN398" s="81">
        <f>SUMIFS([1]инфо!$G$15:$G$28,[1]инфо!$A$15:$A$28,F398)</f>
        <v/>
      </c>
      <c r="AO398" s="64">
        <f>IF(H398=0,0,AA398/H398)</f>
        <v/>
      </c>
      <c r="AP398" s="82">
        <f>AO398-AN398</f>
        <v/>
      </c>
      <c r="AQ398" s="81">
        <f>SUMIFS([1]инфо!$H$15:$H$28,[1]инфо!$A$15:$A$28,F398)</f>
        <v/>
      </c>
      <c r="AR398" s="85">
        <f>IF(H397=0,0,AC398/H397)</f>
        <v/>
      </c>
      <c r="AS398" s="82">
        <f>AR398-AQ398</f>
        <v/>
      </c>
      <c r="AT398" s="81">
        <f>SUMIFS([1]инфо!$I$15:$I$28,[1]инфо!$A$15:$A$28,F398)</f>
        <v/>
      </c>
      <c r="AU398" s="62">
        <f>IF(H398=0,0,AD398/H398)</f>
        <v/>
      </c>
      <c r="AV398" s="82">
        <f>AU398-AT398</f>
        <v/>
      </c>
      <c r="AX398" s="80">
        <f>SUMIFS([1]инфо!$C$15:$C$28,[1]инфо!$A$15:$A$28,F398)*H397</f>
        <v/>
      </c>
    </row>
    <row r="399">
      <c r="A399" s="71">
        <f>A397+1</f>
        <v/>
      </c>
      <c r="B399" s="51" t="n"/>
      <c r="C399" s="72" t="n"/>
      <c r="D399" s="73" t="n"/>
      <c r="E399" s="66" t="n"/>
      <c r="F399" s="67" t="n"/>
      <c r="G399" s="74" t="n"/>
      <c r="H399" s="55" t="n"/>
      <c r="I399" s="57">
        <f>IFERROR(H399*VLOOKUP(F399,[1]инфо!$A$15:$C$28,3,FALSE)/1000,0)</f>
        <v/>
      </c>
      <c r="J399" s="55" t="n"/>
      <c r="K399" s="55" t="n"/>
      <c r="L399" s="55" t="n"/>
      <c r="M399" s="55" t="n"/>
      <c r="N399" s="67" t="n"/>
      <c r="O399" s="74" t="n"/>
      <c r="P399" s="74" t="n"/>
      <c r="Q399" s="74" t="n"/>
      <c r="R399" s="74" t="n"/>
      <c r="S399" s="70">
        <f>SUM(O399:R399)</f>
        <v/>
      </c>
      <c r="T399" s="72" t="n"/>
      <c r="U399" s="73" t="n"/>
      <c r="V399" s="74" t="n"/>
      <c r="W399" s="68" t="n"/>
      <c r="X399" s="74" t="n"/>
      <c r="Y399" s="72" t="n"/>
      <c r="Z399" s="74" t="n"/>
      <c r="AA399" s="74" t="n"/>
      <c r="AB399" s="74" t="n"/>
      <c r="AC399" s="68" t="n"/>
      <c r="AD399" s="73" t="n"/>
      <c r="AE399" s="75">
        <f>SUMIFS([1]инфо!$D$15:$D$28,[1]инфо!$A$15:$A$28,F399)</f>
        <v/>
      </c>
      <c r="AF399" s="62">
        <f>IF(H399=0,0,N399/H399)</f>
        <v/>
      </c>
      <c r="AG399" s="76">
        <f>AF399-AE399</f>
        <v/>
      </c>
      <c r="AH399" s="75">
        <f>SUMIFS([1]инфо!$E$15:$E$28,[1]инфо!$A$15:$A$28,F399)</f>
        <v/>
      </c>
      <c r="AI399" s="64">
        <f>IF(H399=0,0,S399/H399)</f>
        <v/>
      </c>
      <c r="AJ399" s="76">
        <f>AI399-AH399</f>
        <v/>
      </c>
      <c r="AK399" s="75">
        <f>SUMIFS([1]инфо!$F$15:$F$28,[1]инфо!$A$15:$A$28,F399)</f>
        <v/>
      </c>
      <c r="AL399" s="64">
        <f>IF(H399=0,0,Y399/H399)</f>
        <v/>
      </c>
      <c r="AM399" s="76">
        <f>AL399-AK399</f>
        <v/>
      </c>
      <c r="AN399" s="75">
        <f>SUMIFS([1]инфо!$G$15:$G$28,[1]инфо!$A$15:$A$28,F399)</f>
        <v/>
      </c>
      <c r="AO399" s="64">
        <f>IF(H399=0,0,AA399/H399)</f>
        <v/>
      </c>
      <c r="AP399" s="76">
        <f>AO399-AN399</f>
        <v/>
      </c>
      <c r="AQ399" s="75">
        <f>SUMIFS([1]инфо!$H$15:$H$28,[1]инфо!$A$15:$A$28,F399)</f>
        <v/>
      </c>
      <c r="AR399" s="64">
        <f>IF(H398=0,0,AC399/H398)</f>
        <v/>
      </c>
      <c r="AS399" s="76">
        <f>AR399-AQ399</f>
        <v/>
      </c>
      <c r="AT399" s="75">
        <f>SUMIFS([1]инфо!$I$15:$I$28,[1]инфо!$A$15:$A$28,F399)</f>
        <v/>
      </c>
      <c r="AU399" s="62">
        <f>IF(H399=0,0,AD399/H399)</f>
        <v/>
      </c>
      <c r="AV399" s="76">
        <f>AU399-AT399</f>
        <v/>
      </c>
      <c r="AX399" s="70">
        <f>SUMIFS([1]инфо!$C$15:$C$28,[1]инфо!$A$15:$A$28,F399)*H398</f>
        <v/>
      </c>
    </row>
    <row r="400">
      <c r="A400" s="71">
        <f>A398+1</f>
        <v/>
      </c>
      <c r="B400" s="51" t="n"/>
      <c r="C400" s="52" t="n"/>
      <c r="D400" s="53" t="n"/>
      <c r="E400" s="66" t="n"/>
      <c r="F400" s="67" t="n"/>
      <c r="G400" s="58" t="n"/>
      <c r="H400" s="55" t="n"/>
      <c r="I400" s="57">
        <f>IFERROR(H400*VLOOKUP(F400,[1]инфо!$A$15:$C$28,3,FALSE)/1000,0)</f>
        <v/>
      </c>
      <c r="J400" s="55" t="n"/>
      <c r="K400" s="55" t="n"/>
      <c r="L400" s="55" t="n"/>
      <c r="M400" s="55" t="n"/>
      <c r="N400" s="55" t="n"/>
      <c r="O400" s="58" t="n"/>
      <c r="P400" s="58" t="n"/>
      <c r="Q400" s="58" t="n"/>
      <c r="R400" s="58" t="n"/>
      <c r="S400" s="59">
        <f>SUM(O400:R400)</f>
        <v/>
      </c>
      <c r="T400" s="52" t="n"/>
      <c r="U400" s="53" t="n"/>
      <c r="V400" s="58" t="n"/>
      <c r="W400" s="68" t="n"/>
      <c r="X400" s="58" t="n"/>
      <c r="Y400" s="52" t="n"/>
      <c r="Z400" s="58" t="n"/>
      <c r="AA400" s="58" t="n"/>
      <c r="AB400" s="58" t="n"/>
      <c r="AC400" s="68" t="n"/>
      <c r="AD400" s="53" t="n"/>
      <c r="AE400" s="61">
        <f>SUMIFS([1]инфо!$D$15:$D$28,[1]инфо!$A$15:$A$28,F400)</f>
        <v/>
      </c>
      <c r="AF400" s="62">
        <f>IF(H400=0,0,N400/H400)</f>
        <v/>
      </c>
      <c r="AG400" s="63">
        <f>AF400-AE400</f>
        <v/>
      </c>
      <c r="AH400" s="61">
        <f>SUMIFS([1]инфо!$E$15:$E$28,[1]инфо!$A$15:$A$28,F400)</f>
        <v/>
      </c>
      <c r="AI400" s="64">
        <f>IF(H400=0,0,S400/H400)</f>
        <v/>
      </c>
      <c r="AJ400" s="63">
        <f>AI400-AH400</f>
        <v/>
      </c>
      <c r="AK400" s="61">
        <f>SUMIFS([1]инфо!$F$15:$F$28,[1]инфо!$A$15:$A$28,F400)</f>
        <v/>
      </c>
      <c r="AL400" s="64">
        <f>IF(H400=0,0,Y400/H400)</f>
        <v/>
      </c>
      <c r="AM400" s="63">
        <f>AL400-AK400</f>
        <v/>
      </c>
      <c r="AN400" s="61">
        <f>SUMIFS([1]инфо!$G$15:$G$28,[1]инфо!$A$15:$A$28,F400)</f>
        <v/>
      </c>
      <c r="AO400" s="64">
        <f>IF(H400=0,0,AA400/H400)</f>
        <v/>
      </c>
      <c r="AP400" s="63">
        <f>AO400-AN400</f>
        <v/>
      </c>
      <c r="AQ400" s="61">
        <f>SUMIFS([1]инфо!$H$15:$H$28,[1]инфо!$A$15:$A$28,F400)</f>
        <v/>
      </c>
      <c r="AR400" s="62">
        <f>IF(H399=0,0,AC400/H399)</f>
        <v/>
      </c>
      <c r="AS400" s="63">
        <f>AR400-AQ400</f>
        <v/>
      </c>
      <c r="AT400" s="61">
        <f>SUMIFS([1]инфо!$I$15:$I$28,[1]инфо!$A$15:$A$28,F400)</f>
        <v/>
      </c>
      <c r="AU400" s="62">
        <f>IF(H400=0,0,AD400/H400)</f>
        <v/>
      </c>
      <c r="AV400" s="63">
        <f>AU400-AT400</f>
        <v/>
      </c>
      <c r="AX400" s="59">
        <f>SUMIFS([1]инфо!$C$15:$C$28,[1]инфо!$A$15:$A$28,F400)*H399</f>
        <v/>
      </c>
    </row>
    <row r="401">
      <c r="A401" s="71">
        <f>A399+1</f>
        <v/>
      </c>
      <c r="B401" s="51" t="n"/>
      <c r="C401" s="52" t="n"/>
      <c r="D401" s="53" t="n"/>
      <c r="E401" s="66" t="n"/>
      <c r="F401" s="67" t="n"/>
      <c r="G401" s="58" t="n"/>
      <c r="H401" s="56" t="n"/>
      <c r="I401" s="57">
        <f>IFERROR(H401*VLOOKUP(F401,[1]инфо!$A$15:$C$28,3,FALSE)/1000,0)</f>
        <v/>
      </c>
      <c r="J401" s="55" t="n"/>
      <c r="K401" s="55" t="n"/>
      <c r="L401" s="55" t="n"/>
      <c r="M401" s="55" t="n"/>
      <c r="N401" s="55" t="n"/>
      <c r="O401" s="58" t="n"/>
      <c r="P401" s="58" t="n"/>
      <c r="Q401" s="58" t="n"/>
      <c r="R401" s="58" t="n"/>
      <c r="S401" s="59">
        <f>SUM(O401:R401)</f>
        <v/>
      </c>
      <c r="T401" s="52" t="n"/>
      <c r="U401" s="53" t="n"/>
      <c r="V401" s="58" t="n"/>
      <c r="W401" s="68" t="n"/>
      <c r="X401" s="58" t="n"/>
      <c r="Y401" s="52" t="n"/>
      <c r="Z401" s="58" t="n"/>
      <c r="AA401" s="58" t="n"/>
      <c r="AB401" s="58" t="n"/>
      <c r="AC401" s="68" t="n"/>
      <c r="AD401" s="53" t="n"/>
      <c r="AE401" s="61">
        <f>SUMIFS([1]инфо!$D$15:$D$28,[1]инфо!$A$15:$A$28,F401)</f>
        <v/>
      </c>
      <c r="AF401" s="62">
        <f>IF(H401=0,0,N401/H401)</f>
        <v/>
      </c>
      <c r="AG401" s="63">
        <f>AF401-AE401</f>
        <v/>
      </c>
      <c r="AH401" s="61">
        <f>SUMIFS([1]инфо!$E$15:$E$28,[1]инфо!$A$15:$A$28,F401)</f>
        <v/>
      </c>
      <c r="AI401" s="64">
        <f>IF(H401=0,0,S401/H401)</f>
        <v/>
      </c>
      <c r="AJ401" s="63">
        <f>AI401-AH401</f>
        <v/>
      </c>
      <c r="AK401" s="61">
        <f>SUMIFS([1]инфо!$F$15:$F$28,[1]инфо!$A$15:$A$28,F401)</f>
        <v/>
      </c>
      <c r="AL401" s="64">
        <f>IF(H401=0,0,Y401/H401)</f>
        <v/>
      </c>
      <c r="AM401" s="63">
        <f>AL401-AK401</f>
        <v/>
      </c>
      <c r="AN401" s="61">
        <f>SUMIFS([1]инфо!$G$15:$G$28,[1]инфо!$A$15:$A$28,F401)</f>
        <v/>
      </c>
      <c r="AO401" s="64">
        <f>IF(H401=0,0,AA401/H401)</f>
        <v/>
      </c>
      <c r="AP401" s="63">
        <f>AO401-AN401</f>
        <v/>
      </c>
      <c r="AQ401" s="61">
        <f>SUMIFS([1]инфо!$H$15:$H$28,[1]инфо!$A$15:$A$28,F401)</f>
        <v/>
      </c>
      <c r="AR401" s="62">
        <f>IF(H400=0,0,AC401/H400)</f>
        <v/>
      </c>
      <c r="AS401" s="63">
        <f>AR401-AQ401</f>
        <v/>
      </c>
      <c r="AT401" s="61">
        <f>SUMIFS([1]инфо!$I$15:$I$28,[1]инфо!$A$15:$A$28,F401)</f>
        <v/>
      </c>
      <c r="AU401" s="62">
        <f>IF(H401=0,0,AD401/H401)</f>
        <v/>
      </c>
      <c r="AV401" s="63">
        <f>AU401-AT401</f>
        <v/>
      </c>
      <c r="AX401" s="59">
        <f>SUMIFS([1]инфо!$C$15:$C$28,[1]инфо!$A$15:$A$28,F401)*H400</f>
        <v/>
      </c>
    </row>
    <row r="402">
      <c r="A402" s="71">
        <f>A400+1</f>
        <v/>
      </c>
      <c r="B402" s="51" t="n"/>
      <c r="C402" s="77" t="n"/>
      <c r="D402" s="78" t="n"/>
      <c r="E402" s="66" t="n"/>
      <c r="F402" s="67" t="n"/>
      <c r="G402" s="79" t="n"/>
      <c r="H402" s="67" t="n"/>
      <c r="I402" s="57">
        <f>IFERROR(H402*VLOOKUP(F402,[1]инфо!$A$15:$C$28,3,FALSE)/1000,0)</f>
        <v/>
      </c>
      <c r="J402" s="55" t="n"/>
      <c r="K402" s="55" t="n"/>
      <c r="L402" s="55" t="n"/>
      <c r="M402" s="55" t="n"/>
      <c r="N402" s="56" t="n"/>
      <c r="O402" s="79" t="n"/>
      <c r="P402" s="79" t="n"/>
      <c r="Q402" s="79" t="n"/>
      <c r="R402" s="79" t="n"/>
      <c r="S402" s="80">
        <f>SUM(O402:R402)</f>
        <v/>
      </c>
      <c r="T402" s="77" t="n"/>
      <c r="U402" s="78" t="n"/>
      <c r="V402" s="79" t="n"/>
      <c r="W402" s="68" t="n"/>
      <c r="X402" s="79" t="n"/>
      <c r="Y402" s="77" t="n"/>
      <c r="Z402" s="79" t="n"/>
      <c r="AA402" s="79" t="n"/>
      <c r="AB402" s="79" t="n"/>
      <c r="AC402" s="68" t="n"/>
      <c r="AD402" s="78" t="n"/>
      <c r="AE402" s="81">
        <f>SUMIFS([1]инфо!$D$15:$D$28,[1]инфо!$A$15:$A$28,F402)</f>
        <v/>
      </c>
      <c r="AF402" s="62">
        <f>IF(H402=0,0,N402/H402)</f>
        <v/>
      </c>
      <c r="AG402" s="82">
        <f>AF402-AE402</f>
        <v/>
      </c>
      <c r="AH402" s="81">
        <f>SUMIFS([1]инфо!$E$15:$E$28,[1]инфо!$A$15:$A$28,F402)</f>
        <v/>
      </c>
      <c r="AI402" s="64">
        <f>IF(H402=0,0,S402/H402)</f>
        <v/>
      </c>
      <c r="AJ402" s="82">
        <f>AI402-AH402</f>
        <v/>
      </c>
      <c r="AK402" s="81">
        <f>SUMIFS([1]инфо!$F$15:$F$28,[1]инфо!$A$15:$A$28,F402)</f>
        <v/>
      </c>
      <c r="AL402" s="64">
        <f>IF(H402=0,0,Y402/H402)</f>
        <v/>
      </c>
      <c r="AM402" s="82">
        <f>AL402-AK402</f>
        <v/>
      </c>
      <c r="AN402" s="81">
        <f>SUMIFS([1]инфо!$G$15:$G$28,[1]инфо!$A$15:$A$28,F402)</f>
        <v/>
      </c>
      <c r="AO402" s="64">
        <f>IF(H402=0,0,AA402/H402)</f>
        <v/>
      </c>
      <c r="AP402" s="82">
        <f>AO402-AN402</f>
        <v/>
      </c>
      <c r="AQ402" s="81">
        <f>SUMIFS([1]инфо!$H$15:$H$28,[1]инфо!$A$15:$A$28,F402)</f>
        <v/>
      </c>
      <c r="AR402" s="85">
        <f>IF(H401=0,0,AC402/H401)</f>
        <v/>
      </c>
      <c r="AS402" s="82">
        <f>AR402-AQ402</f>
        <v/>
      </c>
      <c r="AT402" s="81">
        <f>SUMIFS([1]инфо!$I$15:$I$28,[1]инфо!$A$15:$A$28,F402)</f>
        <v/>
      </c>
      <c r="AU402" s="62">
        <f>IF(H402=0,0,AD402/H402)</f>
        <v/>
      </c>
      <c r="AV402" s="82">
        <f>AU402-AT402</f>
        <v/>
      </c>
      <c r="AX402" s="80">
        <f>SUMIFS([1]инфо!$C$15:$C$28,[1]инфо!$A$15:$A$28,F402)*H401</f>
        <v/>
      </c>
    </row>
    <row r="403">
      <c r="A403" s="71">
        <f>A401+1</f>
        <v/>
      </c>
      <c r="B403" s="51" t="n"/>
      <c r="C403" s="72" t="n"/>
      <c r="D403" s="73" t="n"/>
      <c r="E403" s="66" t="n"/>
      <c r="F403" s="67" t="n"/>
      <c r="G403" s="74" t="n"/>
      <c r="H403" s="55" t="n"/>
      <c r="I403" s="57">
        <f>IFERROR(H403*VLOOKUP(F403,[1]инфо!$A$15:$C$28,3,FALSE)/1000,0)</f>
        <v/>
      </c>
      <c r="J403" s="55" t="n"/>
      <c r="K403" s="55" t="n"/>
      <c r="L403" s="55" t="n"/>
      <c r="M403" s="55" t="n"/>
      <c r="N403" s="67" t="n"/>
      <c r="O403" s="74" t="n"/>
      <c r="P403" s="74" t="n"/>
      <c r="Q403" s="74" t="n"/>
      <c r="R403" s="74" t="n"/>
      <c r="S403" s="70">
        <f>SUM(O403:R403)</f>
        <v/>
      </c>
      <c r="T403" s="72" t="n"/>
      <c r="U403" s="73" t="n"/>
      <c r="V403" s="74" t="n"/>
      <c r="W403" s="68" t="n"/>
      <c r="X403" s="74" t="n"/>
      <c r="Y403" s="72" t="n"/>
      <c r="Z403" s="74" t="n"/>
      <c r="AA403" s="74" t="n"/>
      <c r="AB403" s="74" t="n"/>
      <c r="AC403" s="68" t="n"/>
      <c r="AD403" s="73" t="n"/>
      <c r="AE403" s="75">
        <f>SUMIFS([1]инфо!$D$15:$D$28,[1]инфо!$A$15:$A$28,F403)</f>
        <v/>
      </c>
      <c r="AF403" s="62">
        <f>IF(H403=0,0,N403/H403)</f>
        <v/>
      </c>
      <c r="AG403" s="76">
        <f>AF403-AE403</f>
        <v/>
      </c>
      <c r="AH403" s="75">
        <f>SUMIFS([1]инфо!$E$15:$E$28,[1]инфо!$A$15:$A$28,F403)</f>
        <v/>
      </c>
      <c r="AI403" s="64">
        <f>IF(H403=0,0,S403/H403)</f>
        <v/>
      </c>
      <c r="AJ403" s="76">
        <f>AI403-AH403</f>
        <v/>
      </c>
      <c r="AK403" s="75">
        <f>SUMIFS([1]инфо!$F$15:$F$28,[1]инфо!$A$15:$A$28,F403)</f>
        <v/>
      </c>
      <c r="AL403" s="64">
        <f>IF(H403=0,0,Y403/H403)</f>
        <v/>
      </c>
      <c r="AM403" s="76">
        <f>AL403-AK403</f>
        <v/>
      </c>
      <c r="AN403" s="75">
        <f>SUMIFS([1]инфо!$G$15:$G$28,[1]инфо!$A$15:$A$28,F403)</f>
        <v/>
      </c>
      <c r="AO403" s="64">
        <f>IF(H403=0,0,AA403/H403)</f>
        <v/>
      </c>
      <c r="AP403" s="76">
        <f>AO403-AN403</f>
        <v/>
      </c>
      <c r="AQ403" s="75">
        <f>SUMIFS([1]инфо!$H$15:$H$28,[1]инфо!$A$15:$A$28,F403)</f>
        <v/>
      </c>
      <c r="AR403" s="64">
        <f>IF(H402=0,0,AC403/H402)</f>
        <v/>
      </c>
      <c r="AS403" s="76">
        <f>AR403-AQ403</f>
        <v/>
      </c>
      <c r="AT403" s="75">
        <f>SUMIFS([1]инфо!$I$15:$I$28,[1]инфо!$A$15:$A$28,F403)</f>
        <v/>
      </c>
      <c r="AU403" s="62">
        <f>IF(H403=0,0,AD403/H403)</f>
        <v/>
      </c>
      <c r="AV403" s="76">
        <f>AU403-AT403</f>
        <v/>
      </c>
      <c r="AX403" s="70">
        <f>SUMIFS([1]инфо!$C$15:$C$28,[1]инфо!$A$15:$A$28,F403)*H402</f>
        <v/>
      </c>
    </row>
    <row r="404">
      <c r="A404" s="71">
        <f>A402+1</f>
        <v/>
      </c>
      <c r="B404" s="51" t="n"/>
      <c r="C404" s="52" t="n"/>
      <c r="D404" s="53" t="n"/>
      <c r="E404" s="66" t="n"/>
      <c r="F404" s="67" t="n"/>
      <c r="G404" s="58" t="n"/>
      <c r="H404" s="55" t="n"/>
      <c r="I404" s="57">
        <f>IFERROR(H404*VLOOKUP(F404,[1]инфо!$A$15:$C$28,3,FALSE)/1000,0)</f>
        <v/>
      </c>
      <c r="J404" s="55" t="n"/>
      <c r="K404" s="55" t="n"/>
      <c r="L404" s="55" t="n"/>
      <c r="M404" s="55" t="n"/>
      <c r="N404" s="55" t="n"/>
      <c r="O404" s="58" t="n"/>
      <c r="P404" s="58" t="n"/>
      <c r="Q404" s="58" t="n"/>
      <c r="R404" s="58" t="n"/>
      <c r="S404" s="59">
        <f>SUM(O404:R404)</f>
        <v/>
      </c>
      <c r="T404" s="52" t="n"/>
      <c r="U404" s="53" t="n"/>
      <c r="V404" s="58" t="n"/>
      <c r="W404" s="68" t="n"/>
      <c r="X404" s="58" t="n"/>
      <c r="Y404" s="52" t="n"/>
      <c r="Z404" s="58" t="n"/>
      <c r="AA404" s="58" t="n"/>
      <c r="AB404" s="58" t="n"/>
      <c r="AC404" s="68" t="n"/>
      <c r="AD404" s="53" t="n"/>
      <c r="AE404" s="61">
        <f>SUMIFS([1]инфо!$D$15:$D$28,[1]инфо!$A$15:$A$28,F404)</f>
        <v/>
      </c>
      <c r="AF404" s="62">
        <f>IF(H404=0,0,N404/H404)</f>
        <v/>
      </c>
      <c r="AG404" s="63">
        <f>AF404-AE404</f>
        <v/>
      </c>
      <c r="AH404" s="61">
        <f>SUMIFS([1]инфо!$E$15:$E$28,[1]инфо!$A$15:$A$28,F404)</f>
        <v/>
      </c>
      <c r="AI404" s="64">
        <f>IF(H404=0,0,S404/H404)</f>
        <v/>
      </c>
      <c r="AJ404" s="63">
        <f>AI404-AH404</f>
        <v/>
      </c>
      <c r="AK404" s="61">
        <f>SUMIFS([1]инфо!$F$15:$F$28,[1]инфо!$A$15:$A$28,F404)</f>
        <v/>
      </c>
      <c r="AL404" s="64">
        <f>IF(H404=0,0,Y404/H404)</f>
        <v/>
      </c>
      <c r="AM404" s="63">
        <f>AL404-AK404</f>
        <v/>
      </c>
      <c r="AN404" s="61">
        <f>SUMIFS([1]инфо!$G$15:$G$28,[1]инфо!$A$15:$A$28,F404)</f>
        <v/>
      </c>
      <c r="AO404" s="64">
        <f>IF(H404=0,0,AA404/H404)</f>
        <v/>
      </c>
      <c r="AP404" s="63">
        <f>AO404-AN404</f>
        <v/>
      </c>
      <c r="AQ404" s="61">
        <f>SUMIFS([1]инфо!$H$15:$H$28,[1]инфо!$A$15:$A$28,F404)</f>
        <v/>
      </c>
      <c r="AR404" s="62">
        <f>IF(H403=0,0,AC404/H403)</f>
        <v/>
      </c>
      <c r="AS404" s="63">
        <f>AR404-AQ404</f>
        <v/>
      </c>
      <c r="AT404" s="61">
        <f>SUMIFS([1]инфо!$I$15:$I$28,[1]инфо!$A$15:$A$28,F404)</f>
        <v/>
      </c>
      <c r="AU404" s="62">
        <f>IF(H404=0,0,AD404/H404)</f>
        <v/>
      </c>
      <c r="AV404" s="63">
        <f>AU404-AT404</f>
        <v/>
      </c>
      <c r="AX404" s="59">
        <f>SUMIFS([1]инфо!$C$15:$C$28,[1]инфо!$A$15:$A$28,F404)*H403</f>
        <v/>
      </c>
    </row>
    <row r="405">
      <c r="A405" s="71">
        <f>A403+1</f>
        <v/>
      </c>
      <c r="B405" s="51" t="n"/>
      <c r="C405" s="52" t="n"/>
      <c r="D405" s="53" t="n"/>
      <c r="E405" s="66" t="n"/>
      <c r="F405" s="67" t="n"/>
      <c r="G405" s="58" t="n"/>
      <c r="H405" s="56" t="n"/>
      <c r="I405" s="57">
        <f>IFERROR(H405*VLOOKUP(F405,[1]инфо!$A$15:$C$28,3,FALSE)/1000,0)</f>
        <v/>
      </c>
      <c r="J405" s="55" t="n"/>
      <c r="K405" s="55" t="n"/>
      <c r="L405" s="55" t="n"/>
      <c r="M405" s="55" t="n"/>
      <c r="N405" s="55" t="n"/>
      <c r="O405" s="58" t="n"/>
      <c r="P405" s="58" t="n"/>
      <c r="Q405" s="58" t="n"/>
      <c r="R405" s="58" t="n"/>
      <c r="S405" s="59">
        <f>SUM(O405:R405)</f>
        <v/>
      </c>
      <c r="T405" s="52" t="n"/>
      <c r="U405" s="53" t="n"/>
      <c r="V405" s="58" t="n"/>
      <c r="W405" s="68" t="n"/>
      <c r="X405" s="58" t="n"/>
      <c r="Y405" s="52" t="n"/>
      <c r="Z405" s="58" t="n"/>
      <c r="AA405" s="58" t="n"/>
      <c r="AB405" s="58" t="n"/>
      <c r="AC405" s="68" t="n"/>
      <c r="AD405" s="53" t="n"/>
      <c r="AE405" s="61">
        <f>SUMIFS([1]инфо!$D$15:$D$28,[1]инфо!$A$15:$A$28,F405)</f>
        <v/>
      </c>
      <c r="AF405" s="62">
        <f>IF(H405=0,0,N405/H405)</f>
        <v/>
      </c>
      <c r="AG405" s="63">
        <f>AF405-AE405</f>
        <v/>
      </c>
      <c r="AH405" s="61">
        <f>SUMIFS([1]инфо!$E$15:$E$28,[1]инфо!$A$15:$A$28,F405)</f>
        <v/>
      </c>
      <c r="AI405" s="64">
        <f>IF(H405=0,0,S405/H405)</f>
        <v/>
      </c>
      <c r="AJ405" s="63">
        <f>AI405-AH405</f>
        <v/>
      </c>
      <c r="AK405" s="61">
        <f>SUMIFS([1]инфо!$F$15:$F$28,[1]инфо!$A$15:$A$28,F405)</f>
        <v/>
      </c>
      <c r="AL405" s="64">
        <f>IF(H405=0,0,Y405/H405)</f>
        <v/>
      </c>
      <c r="AM405" s="63">
        <f>AL405-AK405</f>
        <v/>
      </c>
      <c r="AN405" s="61">
        <f>SUMIFS([1]инфо!$G$15:$G$28,[1]инфо!$A$15:$A$28,F405)</f>
        <v/>
      </c>
      <c r="AO405" s="64">
        <f>IF(H405=0,0,AA405/H405)</f>
        <v/>
      </c>
      <c r="AP405" s="63">
        <f>AO405-AN405</f>
        <v/>
      </c>
      <c r="AQ405" s="61">
        <f>SUMIFS([1]инфо!$H$15:$H$28,[1]инфо!$A$15:$A$28,F405)</f>
        <v/>
      </c>
      <c r="AR405" s="62">
        <f>IF(H404=0,0,AC405/H404)</f>
        <v/>
      </c>
      <c r="AS405" s="63">
        <f>AR405-AQ405</f>
        <v/>
      </c>
      <c r="AT405" s="61">
        <f>SUMIFS([1]инфо!$I$15:$I$28,[1]инфо!$A$15:$A$28,F405)</f>
        <v/>
      </c>
      <c r="AU405" s="62">
        <f>IF(H405=0,0,AD405/H405)</f>
        <v/>
      </c>
      <c r="AV405" s="63">
        <f>AU405-AT405</f>
        <v/>
      </c>
      <c r="AX405" s="59">
        <f>SUMIFS([1]инфо!$C$15:$C$28,[1]инфо!$A$15:$A$28,F405)*H404</f>
        <v/>
      </c>
    </row>
    <row r="406">
      <c r="A406" s="71">
        <f>A404+1</f>
        <v/>
      </c>
      <c r="B406" s="51" t="n"/>
      <c r="C406" s="77" t="n"/>
      <c r="D406" s="78" t="n"/>
      <c r="E406" s="66" t="n"/>
      <c r="F406" s="67" t="n"/>
      <c r="G406" s="79" t="n"/>
      <c r="H406" s="67" t="n"/>
      <c r="I406" s="57">
        <f>IFERROR(H406*VLOOKUP(F406,[1]инфо!$A$15:$C$28,3,FALSE)/1000,0)</f>
        <v/>
      </c>
      <c r="J406" s="55" t="n"/>
      <c r="K406" s="55" t="n"/>
      <c r="L406" s="55" t="n"/>
      <c r="M406" s="55" t="n"/>
      <c r="N406" s="56" t="n"/>
      <c r="O406" s="79" t="n"/>
      <c r="P406" s="79" t="n"/>
      <c r="Q406" s="79" t="n"/>
      <c r="R406" s="79" t="n"/>
      <c r="S406" s="80">
        <f>SUM(O406:R406)</f>
        <v/>
      </c>
      <c r="T406" s="77" t="n"/>
      <c r="U406" s="78" t="n"/>
      <c r="V406" s="79" t="n"/>
      <c r="W406" s="68" t="n"/>
      <c r="X406" s="79" t="n"/>
      <c r="Y406" s="77" t="n"/>
      <c r="Z406" s="79" t="n"/>
      <c r="AA406" s="79" t="n"/>
      <c r="AB406" s="79" t="n"/>
      <c r="AC406" s="68" t="n"/>
      <c r="AD406" s="78" t="n"/>
      <c r="AE406" s="81">
        <f>SUMIFS([1]инфо!$D$15:$D$28,[1]инфо!$A$15:$A$28,F406)</f>
        <v/>
      </c>
      <c r="AF406" s="62">
        <f>IF(H406=0,0,N406/H406)</f>
        <v/>
      </c>
      <c r="AG406" s="82">
        <f>AF406-AE406</f>
        <v/>
      </c>
      <c r="AH406" s="81">
        <f>SUMIFS([1]инфо!$E$15:$E$28,[1]инфо!$A$15:$A$28,F406)</f>
        <v/>
      </c>
      <c r="AI406" s="64">
        <f>IF(H406=0,0,S406/H406)</f>
        <v/>
      </c>
      <c r="AJ406" s="82">
        <f>AI406-AH406</f>
        <v/>
      </c>
      <c r="AK406" s="81">
        <f>SUMIFS([1]инфо!$F$15:$F$28,[1]инфо!$A$15:$A$28,F406)</f>
        <v/>
      </c>
      <c r="AL406" s="64">
        <f>IF(H406=0,0,Y406/H406)</f>
        <v/>
      </c>
      <c r="AM406" s="82">
        <f>AL406-AK406</f>
        <v/>
      </c>
      <c r="AN406" s="81">
        <f>SUMIFS([1]инфо!$G$15:$G$28,[1]инфо!$A$15:$A$28,F406)</f>
        <v/>
      </c>
      <c r="AO406" s="64">
        <f>IF(H406=0,0,AA406/H406)</f>
        <v/>
      </c>
      <c r="AP406" s="82">
        <f>AO406-AN406</f>
        <v/>
      </c>
      <c r="AQ406" s="81">
        <f>SUMIFS([1]инфо!$H$15:$H$28,[1]инфо!$A$15:$A$28,F406)</f>
        <v/>
      </c>
      <c r="AR406" s="85">
        <f>IF(H405=0,0,AC406/H405)</f>
        <v/>
      </c>
      <c r="AS406" s="82">
        <f>AR406-AQ406</f>
        <v/>
      </c>
      <c r="AT406" s="81">
        <f>SUMIFS([1]инфо!$I$15:$I$28,[1]инфо!$A$15:$A$28,F406)</f>
        <v/>
      </c>
      <c r="AU406" s="62">
        <f>IF(H406=0,0,AD406/H406)</f>
        <v/>
      </c>
      <c r="AV406" s="82">
        <f>AU406-AT406</f>
        <v/>
      </c>
      <c r="AX406" s="80">
        <f>SUMIFS([1]инфо!$C$15:$C$28,[1]инфо!$A$15:$A$28,F406)*H405</f>
        <v/>
      </c>
    </row>
    <row r="407">
      <c r="A407" s="71">
        <f>A405+1</f>
        <v/>
      </c>
      <c r="B407" s="51" t="n"/>
      <c r="C407" s="72" t="n"/>
      <c r="D407" s="73" t="n"/>
      <c r="E407" s="66" t="n"/>
      <c r="F407" s="67" t="n"/>
      <c r="G407" s="74" t="n"/>
      <c r="H407" s="55" t="n"/>
      <c r="I407" s="57">
        <f>IFERROR(H407*VLOOKUP(F407,[1]инфо!$A$15:$C$28,3,FALSE)/1000,0)</f>
        <v/>
      </c>
      <c r="J407" s="55" t="n"/>
      <c r="K407" s="55" t="n"/>
      <c r="L407" s="55" t="n"/>
      <c r="M407" s="55" t="n"/>
      <c r="N407" s="67" t="n"/>
      <c r="O407" s="74" t="n"/>
      <c r="P407" s="74" t="n"/>
      <c r="Q407" s="74" t="n"/>
      <c r="R407" s="74" t="n"/>
      <c r="S407" s="70">
        <f>SUM(O407:R407)</f>
        <v/>
      </c>
      <c r="T407" s="72" t="n"/>
      <c r="U407" s="73" t="n"/>
      <c r="V407" s="74" t="n"/>
      <c r="W407" s="68" t="n"/>
      <c r="X407" s="74" t="n"/>
      <c r="Y407" s="72" t="n"/>
      <c r="Z407" s="74" t="n"/>
      <c r="AA407" s="74" t="n"/>
      <c r="AB407" s="74" t="n"/>
      <c r="AC407" s="68" t="n"/>
      <c r="AD407" s="73" t="n"/>
      <c r="AE407" s="75">
        <f>SUMIFS([1]инфо!$D$15:$D$28,[1]инфо!$A$15:$A$28,F407)</f>
        <v/>
      </c>
      <c r="AF407" s="62">
        <f>IF(H407=0,0,N407/H407)</f>
        <v/>
      </c>
      <c r="AG407" s="76">
        <f>AF407-AE407</f>
        <v/>
      </c>
      <c r="AH407" s="75">
        <f>SUMIFS([1]инфо!$E$15:$E$28,[1]инфо!$A$15:$A$28,F407)</f>
        <v/>
      </c>
      <c r="AI407" s="64">
        <f>IF(H407=0,0,S407/H407)</f>
        <v/>
      </c>
      <c r="AJ407" s="76">
        <f>AI407-AH407</f>
        <v/>
      </c>
      <c r="AK407" s="75">
        <f>SUMIFS([1]инфо!$F$15:$F$28,[1]инфо!$A$15:$A$28,F407)</f>
        <v/>
      </c>
      <c r="AL407" s="64">
        <f>IF(H407=0,0,Y407/H407)</f>
        <v/>
      </c>
      <c r="AM407" s="76">
        <f>AL407-AK407</f>
        <v/>
      </c>
      <c r="AN407" s="75">
        <f>SUMIFS([1]инфо!$G$15:$G$28,[1]инфо!$A$15:$A$28,F407)</f>
        <v/>
      </c>
      <c r="AO407" s="64">
        <f>IF(H407=0,0,AA407/H407)</f>
        <v/>
      </c>
      <c r="AP407" s="76">
        <f>AO407-AN407</f>
        <v/>
      </c>
      <c r="AQ407" s="75">
        <f>SUMIFS([1]инфо!$H$15:$H$28,[1]инфо!$A$15:$A$28,F407)</f>
        <v/>
      </c>
      <c r="AR407" s="64">
        <f>IF(H406=0,0,AC407/H406)</f>
        <v/>
      </c>
      <c r="AS407" s="76">
        <f>AR407-AQ407</f>
        <v/>
      </c>
      <c r="AT407" s="75">
        <f>SUMIFS([1]инфо!$I$15:$I$28,[1]инфо!$A$15:$A$28,F407)</f>
        <v/>
      </c>
      <c r="AU407" s="62">
        <f>IF(H407=0,0,AD407/H407)</f>
        <v/>
      </c>
      <c r="AV407" s="76">
        <f>AU407-AT407</f>
        <v/>
      </c>
      <c r="AX407" s="70">
        <f>SUMIFS([1]инфо!$C$15:$C$28,[1]инфо!$A$15:$A$28,F407)*H406</f>
        <v/>
      </c>
    </row>
    <row r="408">
      <c r="A408" s="71">
        <f>A406+1</f>
        <v/>
      </c>
      <c r="B408" s="51" t="n"/>
      <c r="C408" s="52" t="n"/>
      <c r="D408" s="53" t="n"/>
      <c r="E408" s="66" t="n"/>
      <c r="F408" s="67" t="n"/>
      <c r="G408" s="58" t="n"/>
      <c r="H408" s="55" t="n"/>
      <c r="I408" s="57">
        <f>IFERROR(H408*VLOOKUP(F408,[1]инфо!$A$15:$C$28,3,FALSE)/1000,0)</f>
        <v/>
      </c>
      <c r="J408" s="55" t="n"/>
      <c r="K408" s="55" t="n"/>
      <c r="L408" s="55" t="n"/>
      <c r="M408" s="55" t="n"/>
      <c r="N408" s="55" t="n"/>
      <c r="O408" s="58" t="n"/>
      <c r="P408" s="58" t="n"/>
      <c r="Q408" s="58" t="n"/>
      <c r="R408" s="58" t="n"/>
      <c r="S408" s="59">
        <f>SUM(O408:R408)</f>
        <v/>
      </c>
      <c r="T408" s="52" t="n"/>
      <c r="U408" s="53" t="n"/>
      <c r="V408" s="58" t="n"/>
      <c r="W408" s="68" t="n"/>
      <c r="X408" s="58" t="n"/>
      <c r="Y408" s="52" t="n"/>
      <c r="Z408" s="58" t="n"/>
      <c r="AA408" s="58" t="n"/>
      <c r="AB408" s="58" t="n"/>
      <c r="AC408" s="68" t="n"/>
      <c r="AD408" s="53" t="n"/>
      <c r="AE408" s="61">
        <f>SUMIFS([1]инфо!$D$15:$D$28,[1]инфо!$A$15:$A$28,F408)</f>
        <v/>
      </c>
      <c r="AF408" s="62">
        <f>IF(H408=0,0,N408/H408)</f>
        <v/>
      </c>
      <c r="AG408" s="63">
        <f>AF408-AE408</f>
        <v/>
      </c>
      <c r="AH408" s="61">
        <f>SUMIFS([1]инфо!$E$15:$E$28,[1]инфо!$A$15:$A$28,F408)</f>
        <v/>
      </c>
      <c r="AI408" s="64">
        <f>IF(H408=0,0,S408/H408)</f>
        <v/>
      </c>
      <c r="AJ408" s="63">
        <f>AI408-AH408</f>
        <v/>
      </c>
      <c r="AK408" s="61">
        <f>SUMIFS([1]инфо!$F$15:$F$28,[1]инфо!$A$15:$A$28,F408)</f>
        <v/>
      </c>
      <c r="AL408" s="64">
        <f>IF(H408=0,0,Y408/H408)</f>
        <v/>
      </c>
      <c r="AM408" s="63">
        <f>AL408-AK408</f>
        <v/>
      </c>
      <c r="AN408" s="61">
        <f>SUMIFS([1]инфо!$G$15:$G$28,[1]инфо!$A$15:$A$28,F408)</f>
        <v/>
      </c>
      <c r="AO408" s="64">
        <f>IF(H408=0,0,AA408/H408)</f>
        <v/>
      </c>
      <c r="AP408" s="63">
        <f>AO408-AN408</f>
        <v/>
      </c>
      <c r="AQ408" s="61">
        <f>SUMIFS([1]инфо!$H$15:$H$28,[1]инфо!$A$15:$A$28,F408)</f>
        <v/>
      </c>
      <c r="AR408" s="62">
        <f>IF(H407=0,0,AC408/H407)</f>
        <v/>
      </c>
      <c r="AS408" s="63">
        <f>AR408-AQ408</f>
        <v/>
      </c>
      <c r="AT408" s="61">
        <f>SUMIFS([1]инфо!$I$15:$I$28,[1]инфо!$A$15:$A$28,F408)</f>
        <v/>
      </c>
      <c r="AU408" s="62">
        <f>IF(H408=0,0,AD408/H408)</f>
        <v/>
      </c>
      <c r="AV408" s="63">
        <f>AU408-AT408</f>
        <v/>
      </c>
      <c r="AX408" s="59">
        <f>SUMIFS([1]инфо!$C$15:$C$28,[1]инфо!$A$15:$A$28,F408)*H407</f>
        <v/>
      </c>
    </row>
    <row r="409">
      <c r="A409" s="71">
        <f>A407+1</f>
        <v/>
      </c>
      <c r="B409" s="51" t="n"/>
      <c r="C409" s="52" t="n"/>
      <c r="D409" s="53" t="n"/>
      <c r="E409" s="66" t="n"/>
      <c r="F409" s="67" t="n"/>
      <c r="G409" s="58" t="n"/>
      <c r="H409" s="56" t="n"/>
      <c r="I409" s="57">
        <f>IFERROR(H409*VLOOKUP(F409,[1]инфо!$A$15:$C$28,3,FALSE)/1000,0)</f>
        <v/>
      </c>
      <c r="J409" s="55" t="n"/>
      <c r="K409" s="55" t="n"/>
      <c r="L409" s="55" t="n"/>
      <c r="M409" s="55" t="n"/>
      <c r="N409" s="55" t="n"/>
      <c r="O409" s="58" t="n"/>
      <c r="P409" s="58" t="n"/>
      <c r="Q409" s="58" t="n"/>
      <c r="R409" s="58" t="n"/>
      <c r="S409" s="59">
        <f>SUM(O409:R409)</f>
        <v/>
      </c>
      <c r="T409" s="52" t="n"/>
      <c r="U409" s="53" t="n"/>
      <c r="V409" s="58" t="n"/>
      <c r="W409" s="68" t="n"/>
      <c r="X409" s="58" t="n"/>
      <c r="Y409" s="52" t="n"/>
      <c r="Z409" s="58" t="n"/>
      <c r="AA409" s="58" t="n"/>
      <c r="AB409" s="58" t="n"/>
      <c r="AC409" s="68" t="n"/>
      <c r="AD409" s="53" t="n"/>
      <c r="AE409" s="61">
        <f>SUMIFS([1]инфо!$D$15:$D$28,[1]инфо!$A$15:$A$28,F409)</f>
        <v/>
      </c>
      <c r="AF409" s="62">
        <f>IF(H409=0,0,N409/H409)</f>
        <v/>
      </c>
      <c r="AG409" s="63">
        <f>AF409-AE409</f>
        <v/>
      </c>
      <c r="AH409" s="61">
        <f>SUMIFS([1]инфо!$E$15:$E$28,[1]инфо!$A$15:$A$28,F409)</f>
        <v/>
      </c>
      <c r="AI409" s="64">
        <f>IF(H409=0,0,S409/H409)</f>
        <v/>
      </c>
      <c r="AJ409" s="63">
        <f>AI409-AH409</f>
        <v/>
      </c>
      <c r="AK409" s="61">
        <f>SUMIFS([1]инфо!$F$15:$F$28,[1]инфо!$A$15:$A$28,F409)</f>
        <v/>
      </c>
      <c r="AL409" s="64">
        <f>IF(H409=0,0,Y409/H409)</f>
        <v/>
      </c>
      <c r="AM409" s="63">
        <f>AL409-AK409</f>
        <v/>
      </c>
      <c r="AN409" s="61">
        <f>SUMIFS([1]инфо!$G$15:$G$28,[1]инфо!$A$15:$A$28,F409)</f>
        <v/>
      </c>
      <c r="AO409" s="64">
        <f>IF(H409=0,0,AA409/H409)</f>
        <v/>
      </c>
      <c r="AP409" s="63">
        <f>AO409-AN409</f>
        <v/>
      </c>
      <c r="AQ409" s="61">
        <f>SUMIFS([1]инфо!$H$15:$H$28,[1]инфо!$A$15:$A$28,F409)</f>
        <v/>
      </c>
      <c r="AR409" s="62">
        <f>IF(H408=0,0,AC409/H408)</f>
        <v/>
      </c>
      <c r="AS409" s="63">
        <f>AR409-AQ409</f>
        <v/>
      </c>
      <c r="AT409" s="61">
        <f>SUMIFS([1]инфо!$I$15:$I$28,[1]инфо!$A$15:$A$28,F409)</f>
        <v/>
      </c>
      <c r="AU409" s="62">
        <f>IF(H409=0,0,AD409/H409)</f>
        <v/>
      </c>
      <c r="AV409" s="63">
        <f>AU409-AT409</f>
        <v/>
      </c>
      <c r="AX409" s="59">
        <f>SUMIFS([1]инфо!$C$15:$C$28,[1]инфо!$A$15:$A$28,F409)*H408</f>
        <v/>
      </c>
    </row>
    <row r="410">
      <c r="A410" s="71">
        <f>A408+1</f>
        <v/>
      </c>
      <c r="B410" s="51" t="n"/>
      <c r="C410" s="77" t="n"/>
      <c r="D410" s="78" t="n"/>
      <c r="E410" s="66" t="n"/>
      <c r="F410" s="67" t="n"/>
      <c r="G410" s="79" t="n"/>
      <c r="H410" s="67" t="n"/>
      <c r="I410" s="57">
        <f>IFERROR(H410*VLOOKUP(F410,[1]инфо!$A$15:$C$28,3,FALSE)/1000,0)</f>
        <v/>
      </c>
      <c r="J410" s="55" t="n"/>
      <c r="K410" s="55" t="n"/>
      <c r="L410" s="55" t="n"/>
      <c r="M410" s="55" t="n"/>
      <c r="N410" s="56" t="n"/>
      <c r="O410" s="79" t="n"/>
      <c r="P410" s="79" t="n"/>
      <c r="Q410" s="79" t="n"/>
      <c r="R410" s="79" t="n"/>
      <c r="S410" s="80">
        <f>SUM(O410:R410)</f>
        <v/>
      </c>
      <c r="T410" s="77" t="n"/>
      <c r="U410" s="78" t="n"/>
      <c r="V410" s="79" t="n"/>
      <c r="W410" s="68" t="n"/>
      <c r="X410" s="79" t="n"/>
      <c r="Y410" s="77" t="n"/>
      <c r="Z410" s="79" t="n"/>
      <c r="AA410" s="79" t="n"/>
      <c r="AB410" s="79" t="n"/>
      <c r="AC410" s="68" t="n"/>
      <c r="AD410" s="78" t="n"/>
      <c r="AE410" s="81">
        <f>SUMIFS([1]инфо!$D$15:$D$28,[1]инфо!$A$15:$A$28,F410)</f>
        <v/>
      </c>
      <c r="AF410" s="62">
        <f>IF(H410=0,0,N410/H410)</f>
        <v/>
      </c>
      <c r="AG410" s="82">
        <f>AF410-AE410</f>
        <v/>
      </c>
      <c r="AH410" s="81">
        <f>SUMIFS([1]инфо!$E$15:$E$28,[1]инфо!$A$15:$A$28,F410)</f>
        <v/>
      </c>
      <c r="AI410" s="64">
        <f>IF(H410=0,0,S410/H410)</f>
        <v/>
      </c>
      <c r="AJ410" s="82">
        <f>AI410-AH410</f>
        <v/>
      </c>
      <c r="AK410" s="81">
        <f>SUMIFS([1]инфо!$F$15:$F$28,[1]инфо!$A$15:$A$28,F410)</f>
        <v/>
      </c>
      <c r="AL410" s="64">
        <f>IF(H410=0,0,Y410/H410)</f>
        <v/>
      </c>
      <c r="AM410" s="82">
        <f>AL410-AK410</f>
        <v/>
      </c>
      <c r="AN410" s="81">
        <f>SUMIFS([1]инфо!$G$15:$G$28,[1]инфо!$A$15:$A$28,F410)</f>
        <v/>
      </c>
      <c r="AO410" s="64">
        <f>IF(H410=0,0,AA410/H410)</f>
        <v/>
      </c>
      <c r="AP410" s="82">
        <f>AO410-AN410</f>
        <v/>
      </c>
      <c r="AQ410" s="81">
        <f>SUMIFS([1]инфо!$H$15:$H$28,[1]инфо!$A$15:$A$28,F410)</f>
        <v/>
      </c>
      <c r="AR410" s="85">
        <f>IF(H409=0,0,AC410/H409)</f>
        <v/>
      </c>
      <c r="AS410" s="82">
        <f>AR410-AQ410</f>
        <v/>
      </c>
      <c r="AT410" s="81">
        <f>SUMIFS([1]инфо!$I$15:$I$28,[1]инфо!$A$15:$A$28,F410)</f>
        <v/>
      </c>
      <c r="AU410" s="62">
        <f>IF(H410=0,0,AD410/H410)</f>
        <v/>
      </c>
      <c r="AV410" s="82">
        <f>AU410-AT410</f>
        <v/>
      </c>
      <c r="AX410" s="80">
        <f>SUMIFS([1]инфо!$C$15:$C$28,[1]инфо!$A$15:$A$28,F410)*H409</f>
        <v/>
      </c>
    </row>
    <row r="411">
      <c r="A411" s="71">
        <f>A409+1</f>
        <v/>
      </c>
      <c r="B411" s="51" t="n"/>
      <c r="C411" s="72" t="n"/>
      <c r="D411" s="73" t="n"/>
      <c r="E411" s="66" t="n"/>
      <c r="F411" s="67" t="n"/>
      <c r="G411" s="74" t="n"/>
      <c r="H411" s="55" t="n"/>
      <c r="I411" s="57">
        <f>IFERROR(H411*VLOOKUP(F411,[1]инфо!$A$15:$C$28,3,FALSE)/1000,0)</f>
        <v/>
      </c>
      <c r="J411" s="55" t="n"/>
      <c r="K411" s="55" t="n"/>
      <c r="L411" s="55" t="n"/>
      <c r="M411" s="55" t="n"/>
      <c r="N411" s="67" t="n"/>
      <c r="O411" s="74" t="n"/>
      <c r="P411" s="74" t="n"/>
      <c r="Q411" s="74" t="n"/>
      <c r="R411" s="74" t="n"/>
      <c r="S411" s="70">
        <f>SUM(O411:R411)</f>
        <v/>
      </c>
      <c r="T411" s="72" t="n"/>
      <c r="U411" s="73" t="n"/>
      <c r="V411" s="74" t="n"/>
      <c r="W411" s="68" t="n"/>
      <c r="X411" s="74" t="n"/>
      <c r="Y411" s="72" t="n"/>
      <c r="Z411" s="74" t="n"/>
      <c r="AA411" s="74" t="n"/>
      <c r="AB411" s="74" t="n"/>
      <c r="AC411" s="68" t="n"/>
      <c r="AD411" s="73" t="n"/>
      <c r="AE411" s="75">
        <f>SUMIFS([1]инфо!$D$15:$D$28,[1]инфо!$A$15:$A$28,F411)</f>
        <v/>
      </c>
      <c r="AF411" s="62">
        <f>IF(H411=0,0,N411/H411)</f>
        <v/>
      </c>
      <c r="AG411" s="76">
        <f>AF411-AE411</f>
        <v/>
      </c>
      <c r="AH411" s="75">
        <f>SUMIFS([1]инфо!$E$15:$E$28,[1]инфо!$A$15:$A$28,F411)</f>
        <v/>
      </c>
      <c r="AI411" s="64">
        <f>IF(H411=0,0,S411/H411)</f>
        <v/>
      </c>
      <c r="AJ411" s="76">
        <f>AI411-AH411</f>
        <v/>
      </c>
      <c r="AK411" s="75">
        <f>SUMIFS([1]инфо!$F$15:$F$28,[1]инфо!$A$15:$A$28,F411)</f>
        <v/>
      </c>
      <c r="AL411" s="64">
        <f>IF(H411=0,0,Y411/H411)</f>
        <v/>
      </c>
      <c r="AM411" s="76">
        <f>AL411-AK411</f>
        <v/>
      </c>
      <c r="AN411" s="75">
        <f>SUMIFS([1]инфо!$G$15:$G$28,[1]инфо!$A$15:$A$28,F411)</f>
        <v/>
      </c>
      <c r="AO411" s="64">
        <f>IF(H411=0,0,AA411/H411)</f>
        <v/>
      </c>
      <c r="AP411" s="76">
        <f>AO411-AN411</f>
        <v/>
      </c>
      <c r="AQ411" s="75">
        <f>SUMIFS([1]инфо!$H$15:$H$28,[1]инфо!$A$15:$A$28,F411)</f>
        <v/>
      </c>
      <c r="AR411" s="64">
        <f>IF(H410=0,0,AC411/H410)</f>
        <v/>
      </c>
      <c r="AS411" s="76">
        <f>AR411-AQ411</f>
        <v/>
      </c>
      <c r="AT411" s="75">
        <f>SUMIFS([1]инфо!$I$15:$I$28,[1]инфо!$A$15:$A$28,F411)</f>
        <v/>
      </c>
      <c r="AU411" s="62">
        <f>IF(H411=0,0,AD411/H411)</f>
        <v/>
      </c>
      <c r="AV411" s="76">
        <f>AU411-AT411</f>
        <v/>
      </c>
      <c r="AX411" s="70">
        <f>SUMIFS([1]инфо!$C$15:$C$28,[1]инфо!$A$15:$A$28,F411)*H410</f>
        <v/>
      </c>
    </row>
    <row r="412">
      <c r="A412" s="71">
        <f>A410+1</f>
        <v/>
      </c>
      <c r="B412" s="51" t="n"/>
      <c r="C412" s="52" t="n"/>
      <c r="D412" s="53" t="n"/>
      <c r="E412" s="66" t="n"/>
      <c r="F412" s="67" t="n"/>
      <c r="G412" s="58" t="n"/>
      <c r="H412" s="55" t="n"/>
      <c r="I412" s="57">
        <f>IFERROR(H412*VLOOKUP(F412,[1]инфо!$A$15:$C$28,3,FALSE)/1000,0)</f>
        <v/>
      </c>
      <c r="J412" s="55" t="n"/>
      <c r="K412" s="55" t="n"/>
      <c r="L412" s="55" t="n"/>
      <c r="M412" s="55" t="n"/>
      <c r="N412" s="55" t="n"/>
      <c r="O412" s="58" t="n"/>
      <c r="P412" s="58" t="n"/>
      <c r="Q412" s="58" t="n"/>
      <c r="R412" s="58" t="n"/>
      <c r="S412" s="59">
        <f>SUM(O412:R412)</f>
        <v/>
      </c>
      <c r="T412" s="52" t="n"/>
      <c r="U412" s="53" t="n"/>
      <c r="V412" s="58" t="n"/>
      <c r="W412" s="68" t="n"/>
      <c r="X412" s="58" t="n"/>
      <c r="Y412" s="52" t="n"/>
      <c r="Z412" s="58" t="n"/>
      <c r="AA412" s="58" t="n"/>
      <c r="AB412" s="58" t="n"/>
      <c r="AC412" s="68" t="n"/>
      <c r="AD412" s="53" t="n"/>
      <c r="AE412" s="61">
        <f>SUMIFS([1]инфо!$D$15:$D$28,[1]инфо!$A$15:$A$28,F412)</f>
        <v/>
      </c>
      <c r="AF412" s="62">
        <f>IF(H412=0,0,N412/H412)</f>
        <v/>
      </c>
      <c r="AG412" s="63">
        <f>AF412-AE412</f>
        <v/>
      </c>
      <c r="AH412" s="61">
        <f>SUMIFS([1]инфо!$E$15:$E$28,[1]инфо!$A$15:$A$28,F412)</f>
        <v/>
      </c>
      <c r="AI412" s="64">
        <f>IF(H412=0,0,S412/H412)</f>
        <v/>
      </c>
      <c r="AJ412" s="63">
        <f>AI412-AH412</f>
        <v/>
      </c>
      <c r="AK412" s="61">
        <f>SUMIFS([1]инфо!$F$15:$F$28,[1]инфо!$A$15:$A$28,F412)</f>
        <v/>
      </c>
      <c r="AL412" s="64">
        <f>IF(H412=0,0,Y412/H412)</f>
        <v/>
      </c>
      <c r="AM412" s="63">
        <f>AL412-AK412</f>
        <v/>
      </c>
      <c r="AN412" s="61">
        <f>SUMIFS([1]инфо!$G$15:$G$28,[1]инфо!$A$15:$A$28,F412)</f>
        <v/>
      </c>
      <c r="AO412" s="64">
        <f>IF(H412=0,0,AA412/H412)</f>
        <v/>
      </c>
      <c r="AP412" s="63">
        <f>AO412-AN412</f>
        <v/>
      </c>
      <c r="AQ412" s="61">
        <f>SUMIFS([1]инфо!$H$15:$H$28,[1]инфо!$A$15:$A$28,F412)</f>
        <v/>
      </c>
      <c r="AR412" s="62">
        <f>IF(H411=0,0,AC412/H411)</f>
        <v/>
      </c>
      <c r="AS412" s="63">
        <f>AR412-AQ412</f>
        <v/>
      </c>
      <c r="AT412" s="61">
        <f>SUMIFS([1]инфо!$I$15:$I$28,[1]инфо!$A$15:$A$28,F412)</f>
        <v/>
      </c>
      <c r="AU412" s="62">
        <f>IF(H412=0,0,AD412/H412)</f>
        <v/>
      </c>
      <c r="AV412" s="63">
        <f>AU412-AT412</f>
        <v/>
      </c>
      <c r="AX412" s="59">
        <f>SUMIFS([1]инфо!$C$15:$C$28,[1]инфо!$A$15:$A$28,F412)*H411</f>
        <v/>
      </c>
    </row>
    <row r="413">
      <c r="A413" s="71">
        <f>A411+1</f>
        <v/>
      </c>
      <c r="B413" s="51" t="n"/>
      <c r="C413" s="52" t="n"/>
      <c r="D413" s="53" t="n"/>
      <c r="E413" s="66" t="n"/>
      <c r="F413" s="67" t="n"/>
      <c r="G413" s="58" t="n"/>
      <c r="H413" s="56" t="n"/>
      <c r="I413" s="57">
        <f>IFERROR(H413*VLOOKUP(F413,[1]инфо!$A$15:$C$28,3,FALSE)/1000,0)</f>
        <v/>
      </c>
      <c r="J413" s="55" t="n"/>
      <c r="K413" s="55" t="n"/>
      <c r="L413" s="55" t="n"/>
      <c r="M413" s="55" t="n"/>
      <c r="N413" s="55" t="n"/>
      <c r="O413" s="58" t="n"/>
      <c r="P413" s="58" t="n"/>
      <c r="Q413" s="58" t="n"/>
      <c r="R413" s="58" t="n"/>
      <c r="S413" s="59">
        <f>SUM(O413:R413)</f>
        <v/>
      </c>
      <c r="T413" s="52" t="n"/>
      <c r="U413" s="53" t="n"/>
      <c r="V413" s="58" t="n"/>
      <c r="W413" s="68" t="n"/>
      <c r="X413" s="58" t="n"/>
      <c r="Y413" s="52" t="n"/>
      <c r="Z413" s="58" t="n"/>
      <c r="AA413" s="58" t="n"/>
      <c r="AB413" s="58" t="n"/>
      <c r="AC413" s="68" t="n"/>
      <c r="AD413" s="53" t="n"/>
      <c r="AE413" s="61">
        <f>SUMIFS([1]инфо!$D$15:$D$28,[1]инфо!$A$15:$A$28,F413)</f>
        <v/>
      </c>
      <c r="AF413" s="62">
        <f>IF(H413=0,0,N413/H413)</f>
        <v/>
      </c>
      <c r="AG413" s="63">
        <f>AF413-AE413</f>
        <v/>
      </c>
      <c r="AH413" s="61">
        <f>SUMIFS([1]инфо!$E$15:$E$28,[1]инфо!$A$15:$A$28,F413)</f>
        <v/>
      </c>
      <c r="AI413" s="64">
        <f>IF(H413=0,0,S413/H413)</f>
        <v/>
      </c>
      <c r="AJ413" s="63">
        <f>AI413-AH413</f>
        <v/>
      </c>
      <c r="AK413" s="61">
        <f>SUMIFS([1]инфо!$F$15:$F$28,[1]инфо!$A$15:$A$28,F413)</f>
        <v/>
      </c>
      <c r="AL413" s="64">
        <f>IF(H413=0,0,Y413/H413)</f>
        <v/>
      </c>
      <c r="AM413" s="63">
        <f>AL413-AK413</f>
        <v/>
      </c>
      <c r="AN413" s="61">
        <f>SUMIFS([1]инфо!$G$15:$G$28,[1]инфо!$A$15:$A$28,F413)</f>
        <v/>
      </c>
      <c r="AO413" s="64">
        <f>IF(H413=0,0,AA413/H413)</f>
        <v/>
      </c>
      <c r="AP413" s="63">
        <f>AO413-AN413</f>
        <v/>
      </c>
      <c r="AQ413" s="61">
        <f>SUMIFS([1]инфо!$H$15:$H$28,[1]инфо!$A$15:$A$28,F413)</f>
        <v/>
      </c>
      <c r="AR413" s="62">
        <f>IF(H412=0,0,AC413/H412)</f>
        <v/>
      </c>
      <c r="AS413" s="63">
        <f>AR413-AQ413</f>
        <v/>
      </c>
      <c r="AT413" s="61">
        <f>SUMIFS([1]инфо!$I$15:$I$28,[1]инфо!$A$15:$A$28,F413)</f>
        <v/>
      </c>
      <c r="AU413" s="62">
        <f>IF(H413=0,0,AD413/H413)</f>
        <v/>
      </c>
      <c r="AV413" s="63">
        <f>AU413-AT413</f>
        <v/>
      </c>
      <c r="AX413" s="59">
        <f>SUMIFS([1]инфо!$C$15:$C$28,[1]инфо!$A$15:$A$28,F413)*H412</f>
        <v/>
      </c>
    </row>
    <row r="414">
      <c r="A414" s="71">
        <f>A412+1</f>
        <v/>
      </c>
      <c r="B414" s="51" t="n"/>
      <c r="C414" s="77" t="n"/>
      <c r="D414" s="78" t="n"/>
      <c r="E414" s="66" t="n"/>
      <c r="F414" s="67" t="n"/>
      <c r="G414" s="79" t="n"/>
      <c r="H414" s="67" t="n"/>
      <c r="I414" s="57">
        <f>IFERROR(H414*VLOOKUP(F414,[1]инфо!$A$15:$C$28,3,FALSE)/1000,0)</f>
        <v/>
      </c>
      <c r="J414" s="55" t="n"/>
      <c r="K414" s="55" t="n"/>
      <c r="L414" s="55" t="n"/>
      <c r="M414" s="55" t="n"/>
      <c r="N414" s="56" t="n"/>
      <c r="O414" s="79" t="n"/>
      <c r="P414" s="79" t="n"/>
      <c r="Q414" s="79" t="n"/>
      <c r="R414" s="79" t="n"/>
      <c r="S414" s="80">
        <f>SUM(O414:R414)</f>
        <v/>
      </c>
      <c r="T414" s="77" t="n"/>
      <c r="U414" s="78" t="n"/>
      <c r="V414" s="79" t="n"/>
      <c r="W414" s="68" t="n"/>
      <c r="X414" s="79" t="n"/>
      <c r="Y414" s="77" t="n"/>
      <c r="Z414" s="79" t="n"/>
      <c r="AA414" s="79" t="n"/>
      <c r="AB414" s="79" t="n"/>
      <c r="AC414" s="68" t="n"/>
      <c r="AD414" s="78" t="n"/>
      <c r="AE414" s="81">
        <f>SUMIFS([1]инфо!$D$15:$D$28,[1]инфо!$A$15:$A$28,F414)</f>
        <v/>
      </c>
      <c r="AF414" s="62">
        <f>IF(H414=0,0,N414/H414)</f>
        <v/>
      </c>
      <c r="AG414" s="82">
        <f>AF414-AE414</f>
        <v/>
      </c>
      <c r="AH414" s="81">
        <f>SUMIFS([1]инфо!$E$15:$E$28,[1]инфо!$A$15:$A$28,F414)</f>
        <v/>
      </c>
      <c r="AI414" s="64">
        <f>IF(H414=0,0,S414/H414)</f>
        <v/>
      </c>
      <c r="AJ414" s="82">
        <f>AI414-AH414</f>
        <v/>
      </c>
      <c r="AK414" s="81">
        <f>SUMIFS([1]инфо!$F$15:$F$28,[1]инфо!$A$15:$A$28,F414)</f>
        <v/>
      </c>
      <c r="AL414" s="64">
        <f>IF(H414=0,0,Y414/H414)</f>
        <v/>
      </c>
      <c r="AM414" s="82">
        <f>AL414-AK414</f>
        <v/>
      </c>
      <c r="AN414" s="81">
        <f>SUMIFS([1]инфо!$G$15:$G$28,[1]инфо!$A$15:$A$28,F414)</f>
        <v/>
      </c>
      <c r="AO414" s="64">
        <f>IF(H414=0,0,AA414/H414)</f>
        <v/>
      </c>
      <c r="AP414" s="82">
        <f>AO414-AN414</f>
        <v/>
      </c>
      <c r="AQ414" s="81">
        <f>SUMIFS([1]инфо!$H$15:$H$28,[1]инфо!$A$15:$A$28,F414)</f>
        <v/>
      </c>
      <c r="AR414" s="85">
        <f>IF(H413=0,0,AC414/H413)</f>
        <v/>
      </c>
      <c r="AS414" s="82">
        <f>AR414-AQ414</f>
        <v/>
      </c>
      <c r="AT414" s="81">
        <f>SUMIFS([1]инфо!$I$15:$I$28,[1]инфо!$A$15:$A$28,F414)</f>
        <v/>
      </c>
      <c r="AU414" s="62">
        <f>IF(H414=0,0,AD414/H414)</f>
        <v/>
      </c>
      <c r="AV414" s="82">
        <f>AU414-AT414</f>
        <v/>
      </c>
      <c r="AX414" s="80">
        <f>SUMIFS([1]инфо!$C$15:$C$28,[1]инфо!$A$15:$A$28,F414)*H413</f>
        <v/>
      </c>
    </row>
    <row r="415">
      <c r="A415" s="71">
        <f>A413+1</f>
        <v/>
      </c>
      <c r="B415" s="51" t="n"/>
      <c r="C415" s="72" t="n"/>
      <c r="D415" s="73" t="n"/>
      <c r="E415" s="66" t="n"/>
      <c r="F415" s="67" t="n"/>
      <c r="G415" s="74" t="n"/>
      <c r="H415" s="55" t="n"/>
      <c r="I415" s="57">
        <f>IFERROR(H415*VLOOKUP(F415,[1]инфо!$A$15:$C$28,3,FALSE)/1000,0)</f>
        <v/>
      </c>
      <c r="J415" s="55" t="n"/>
      <c r="K415" s="55" t="n"/>
      <c r="L415" s="55" t="n"/>
      <c r="M415" s="55" t="n"/>
      <c r="N415" s="67" t="n"/>
      <c r="O415" s="74" t="n"/>
      <c r="P415" s="74" t="n"/>
      <c r="Q415" s="74" t="n"/>
      <c r="R415" s="74" t="n"/>
      <c r="S415" s="70">
        <f>SUM(O415:R415)</f>
        <v/>
      </c>
      <c r="T415" s="72" t="n"/>
      <c r="U415" s="73" t="n"/>
      <c r="V415" s="74" t="n"/>
      <c r="W415" s="68" t="n"/>
      <c r="X415" s="74" t="n"/>
      <c r="Y415" s="72" t="n"/>
      <c r="Z415" s="74" t="n"/>
      <c r="AA415" s="74" t="n"/>
      <c r="AB415" s="74" t="n"/>
      <c r="AC415" s="68" t="n"/>
      <c r="AD415" s="73" t="n"/>
      <c r="AE415" s="75">
        <f>SUMIFS([1]инфо!$D$15:$D$28,[1]инфо!$A$15:$A$28,F415)</f>
        <v/>
      </c>
      <c r="AF415" s="62">
        <f>IF(H415=0,0,N415/H415)</f>
        <v/>
      </c>
      <c r="AG415" s="76">
        <f>AF415-AE415</f>
        <v/>
      </c>
      <c r="AH415" s="75">
        <f>SUMIFS([1]инфо!$E$15:$E$28,[1]инфо!$A$15:$A$28,F415)</f>
        <v/>
      </c>
      <c r="AI415" s="64">
        <f>IF(H415=0,0,S415/H415)</f>
        <v/>
      </c>
      <c r="AJ415" s="76">
        <f>AI415-AH415</f>
        <v/>
      </c>
      <c r="AK415" s="75">
        <f>SUMIFS([1]инфо!$F$15:$F$28,[1]инфо!$A$15:$A$28,F415)</f>
        <v/>
      </c>
      <c r="AL415" s="64">
        <f>IF(H415=0,0,Y415/H415)</f>
        <v/>
      </c>
      <c r="AM415" s="76">
        <f>AL415-AK415</f>
        <v/>
      </c>
      <c r="AN415" s="75">
        <f>SUMIFS([1]инфо!$G$15:$G$28,[1]инфо!$A$15:$A$28,F415)</f>
        <v/>
      </c>
      <c r="AO415" s="64">
        <f>IF(H415=0,0,AA415/H415)</f>
        <v/>
      </c>
      <c r="AP415" s="76">
        <f>AO415-AN415</f>
        <v/>
      </c>
      <c r="AQ415" s="75">
        <f>SUMIFS([1]инфо!$H$15:$H$28,[1]инфо!$A$15:$A$28,F415)</f>
        <v/>
      </c>
      <c r="AR415" s="64">
        <f>IF(H414=0,0,AC415/H414)</f>
        <v/>
      </c>
      <c r="AS415" s="76">
        <f>AR415-AQ415</f>
        <v/>
      </c>
      <c r="AT415" s="75">
        <f>SUMIFS([1]инфо!$I$15:$I$28,[1]инфо!$A$15:$A$28,F415)</f>
        <v/>
      </c>
      <c r="AU415" s="62">
        <f>IF(H415=0,0,AD415/H415)</f>
        <v/>
      </c>
      <c r="AV415" s="76">
        <f>AU415-AT415</f>
        <v/>
      </c>
      <c r="AX415" s="70">
        <f>SUMIFS([1]инфо!$C$15:$C$28,[1]инфо!$A$15:$A$28,F415)*H414</f>
        <v/>
      </c>
    </row>
    <row r="416">
      <c r="A416" s="71">
        <f>A414+1</f>
        <v/>
      </c>
      <c r="B416" s="51" t="n"/>
      <c r="C416" s="52" t="n"/>
      <c r="D416" s="53" t="n"/>
      <c r="E416" s="66" t="n"/>
      <c r="F416" s="67" t="n"/>
      <c r="G416" s="58" t="n"/>
      <c r="H416" s="55" t="n"/>
      <c r="I416" s="57">
        <f>IFERROR(H416*VLOOKUP(F416,[1]инфо!$A$15:$C$28,3,FALSE)/1000,0)</f>
        <v/>
      </c>
      <c r="J416" s="55" t="n"/>
      <c r="K416" s="55" t="n"/>
      <c r="L416" s="55" t="n"/>
      <c r="M416" s="55" t="n"/>
      <c r="N416" s="55" t="n"/>
      <c r="O416" s="58" t="n"/>
      <c r="P416" s="58" t="n"/>
      <c r="Q416" s="58" t="n"/>
      <c r="R416" s="58" t="n"/>
      <c r="S416" s="59">
        <f>SUM(O416:R416)</f>
        <v/>
      </c>
      <c r="T416" s="52" t="n"/>
      <c r="U416" s="53" t="n"/>
      <c r="V416" s="58" t="n"/>
      <c r="W416" s="68" t="n"/>
      <c r="X416" s="58" t="n"/>
      <c r="Y416" s="52" t="n"/>
      <c r="Z416" s="58" t="n"/>
      <c r="AA416" s="58" t="n"/>
      <c r="AB416" s="58" t="n"/>
      <c r="AC416" s="68" t="n"/>
      <c r="AD416" s="53" t="n"/>
      <c r="AE416" s="61">
        <f>SUMIFS([1]инфо!$D$15:$D$28,[1]инфо!$A$15:$A$28,F416)</f>
        <v/>
      </c>
      <c r="AF416" s="62">
        <f>IF(H416=0,0,N416/H416)</f>
        <v/>
      </c>
      <c r="AG416" s="63">
        <f>AF416-AE416</f>
        <v/>
      </c>
      <c r="AH416" s="61">
        <f>SUMIFS([1]инфо!$E$15:$E$28,[1]инфо!$A$15:$A$28,F416)</f>
        <v/>
      </c>
      <c r="AI416" s="64">
        <f>IF(H416=0,0,S416/H416)</f>
        <v/>
      </c>
      <c r="AJ416" s="63">
        <f>AI416-AH416</f>
        <v/>
      </c>
      <c r="AK416" s="61">
        <f>SUMIFS([1]инфо!$F$15:$F$28,[1]инфо!$A$15:$A$28,F416)</f>
        <v/>
      </c>
      <c r="AL416" s="64">
        <f>IF(H416=0,0,Y416/H416)</f>
        <v/>
      </c>
      <c r="AM416" s="63">
        <f>AL416-AK416</f>
        <v/>
      </c>
      <c r="AN416" s="61">
        <f>SUMIFS([1]инфо!$G$15:$G$28,[1]инфо!$A$15:$A$28,F416)</f>
        <v/>
      </c>
      <c r="AO416" s="64">
        <f>IF(H416=0,0,AA416/H416)</f>
        <v/>
      </c>
      <c r="AP416" s="63">
        <f>AO416-AN416</f>
        <v/>
      </c>
      <c r="AQ416" s="61">
        <f>SUMIFS([1]инфо!$H$15:$H$28,[1]инфо!$A$15:$A$28,F416)</f>
        <v/>
      </c>
      <c r="AR416" s="62">
        <f>IF(H415=0,0,AC416/H415)</f>
        <v/>
      </c>
      <c r="AS416" s="63">
        <f>AR416-AQ416</f>
        <v/>
      </c>
      <c r="AT416" s="61">
        <f>SUMIFS([1]инфо!$I$15:$I$28,[1]инфо!$A$15:$A$28,F416)</f>
        <v/>
      </c>
      <c r="AU416" s="62">
        <f>IF(H416=0,0,AD416/H416)</f>
        <v/>
      </c>
      <c r="AV416" s="63">
        <f>AU416-AT416</f>
        <v/>
      </c>
      <c r="AX416" s="59">
        <f>SUMIFS([1]инфо!$C$15:$C$28,[1]инфо!$A$15:$A$28,F416)*H415</f>
        <v/>
      </c>
    </row>
    <row r="417">
      <c r="A417" s="71">
        <f>A415+1</f>
        <v/>
      </c>
      <c r="B417" s="51" t="n"/>
      <c r="C417" s="52" t="n"/>
      <c r="D417" s="53" t="n"/>
      <c r="E417" s="66" t="n"/>
      <c r="F417" s="67" t="n"/>
      <c r="G417" s="58" t="n"/>
      <c r="H417" s="56" t="n"/>
      <c r="I417" s="57">
        <f>IFERROR(H417*VLOOKUP(F417,[1]инфо!$A$15:$C$28,3,FALSE)/1000,0)</f>
        <v/>
      </c>
      <c r="J417" s="55" t="n"/>
      <c r="K417" s="55" t="n"/>
      <c r="L417" s="55" t="n"/>
      <c r="M417" s="55" t="n"/>
      <c r="N417" s="55" t="n"/>
      <c r="O417" s="58" t="n"/>
      <c r="P417" s="58" t="n"/>
      <c r="Q417" s="58" t="n"/>
      <c r="R417" s="58" t="n"/>
      <c r="S417" s="59">
        <f>SUM(O417:R417)</f>
        <v/>
      </c>
      <c r="T417" s="52" t="n"/>
      <c r="U417" s="53" t="n"/>
      <c r="V417" s="58" t="n"/>
      <c r="W417" s="68" t="n"/>
      <c r="X417" s="58" t="n"/>
      <c r="Y417" s="52" t="n"/>
      <c r="Z417" s="58" t="n"/>
      <c r="AA417" s="58" t="n"/>
      <c r="AB417" s="58" t="n"/>
      <c r="AC417" s="68" t="n"/>
      <c r="AD417" s="53" t="n"/>
      <c r="AE417" s="61">
        <f>SUMIFS([1]инфо!$D$15:$D$28,[1]инфо!$A$15:$A$28,F417)</f>
        <v/>
      </c>
      <c r="AF417" s="62">
        <f>IF(H417=0,0,N417/H417)</f>
        <v/>
      </c>
      <c r="AG417" s="63">
        <f>AF417-AE417</f>
        <v/>
      </c>
      <c r="AH417" s="61">
        <f>SUMIFS([1]инфо!$E$15:$E$28,[1]инфо!$A$15:$A$28,F417)</f>
        <v/>
      </c>
      <c r="AI417" s="64">
        <f>IF(H417=0,0,S417/H417)</f>
        <v/>
      </c>
      <c r="AJ417" s="63">
        <f>AI417-AH417</f>
        <v/>
      </c>
      <c r="AK417" s="61">
        <f>SUMIFS([1]инфо!$F$15:$F$28,[1]инфо!$A$15:$A$28,F417)</f>
        <v/>
      </c>
      <c r="AL417" s="64">
        <f>IF(H417=0,0,Y417/H417)</f>
        <v/>
      </c>
      <c r="AM417" s="63">
        <f>AL417-AK417</f>
        <v/>
      </c>
      <c r="AN417" s="61">
        <f>SUMIFS([1]инфо!$G$15:$G$28,[1]инфо!$A$15:$A$28,F417)</f>
        <v/>
      </c>
      <c r="AO417" s="64">
        <f>IF(H417=0,0,AA417/H417)</f>
        <v/>
      </c>
      <c r="AP417" s="63">
        <f>AO417-AN417</f>
        <v/>
      </c>
      <c r="AQ417" s="61">
        <f>SUMIFS([1]инфо!$H$15:$H$28,[1]инфо!$A$15:$A$28,F417)</f>
        <v/>
      </c>
      <c r="AR417" s="62">
        <f>IF(H416=0,0,AC417/H416)</f>
        <v/>
      </c>
      <c r="AS417" s="63">
        <f>AR417-AQ417</f>
        <v/>
      </c>
      <c r="AT417" s="61">
        <f>SUMIFS([1]инфо!$I$15:$I$28,[1]инфо!$A$15:$A$28,F417)</f>
        <v/>
      </c>
      <c r="AU417" s="62">
        <f>IF(H417=0,0,AD417/H417)</f>
        <v/>
      </c>
      <c r="AV417" s="63">
        <f>AU417-AT417</f>
        <v/>
      </c>
      <c r="AX417" s="59">
        <f>SUMIFS([1]инфо!$C$15:$C$28,[1]инфо!$A$15:$A$28,F417)*H416</f>
        <v/>
      </c>
    </row>
    <row r="418">
      <c r="A418" s="71">
        <f>A416+1</f>
        <v/>
      </c>
      <c r="B418" s="51" t="n"/>
      <c r="C418" s="77" t="n"/>
      <c r="D418" s="78" t="n"/>
      <c r="E418" s="66" t="n"/>
      <c r="F418" s="67" t="n"/>
      <c r="G418" s="79" t="n"/>
      <c r="H418" s="67" t="n"/>
      <c r="I418" s="57">
        <f>IFERROR(H418*VLOOKUP(F418,[1]инфо!$A$15:$C$28,3,FALSE)/1000,0)</f>
        <v/>
      </c>
      <c r="J418" s="55" t="n"/>
      <c r="K418" s="55" t="n"/>
      <c r="L418" s="55" t="n"/>
      <c r="M418" s="55" t="n"/>
      <c r="N418" s="56" t="n"/>
      <c r="O418" s="79" t="n"/>
      <c r="P418" s="79" t="n"/>
      <c r="Q418" s="79" t="n"/>
      <c r="R418" s="79" t="n"/>
      <c r="S418" s="80">
        <f>SUM(O418:R418)</f>
        <v/>
      </c>
      <c r="T418" s="77" t="n"/>
      <c r="U418" s="78" t="n"/>
      <c r="V418" s="79" t="n"/>
      <c r="W418" s="68" t="n"/>
      <c r="X418" s="79" t="n"/>
      <c r="Y418" s="77" t="n"/>
      <c r="Z418" s="79" t="n"/>
      <c r="AA418" s="79" t="n"/>
      <c r="AB418" s="79" t="n"/>
      <c r="AC418" s="68" t="n"/>
      <c r="AD418" s="78" t="n"/>
      <c r="AE418" s="81">
        <f>SUMIFS([1]инфо!$D$15:$D$28,[1]инфо!$A$15:$A$28,F418)</f>
        <v/>
      </c>
      <c r="AF418" s="62">
        <f>IF(H418=0,0,N418/H418)</f>
        <v/>
      </c>
      <c r="AG418" s="82">
        <f>AF418-AE418</f>
        <v/>
      </c>
      <c r="AH418" s="81">
        <f>SUMIFS([1]инфо!$E$15:$E$28,[1]инфо!$A$15:$A$28,F418)</f>
        <v/>
      </c>
      <c r="AI418" s="64">
        <f>IF(H418=0,0,S418/H418)</f>
        <v/>
      </c>
      <c r="AJ418" s="82">
        <f>AI418-AH418</f>
        <v/>
      </c>
      <c r="AK418" s="81">
        <f>SUMIFS([1]инфо!$F$15:$F$28,[1]инфо!$A$15:$A$28,F418)</f>
        <v/>
      </c>
      <c r="AL418" s="64">
        <f>IF(H418=0,0,Y418/H418)</f>
        <v/>
      </c>
      <c r="AM418" s="82">
        <f>AL418-AK418</f>
        <v/>
      </c>
      <c r="AN418" s="81">
        <f>SUMIFS([1]инфо!$G$15:$G$28,[1]инфо!$A$15:$A$28,F418)</f>
        <v/>
      </c>
      <c r="AO418" s="64">
        <f>IF(H418=0,0,AA418/H418)</f>
        <v/>
      </c>
      <c r="AP418" s="82">
        <f>AO418-AN418</f>
        <v/>
      </c>
      <c r="AQ418" s="81">
        <f>SUMIFS([1]инфо!$H$15:$H$28,[1]инфо!$A$15:$A$28,F418)</f>
        <v/>
      </c>
      <c r="AR418" s="85">
        <f>IF(H417=0,0,AC418/H417)</f>
        <v/>
      </c>
      <c r="AS418" s="82">
        <f>AR418-AQ418</f>
        <v/>
      </c>
      <c r="AT418" s="81">
        <f>SUMIFS([1]инфо!$I$15:$I$28,[1]инфо!$A$15:$A$28,F418)</f>
        <v/>
      </c>
      <c r="AU418" s="62">
        <f>IF(H418=0,0,AD418/H418)</f>
        <v/>
      </c>
      <c r="AV418" s="82">
        <f>AU418-AT418</f>
        <v/>
      </c>
      <c r="AX418" s="80">
        <f>SUMIFS([1]инфо!$C$15:$C$28,[1]инфо!$A$15:$A$28,F418)*H417</f>
        <v/>
      </c>
    </row>
    <row r="419">
      <c r="A419" s="71">
        <f>A417+1</f>
        <v/>
      </c>
      <c r="B419" s="51" t="n"/>
      <c r="C419" s="72" t="n"/>
      <c r="D419" s="73" t="n"/>
      <c r="E419" s="66" t="n"/>
      <c r="F419" s="67" t="n"/>
      <c r="G419" s="74" t="n"/>
      <c r="H419" s="55" t="n"/>
      <c r="I419" s="57">
        <f>IFERROR(H419*VLOOKUP(F419,[1]инфо!$A$15:$C$28,3,FALSE)/1000,0)</f>
        <v/>
      </c>
      <c r="J419" s="55" t="n"/>
      <c r="K419" s="55" t="n"/>
      <c r="L419" s="55" t="n"/>
      <c r="M419" s="55" t="n"/>
      <c r="N419" s="67" t="n"/>
      <c r="O419" s="74" t="n"/>
      <c r="P419" s="74" t="n"/>
      <c r="Q419" s="74" t="n"/>
      <c r="R419" s="74" t="n"/>
      <c r="S419" s="70">
        <f>SUM(O419:R419)</f>
        <v/>
      </c>
      <c r="T419" s="72" t="n"/>
      <c r="U419" s="73" t="n"/>
      <c r="V419" s="74" t="n"/>
      <c r="W419" s="68" t="n"/>
      <c r="X419" s="74" t="n"/>
      <c r="Y419" s="72" t="n"/>
      <c r="Z419" s="74" t="n"/>
      <c r="AA419" s="74" t="n"/>
      <c r="AB419" s="74" t="n"/>
      <c r="AC419" s="68" t="n"/>
      <c r="AD419" s="73" t="n"/>
      <c r="AE419" s="75">
        <f>SUMIFS([1]инфо!$D$15:$D$28,[1]инфо!$A$15:$A$28,F419)</f>
        <v/>
      </c>
      <c r="AF419" s="62">
        <f>IF(H419=0,0,N419/H419)</f>
        <v/>
      </c>
      <c r="AG419" s="76">
        <f>AF419-AE419</f>
        <v/>
      </c>
      <c r="AH419" s="75">
        <f>SUMIFS([1]инфо!$E$15:$E$28,[1]инфо!$A$15:$A$28,F419)</f>
        <v/>
      </c>
      <c r="AI419" s="64">
        <f>IF(H419=0,0,S419/H419)</f>
        <v/>
      </c>
      <c r="AJ419" s="76">
        <f>AI419-AH419</f>
        <v/>
      </c>
      <c r="AK419" s="75">
        <f>SUMIFS([1]инфо!$F$15:$F$28,[1]инфо!$A$15:$A$28,F419)</f>
        <v/>
      </c>
      <c r="AL419" s="64">
        <f>IF(H419=0,0,Y419/H419)</f>
        <v/>
      </c>
      <c r="AM419" s="76">
        <f>AL419-AK419</f>
        <v/>
      </c>
      <c r="AN419" s="75">
        <f>SUMIFS([1]инфо!$G$15:$G$28,[1]инфо!$A$15:$A$28,F419)</f>
        <v/>
      </c>
      <c r="AO419" s="64">
        <f>IF(H419=0,0,AA419/H419)</f>
        <v/>
      </c>
      <c r="AP419" s="76">
        <f>AO419-AN419</f>
        <v/>
      </c>
      <c r="AQ419" s="75">
        <f>SUMIFS([1]инфо!$H$15:$H$28,[1]инфо!$A$15:$A$28,F419)</f>
        <v/>
      </c>
      <c r="AR419" s="64">
        <f>IF(H418=0,0,AC419/H418)</f>
        <v/>
      </c>
      <c r="AS419" s="76">
        <f>AR419-AQ419</f>
        <v/>
      </c>
      <c r="AT419" s="75">
        <f>SUMIFS([1]инфо!$I$15:$I$28,[1]инфо!$A$15:$A$28,F419)</f>
        <v/>
      </c>
      <c r="AU419" s="62">
        <f>IF(H419=0,0,AD419/H419)</f>
        <v/>
      </c>
      <c r="AV419" s="76">
        <f>AU419-AT419</f>
        <v/>
      </c>
      <c r="AX419" s="70">
        <f>SUMIFS([1]инфо!$C$15:$C$28,[1]инфо!$A$15:$A$28,F419)*H418</f>
        <v/>
      </c>
    </row>
    <row r="420">
      <c r="A420" s="71">
        <f>A418+1</f>
        <v/>
      </c>
      <c r="B420" s="51" t="n"/>
      <c r="C420" s="52" t="n"/>
      <c r="D420" s="53" t="n"/>
      <c r="E420" s="66" t="n"/>
      <c r="F420" s="67" t="n"/>
      <c r="G420" s="58" t="n"/>
      <c r="H420" s="55" t="n"/>
      <c r="I420" s="57">
        <f>IFERROR(H420*VLOOKUP(F420,[1]инфо!$A$15:$C$28,3,FALSE)/1000,0)</f>
        <v/>
      </c>
      <c r="J420" s="55" t="n"/>
      <c r="K420" s="55" t="n"/>
      <c r="L420" s="55" t="n"/>
      <c r="M420" s="55" t="n"/>
      <c r="N420" s="55" t="n"/>
      <c r="O420" s="58" t="n"/>
      <c r="P420" s="58" t="n"/>
      <c r="Q420" s="58" t="n"/>
      <c r="R420" s="58" t="n"/>
      <c r="S420" s="59">
        <f>SUM(O420:R420)</f>
        <v/>
      </c>
      <c r="T420" s="52" t="n"/>
      <c r="U420" s="53" t="n"/>
      <c r="V420" s="58" t="n"/>
      <c r="W420" s="68" t="n"/>
      <c r="X420" s="58" t="n"/>
      <c r="Y420" s="52" t="n"/>
      <c r="Z420" s="58" t="n"/>
      <c r="AA420" s="58" t="n"/>
      <c r="AB420" s="58" t="n"/>
      <c r="AC420" s="68" t="n"/>
      <c r="AD420" s="53" t="n"/>
      <c r="AE420" s="61">
        <f>SUMIFS([1]инфо!$D$15:$D$28,[1]инфо!$A$15:$A$28,F420)</f>
        <v/>
      </c>
      <c r="AF420" s="62">
        <f>IF(H420=0,0,N420/H420)</f>
        <v/>
      </c>
      <c r="AG420" s="63">
        <f>AF420-AE420</f>
        <v/>
      </c>
      <c r="AH420" s="61">
        <f>SUMIFS([1]инфо!$E$15:$E$28,[1]инфо!$A$15:$A$28,F420)</f>
        <v/>
      </c>
      <c r="AI420" s="64">
        <f>IF(H420=0,0,S420/H420)</f>
        <v/>
      </c>
      <c r="AJ420" s="63">
        <f>AI420-AH420</f>
        <v/>
      </c>
      <c r="AK420" s="61">
        <f>SUMIFS([1]инфо!$F$15:$F$28,[1]инфо!$A$15:$A$28,F420)</f>
        <v/>
      </c>
      <c r="AL420" s="64">
        <f>IF(H420=0,0,Y420/H420)</f>
        <v/>
      </c>
      <c r="AM420" s="63">
        <f>AL420-AK420</f>
        <v/>
      </c>
      <c r="AN420" s="61">
        <f>SUMIFS([1]инфо!$G$15:$G$28,[1]инфо!$A$15:$A$28,F420)</f>
        <v/>
      </c>
      <c r="AO420" s="64">
        <f>IF(H420=0,0,AA420/H420)</f>
        <v/>
      </c>
      <c r="AP420" s="63">
        <f>AO420-AN420</f>
        <v/>
      </c>
      <c r="AQ420" s="61">
        <f>SUMIFS([1]инфо!$H$15:$H$28,[1]инфо!$A$15:$A$28,F420)</f>
        <v/>
      </c>
      <c r="AR420" s="62">
        <f>IF(H419=0,0,AC420/H419)</f>
        <v/>
      </c>
      <c r="AS420" s="63">
        <f>AR420-AQ420</f>
        <v/>
      </c>
      <c r="AT420" s="61">
        <f>SUMIFS([1]инфо!$I$15:$I$28,[1]инфо!$A$15:$A$28,F420)</f>
        <v/>
      </c>
      <c r="AU420" s="62">
        <f>IF(H420=0,0,AD420/H420)</f>
        <v/>
      </c>
      <c r="AV420" s="63">
        <f>AU420-AT420</f>
        <v/>
      </c>
      <c r="AX420" s="59">
        <f>SUMIFS([1]инфо!$C$15:$C$28,[1]инфо!$A$15:$A$28,F420)*H419</f>
        <v/>
      </c>
    </row>
    <row r="421">
      <c r="A421" s="71">
        <f>A419+1</f>
        <v/>
      </c>
      <c r="B421" s="51" t="n"/>
      <c r="C421" s="52" t="n"/>
      <c r="D421" s="53" t="n"/>
      <c r="E421" s="66" t="n"/>
      <c r="F421" s="67" t="n"/>
      <c r="G421" s="58" t="n"/>
      <c r="H421" s="56" t="n"/>
      <c r="I421" s="57">
        <f>IFERROR(H421*VLOOKUP(F421,[1]инфо!$A$15:$C$28,3,FALSE)/1000,0)</f>
        <v/>
      </c>
      <c r="J421" s="55" t="n"/>
      <c r="K421" s="55" t="n"/>
      <c r="L421" s="55" t="n"/>
      <c r="M421" s="55" t="n"/>
      <c r="N421" s="55" t="n"/>
      <c r="O421" s="58" t="n"/>
      <c r="P421" s="58" t="n"/>
      <c r="Q421" s="58" t="n"/>
      <c r="R421" s="58" t="n"/>
      <c r="S421" s="59">
        <f>SUM(O421:R421)</f>
        <v/>
      </c>
      <c r="T421" s="52" t="n"/>
      <c r="U421" s="53" t="n"/>
      <c r="V421" s="58" t="n"/>
      <c r="W421" s="68" t="n"/>
      <c r="X421" s="58" t="n"/>
      <c r="Y421" s="52" t="n"/>
      <c r="Z421" s="58" t="n"/>
      <c r="AA421" s="58" t="n"/>
      <c r="AB421" s="58" t="n"/>
      <c r="AC421" s="68" t="n"/>
      <c r="AD421" s="53" t="n"/>
      <c r="AE421" s="61">
        <f>SUMIFS([1]инфо!$D$15:$D$28,[1]инфо!$A$15:$A$28,F421)</f>
        <v/>
      </c>
      <c r="AF421" s="62">
        <f>IF(H421=0,0,N421/H421)</f>
        <v/>
      </c>
      <c r="AG421" s="63">
        <f>AF421-AE421</f>
        <v/>
      </c>
      <c r="AH421" s="61">
        <f>SUMIFS([1]инфо!$E$15:$E$28,[1]инфо!$A$15:$A$28,F421)</f>
        <v/>
      </c>
      <c r="AI421" s="64">
        <f>IF(H421=0,0,S421/H421)</f>
        <v/>
      </c>
      <c r="AJ421" s="63">
        <f>AI421-AH421</f>
        <v/>
      </c>
      <c r="AK421" s="61">
        <f>SUMIFS([1]инфо!$F$15:$F$28,[1]инфо!$A$15:$A$28,F421)</f>
        <v/>
      </c>
      <c r="AL421" s="64">
        <f>IF(H421=0,0,Y421/H421)</f>
        <v/>
      </c>
      <c r="AM421" s="63">
        <f>AL421-AK421</f>
        <v/>
      </c>
      <c r="AN421" s="61">
        <f>SUMIFS([1]инфо!$G$15:$G$28,[1]инфо!$A$15:$A$28,F421)</f>
        <v/>
      </c>
      <c r="AO421" s="64">
        <f>IF(H421=0,0,AA421/H421)</f>
        <v/>
      </c>
      <c r="AP421" s="63">
        <f>AO421-AN421</f>
        <v/>
      </c>
      <c r="AQ421" s="61">
        <f>SUMIFS([1]инфо!$H$15:$H$28,[1]инфо!$A$15:$A$28,F421)</f>
        <v/>
      </c>
      <c r="AR421" s="62">
        <f>IF(H420=0,0,AC421/H420)</f>
        <v/>
      </c>
      <c r="AS421" s="63">
        <f>AR421-AQ421</f>
        <v/>
      </c>
      <c r="AT421" s="61">
        <f>SUMIFS([1]инфо!$I$15:$I$28,[1]инфо!$A$15:$A$28,F421)</f>
        <v/>
      </c>
      <c r="AU421" s="62">
        <f>IF(H421=0,0,AD421/H421)</f>
        <v/>
      </c>
      <c r="AV421" s="63">
        <f>AU421-AT421</f>
        <v/>
      </c>
      <c r="AX421" s="59">
        <f>SUMIFS([1]инфо!$C$15:$C$28,[1]инфо!$A$15:$A$28,F421)*H420</f>
        <v/>
      </c>
    </row>
    <row r="422">
      <c r="A422" s="71">
        <f>A420+1</f>
        <v/>
      </c>
      <c r="B422" s="51" t="n"/>
      <c r="C422" s="77" t="n"/>
      <c r="D422" s="78" t="n"/>
      <c r="E422" s="66" t="n"/>
      <c r="F422" s="67" t="n"/>
      <c r="G422" s="79" t="n"/>
      <c r="H422" s="67" t="n"/>
      <c r="I422" s="57">
        <f>IFERROR(H422*VLOOKUP(F422,[1]инфо!$A$15:$C$28,3,FALSE)/1000,0)</f>
        <v/>
      </c>
      <c r="J422" s="55" t="n"/>
      <c r="K422" s="55" t="n"/>
      <c r="L422" s="55" t="n"/>
      <c r="M422" s="55" t="n"/>
      <c r="N422" s="56" t="n"/>
      <c r="O422" s="79" t="n"/>
      <c r="P422" s="79" t="n"/>
      <c r="Q422" s="79" t="n"/>
      <c r="R422" s="79" t="n"/>
      <c r="S422" s="80">
        <f>SUM(O422:R422)</f>
        <v/>
      </c>
      <c r="T422" s="77" t="n"/>
      <c r="U422" s="78" t="n"/>
      <c r="V422" s="79" t="n"/>
      <c r="W422" s="68" t="n"/>
      <c r="X422" s="79" t="n"/>
      <c r="Y422" s="77" t="n"/>
      <c r="Z422" s="79" t="n"/>
      <c r="AA422" s="79" t="n"/>
      <c r="AB422" s="79" t="n"/>
      <c r="AC422" s="68" t="n"/>
      <c r="AD422" s="78" t="n"/>
      <c r="AE422" s="81">
        <f>SUMIFS([1]инфо!$D$15:$D$28,[1]инфо!$A$15:$A$28,F422)</f>
        <v/>
      </c>
      <c r="AF422" s="62">
        <f>IF(H422=0,0,N422/H422)</f>
        <v/>
      </c>
      <c r="AG422" s="82">
        <f>AF422-AE422</f>
        <v/>
      </c>
      <c r="AH422" s="81">
        <f>SUMIFS([1]инфо!$E$15:$E$28,[1]инфо!$A$15:$A$28,F422)</f>
        <v/>
      </c>
      <c r="AI422" s="64">
        <f>IF(H422=0,0,S422/H422)</f>
        <v/>
      </c>
      <c r="AJ422" s="82">
        <f>AI422-AH422</f>
        <v/>
      </c>
      <c r="AK422" s="81">
        <f>SUMIFS([1]инфо!$F$15:$F$28,[1]инфо!$A$15:$A$28,F422)</f>
        <v/>
      </c>
      <c r="AL422" s="64">
        <f>IF(H422=0,0,Y422/H422)</f>
        <v/>
      </c>
      <c r="AM422" s="82">
        <f>AL422-AK422</f>
        <v/>
      </c>
      <c r="AN422" s="81">
        <f>SUMIFS([1]инфо!$G$15:$G$28,[1]инфо!$A$15:$A$28,F422)</f>
        <v/>
      </c>
      <c r="AO422" s="64">
        <f>IF(H422=0,0,AA422/H422)</f>
        <v/>
      </c>
      <c r="AP422" s="82">
        <f>AO422-AN422</f>
        <v/>
      </c>
      <c r="AQ422" s="81">
        <f>SUMIFS([1]инфо!$H$15:$H$28,[1]инфо!$A$15:$A$28,F422)</f>
        <v/>
      </c>
      <c r="AR422" s="85">
        <f>IF(H421=0,0,AC422/H421)</f>
        <v/>
      </c>
      <c r="AS422" s="82">
        <f>AR422-AQ422</f>
        <v/>
      </c>
      <c r="AT422" s="81">
        <f>SUMIFS([1]инфо!$I$15:$I$28,[1]инфо!$A$15:$A$28,F422)</f>
        <v/>
      </c>
      <c r="AU422" s="62">
        <f>IF(H422=0,0,AD422/H422)</f>
        <v/>
      </c>
      <c r="AV422" s="82">
        <f>AU422-AT422</f>
        <v/>
      </c>
      <c r="AX422" s="80">
        <f>SUMIFS([1]инфо!$C$15:$C$28,[1]инфо!$A$15:$A$28,F422)*H421</f>
        <v/>
      </c>
    </row>
    <row r="423">
      <c r="A423" s="71">
        <f>A421+1</f>
        <v/>
      </c>
      <c r="B423" s="51" t="n"/>
      <c r="C423" s="72" t="n"/>
      <c r="D423" s="73" t="n"/>
      <c r="E423" s="66" t="n"/>
      <c r="F423" s="67" t="n"/>
      <c r="G423" s="74" t="n"/>
      <c r="H423" s="55" t="n"/>
      <c r="I423" s="57">
        <f>IFERROR(H423*VLOOKUP(F423,[1]инфо!$A$15:$C$28,3,FALSE)/1000,0)</f>
        <v/>
      </c>
      <c r="J423" s="55" t="n"/>
      <c r="K423" s="55" t="n"/>
      <c r="L423" s="55" t="n"/>
      <c r="M423" s="55" t="n"/>
      <c r="N423" s="67" t="n"/>
      <c r="O423" s="74" t="n"/>
      <c r="P423" s="74" t="n"/>
      <c r="Q423" s="74" t="n"/>
      <c r="R423" s="74" t="n"/>
      <c r="S423" s="70">
        <f>SUM(O423:R423)</f>
        <v/>
      </c>
      <c r="T423" s="72" t="n"/>
      <c r="U423" s="73" t="n"/>
      <c r="V423" s="74" t="n"/>
      <c r="W423" s="68" t="n"/>
      <c r="X423" s="74" t="n"/>
      <c r="Y423" s="72" t="n"/>
      <c r="Z423" s="74" t="n"/>
      <c r="AA423" s="74" t="n"/>
      <c r="AB423" s="74" t="n"/>
      <c r="AC423" s="68" t="n"/>
      <c r="AD423" s="73" t="n"/>
      <c r="AE423" s="75">
        <f>SUMIFS([1]инфо!$D$15:$D$28,[1]инфо!$A$15:$A$28,F423)</f>
        <v/>
      </c>
      <c r="AF423" s="62">
        <f>IF(H423=0,0,N423/H423)</f>
        <v/>
      </c>
      <c r="AG423" s="76">
        <f>AF423-AE423</f>
        <v/>
      </c>
      <c r="AH423" s="75">
        <f>SUMIFS([1]инфо!$E$15:$E$28,[1]инфо!$A$15:$A$28,F423)</f>
        <v/>
      </c>
      <c r="AI423" s="64">
        <f>IF(H423=0,0,S423/H423)</f>
        <v/>
      </c>
      <c r="AJ423" s="76">
        <f>AI423-AH423</f>
        <v/>
      </c>
      <c r="AK423" s="75">
        <f>SUMIFS([1]инфо!$F$15:$F$28,[1]инфо!$A$15:$A$28,F423)</f>
        <v/>
      </c>
      <c r="AL423" s="64">
        <f>IF(H423=0,0,Y423/H423)</f>
        <v/>
      </c>
      <c r="AM423" s="76">
        <f>AL423-AK423</f>
        <v/>
      </c>
      <c r="AN423" s="75">
        <f>SUMIFS([1]инфо!$G$15:$G$28,[1]инфо!$A$15:$A$28,F423)</f>
        <v/>
      </c>
      <c r="AO423" s="64">
        <f>IF(H423=0,0,AA423/H423)</f>
        <v/>
      </c>
      <c r="AP423" s="76">
        <f>AO423-AN423</f>
        <v/>
      </c>
      <c r="AQ423" s="75">
        <f>SUMIFS([1]инфо!$H$15:$H$28,[1]инфо!$A$15:$A$28,F423)</f>
        <v/>
      </c>
      <c r="AR423" s="64">
        <f>IF(H422=0,0,AC423/H422)</f>
        <v/>
      </c>
      <c r="AS423" s="76">
        <f>AR423-AQ423</f>
        <v/>
      </c>
      <c r="AT423" s="75">
        <f>SUMIFS([1]инфо!$I$15:$I$28,[1]инфо!$A$15:$A$28,F423)</f>
        <v/>
      </c>
      <c r="AU423" s="62">
        <f>IF(H423=0,0,AD423/H423)</f>
        <v/>
      </c>
      <c r="AV423" s="76">
        <f>AU423-AT423</f>
        <v/>
      </c>
      <c r="AX423" s="70">
        <f>SUMIFS([1]инфо!$C$15:$C$28,[1]инфо!$A$15:$A$28,F423)*H422</f>
        <v/>
      </c>
    </row>
    <row r="424">
      <c r="A424" s="71">
        <f>A422+1</f>
        <v/>
      </c>
      <c r="B424" s="51" t="n"/>
      <c r="C424" s="52" t="n"/>
      <c r="D424" s="53" t="n"/>
      <c r="E424" s="66" t="n"/>
      <c r="F424" s="67" t="n"/>
      <c r="G424" s="58" t="n"/>
      <c r="H424" s="55" t="n"/>
      <c r="I424" s="57">
        <f>IFERROR(H424*VLOOKUP(F424,[1]инфо!$A$15:$C$28,3,FALSE)/1000,0)</f>
        <v/>
      </c>
      <c r="J424" s="55" t="n"/>
      <c r="K424" s="55" t="n"/>
      <c r="L424" s="55" t="n"/>
      <c r="M424" s="55" t="n"/>
      <c r="N424" s="55" t="n"/>
      <c r="O424" s="58" t="n"/>
      <c r="P424" s="58" t="n"/>
      <c r="Q424" s="58" t="n"/>
      <c r="R424" s="58" t="n"/>
      <c r="S424" s="59">
        <f>SUM(O424:R424)</f>
        <v/>
      </c>
      <c r="T424" s="52" t="n"/>
      <c r="U424" s="53" t="n"/>
      <c r="V424" s="58" t="n"/>
      <c r="W424" s="68" t="n"/>
      <c r="X424" s="58" t="n"/>
      <c r="Y424" s="52" t="n"/>
      <c r="Z424" s="58" t="n"/>
      <c r="AA424" s="58" t="n"/>
      <c r="AB424" s="58" t="n"/>
      <c r="AC424" s="68" t="n"/>
      <c r="AD424" s="53" t="n"/>
      <c r="AE424" s="61">
        <f>SUMIFS([1]инфо!$D$15:$D$28,[1]инфо!$A$15:$A$28,F424)</f>
        <v/>
      </c>
      <c r="AF424" s="62">
        <f>IF(H424=0,0,N424/H424)</f>
        <v/>
      </c>
      <c r="AG424" s="63">
        <f>AF424-AE424</f>
        <v/>
      </c>
      <c r="AH424" s="61">
        <f>SUMIFS([1]инфо!$E$15:$E$28,[1]инфо!$A$15:$A$28,F424)</f>
        <v/>
      </c>
      <c r="AI424" s="64">
        <f>IF(H424=0,0,S424/H424)</f>
        <v/>
      </c>
      <c r="AJ424" s="63">
        <f>AI424-AH424</f>
        <v/>
      </c>
      <c r="AK424" s="61">
        <f>SUMIFS([1]инфо!$F$15:$F$28,[1]инфо!$A$15:$A$28,F424)</f>
        <v/>
      </c>
      <c r="AL424" s="64">
        <f>IF(H424=0,0,Y424/H424)</f>
        <v/>
      </c>
      <c r="AM424" s="63">
        <f>AL424-AK424</f>
        <v/>
      </c>
      <c r="AN424" s="61">
        <f>SUMIFS([1]инфо!$G$15:$G$28,[1]инфо!$A$15:$A$28,F424)</f>
        <v/>
      </c>
      <c r="AO424" s="64">
        <f>IF(H424=0,0,AA424/H424)</f>
        <v/>
      </c>
      <c r="AP424" s="63">
        <f>AO424-AN424</f>
        <v/>
      </c>
      <c r="AQ424" s="61">
        <f>SUMIFS([1]инфо!$H$15:$H$28,[1]инфо!$A$15:$A$28,F424)</f>
        <v/>
      </c>
      <c r="AR424" s="62">
        <f>IF(H423=0,0,AC424/H423)</f>
        <v/>
      </c>
      <c r="AS424" s="63">
        <f>AR424-AQ424</f>
        <v/>
      </c>
      <c r="AT424" s="61">
        <f>SUMIFS([1]инфо!$I$15:$I$28,[1]инфо!$A$15:$A$28,F424)</f>
        <v/>
      </c>
      <c r="AU424" s="62">
        <f>IF(H424=0,0,AD424/H424)</f>
        <v/>
      </c>
      <c r="AV424" s="63">
        <f>AU424-AT424</f>
        <v/>
      </c>
      <c r="AX424" s="59">
        <f>SUMIFS([1]инфо!$C$15:$C$28,[1]инфо!$A$15:$A$28,F424)*H423</f>
        <v/>
      </c>
    </row>
    <row r="425">
      <c r="A425" s="71">
        <f>A423+1</f>
        <v/>
      </c>
      <c r="B425" s="51" t="n"/>
      <c r="C425" s="52" t="n"/>
      <c r="D425" s="53" t="n"/>
      <c r="E425" s="66" t="n"/>
      <c r="F425" s="67" t="n"/>
      <c r="G425" s="58" t="n"/>
      <c r="H425" s="56" t="n"/>
      <c r="I425" s="57">
        <f>IFERROR(H425*VLOOKUP(F425,[1]инфо!$A$15:$C$28,3,FALSE)/1000,0)</f>
        <v/>
      </c>
      <c r="J425" s="55" t="n"/>
      <c r="K425" s="55" t="n"/>
      <c r="L425" s="55" t="n"/>
      <c r="M425" s="55" t="n"/>
      <c r="N425" s="55" t="n"/>
      <c r="O425" s="58" t="n"/>
      <c r="P425" s="58" t="n"/>
      <c r="Q425" s="58" t="n"/>
      <c r="R425" s="58" t="n"/>
      <c r="S425" s="59">
        <f>SUM(O425:R425)</f>
        <v/>
      </c>
      <c r="T425" s="52" t="n"/>
      <c r="U425" s="53" t="n"/>
      <c r="V425" s="58" t="n"/>
      <c r="W425" s="68" t="n"/>
      <c r="X425" s="58" t="n"/>
      <c r="Y425" s="52" t="n"/>
      <c r="Z425" s="58" t="n"/>
      <c r="AA425" s="58" t="n"/>
      <c r="AB425" s="58" t="n"/>
      <c r="AC425" s="68" t="n"/>
      <c r="AD425" s="53" t="n"/>
      <c r="AE425" s="61">
        <f>SUMIFS([1]инфо!$D$15:$D$28,[1]инфо!$A$15:$A$28,F425)</f>
        <v/>
      </c>
      <c r="AF425" s="62">
        <f>IF(H425=0,0,N425/H425)</f>
        <v/>
      </c>
      <c r="AG425" s="63">
        <f>AF425-AE425</f>
        <v/>
      </c>
      <c r="AH425" s="61">
        <f>SUMIFS([1]инфо!$E$15:$E$28,[1]инфо!$A$15:$A$28,F425)</f>
        <v/>
      </c>
      <c r="AI425" s="64">
        <f>IF(H425=0,0,S425/H425)</f>
        <v/>
      </c>
      <c r="AJ425" s="63">
        <f>AI425-AH425</f>
        <v/>
      </c>
      <c r="AK425" s="61">
        <f>SUMIFS([1]инфо!$F$15:$F$28,[1]инфо!$A$15:$A$28,F425)</f>
        <v/>
      </c>
      <c r="AL425" s="64">
        <f>IF(H425=0,0,Y425/H425)</f>
        <v/>
      </c>
      <c r="AM425" s="63">
        <f>AL425-AK425</f>
        <v/>
      </c>
      <c r="AN425" s="61">
        <f>SUMIFS([1]инфо!$G$15:$G$28,[1]инфо!$A$15:$A$28,F425)</f>
        <v/>
      </c>
      <c r="AO425" s="64">
        <f>IF(H425=0,0,AA425/H425)</f>
        <v/>
      </c>
      <c r="AP425" s="63">
        <f>AO425-AN425</f>
        <v/>
      </c>
      <c r="AQ425" s="61">
        <f>SUMIFS([1]инфо!$H$15:$H$28,[1]инфо!$A$15:$A$28,F425)</f>
        <v/>
      </c>
      <c r="AR425" s="62">
        <f>IF(H424=0,0,AC425/H424)</f>
        <v/>
      </c>
      <c r="AS425" s="63">
        <f>AR425-AQ425</f>
        <v/>
      </c>
      <c r="AT425" s="61">
        <f>SUMIFS([1]инфо!$I$15:$I$28,[1]инфо!$A$15:$A$28,F425)</f>
        <v/>
      </c>
      <c r="AU425" s="62">
        <f>IF(H425=0,0,AD425/H425)</f>
        <v/>
      </c>
      <c r="AV425" s="63">
        <f>AU425-AT425</f>
        <v/>
      </c>
      <c r="AX425" s="59">
        <f>SUMIFS([1]инфо!$C$15:$C$28,[1]инфо!$A$15:$A$28,F425)*H424</f>
        <v/>
      </c>
    </row>
    <row r="426">
      <c r="A426" s="71">
        <f>A424+1</f>
        <v/>
      </c>
      <c r="B426" s="51" t="n"/>
      <c r="C426" s="77" t="n"/>
      <c r="D426" s="78" t="n"/>
      <c r="E426" s="66" t="n"/>
      <c r="F426" s="67" t="n"/>
      <c r="G426" s="79" t="n"/>
      <c r="H426" s="67" t="n"/>
      <c r="I426" s="57">
        <f>IFERROR(H426*VLOOKUP(F426,[1]инфо!$A$15:$C$28,3,FALSE)/1000,0)</f>
        <v/>
      </c>
      <c r="J426" s="55" t="n"/>
      <c r="K426" s="55" t="n"/>
      <c r="L426" s="55" t="n"/>
      <c r="M426" s="55" t="n"/>
      <c r="N426" s="56" t="n"/>
      <c r="O426" s="79" t="n"/>
      <c r="P426" s="79" t="n"/>
      <c r="Q426" s="79" t="n"/>
      <c r="R426" s="79" t="n"/>
      <c r="S426" s="80">
        <f>SUM(O426:R426)</f>
        <v/>
      </c>
      <c r="T426" s="77" t="n"/>
      <c r="U426" s="78" t="n"/>
      <c r="V426" s="79" t="n"/>
      <c r="W426" s="68" t="n"/>
      <c r="X426" s="79" t="n"/>
      <c r="Y426" s="77" t="n"/>
      <c r="Z426" s="79" t="n"/>
      <c r="AA426" s="79" t="n"/>
      <c r="AB426" s="79" t="n"/>
      <c r="AC426" s="68" t="n"/>
      <c r="AD426" s="78" t="n"/>
      <c r="AE426" s="81">
        <f>SUMIFS([1]инфо!$D$15:$D$28,[1]инфо!$A$15:$A$28,F426)</f>
        <v/>
      </c>
      <c r="AF426" s="62">
        <f>IF(H426=0,0,N426/H426)</f>
        <v/>
      </c>
      <c r="AG426" s="82">
        <f>AF426-AE426</f>
        <v/>
      </c>
      <c r="AH426" s="81">
        <f>SUMIFS([1]инфо!$E$15:$E$28,[1]инфо!$A$15:$A$28,F426)</f>
        <v/>
      </c>
      <c r="AI426" s="64">
        <f>IF(H426=0,0,S426/H426)</f>
        <v/>
      </c>
      <c r="AJ426" s="82">
        <f>AI426-AH426</f>
        <v/>
      </c>
      <c r="AK426" s="81">
        <f>SUMIFS([1]инфо!$F$15:$F$28,[1]инфо!$A$15:$A$28,F426)</f>
        <v/>
      </c>
      <c r="AL426" s="64">
        <f>IF(H426=0,0,Y426/H426)</f>
        <v/>
      </c>
      <c r="AM426" s="82">
        <f>AL426-AK426</f>
        <v/>
      </c>
      <c r="AN426" s="81">
        <f>SUMIFS([1]инфо!$G$15:$G$28,[1]инфо!$A$15:$A$28,F426)</f>
        <v/>
      </c>
      <c r="AO426" s="64">
        <f>IF(H426=0,0,AA426/H426)</f>
        <v/>
      </c>
      <c r="AP426" s="82">
        <f>AO426-AN426</f>
        <v/>
      </c>
      <c r="AQ426" s="81">
        <f>SUMIFS([1]инфо!$H$15:$H$28,[1]инфо!$A$15:$A$28,F426)</f>
        <v/>
      </c>
      <c r="AR426" s="85">
        <f>IF(H425=0,0,AC426/H425)</f>
        <v/>
      </c>
      <c r="AS426" s="82">
        <f>AR426-AQ426</f>
        <v/>
      </c>
      <c r="AT426" s="81">
        <f>SUMIFS([1]инфо!$I$15:$I$28,[1]инфо!$A$15:$A$28,F426)</f>
        <v/>
      </c>
      <c r="AU426" s="62">
        <f>IF(H426=0,0,AD426/H426)</f>
        <v/>
      </c>
      <c r="AV426" s="82">
        <f>AU426-AT426</f>
        <v/>
      </c>
      <c r="AX426" s="80">
        <f>SUMIFS([1]инфо!$C$15:$C$28,[1]инфо!$A$15:$A$28,F426)*H425</f>
        <v/>
      </c>
    </row>
    <row r="427">
      <c r="A427" s="71">
        <f>A425+1</f>
        <v/>
      </c>
      <c r="B427" s="51" t="n"/>
      <c r="C427" s="72" t="n"/>
      <c r="D427" s="73" t="n"/>
      <c r="E427" s="66" t="n"/>
      <c r="F427" s="67" t="n"/>
      <c r="G427" s="74" t="n"/>
      <c r="H427" s="55" t="n"/>
      <c r="I427" s="57">
        <f>IFERROR(H427*VLOOKUP(F427,[1]инфо!$A$15:$C$28,3,FALSE)/1000,0)</f>
        <v/>
      </c>
      <c r="J427" s="55" t="n"/>
      <c r="K427" s="55" t="n"/>
      <c r="L427" s="55" t="n"/>
      <c r="M427" s="55" t="n"/>
      <c r="N427" s="67" t="n"/>
      <c r="O427" s="74" t="n"/>
      <c r="P427" s="74" t="n"/>
      <c r="Q427" s="74" t="n"/>
      <c r="R427" s="74" t="n"/>
      <c r="S427" s="70">
        <f>SUM(O427:R427)</f>
        <v/>
      </c>
      <c r="T427" s="72" t="n"/>
      <c r="U427" s="73" t="n"/>
      <c r="V427" s="74" t="n"/>
      <c r="W427" s="68" t="n"/>
      <c r="X427" s="74" t="n"/>
      <c r="Y427" s="72" t="n"/>
      <c r="Z427" s="74" t="n"/>
      <c r="AA427" s="74" t="n"/>
      <c r="AB427" s="74" t="n"/>
      <c r="AC427" s="68" t="n"/>
      <c r="AD427" s="73" t="n"/>
      <c r="AE427" s="75">
        <f>SUMIFS([1]инфо!$D$15:$D$28,[1]инфо!$A$15:$A$28,F427)</f>
        <v/>
      </c>
      <c r="AF427" s="62">
        <f>IF(H427=0,0,N427/H427)</f>
        <v/>
      </c>
      <c r="AG427" s="76">
        <f>AF427-AE427</f>
        <v/>
      </c>
      <c r="AH427" s="75">
        <f>SUMIFS([1]инфо!$E$15:$E$28,[1]инфо!$A$15:$A$28,F427)</f>
        <v/>
      </c>
      <c r="AI427" s="64">
        <f>IF(H427=0,0,S427/H427)</f>
        <v/>
      </c>
      <c r="AJ427" s="76">
        <f>AI427-AH427</f>
        <v/>
      </c>
      <c r="AK427" s="75">
        <f>SUMIFS([1]инфо!$F$15:$F$28,[1]инфо!$A$15:$A$28,F427)</f>
        <v/>
      </c>
      <c r="AL427" s="64">
        <f>IF(H427=0,0,Y427/H427)</f>
        <v/>
      </c>
      <c r="AM427" s="76">
        <f>AL427-AK427</f>
        <v/>
      </c>
      <c r="AN427" s="75">
        <f>SUMIFS([1]инфо!$G$15:$G$28,[1]инфо!$A$15:$A$28,F427)</f>
        <v/>
      </c>
      <c r="AO427" s="64">
        <f>IF(H427=0,0,AA427/H427)</f>
        <v/>
      </c>
      <c r="AP427" s="76">
        <f>AO427-AN427</f>
        <v/>
      </c>
      <c r="AQ427" s="75">
        <f>SUMIFS([1]инфо!$H$15:$H$28,[1]инфо!$A$15:$A$28,F427)</f>
        <v/>
      </c>
      <c r="AR427" s="64">
        <f>IF(H426=0,0,AC427/H426)</f>
        <v/>
      </c>
      <c r="AS427" s="76">
        <f>AR427-AQ427</f>
        <v/>
      </c>
      <c r="AT427" s="75">
        <f>SUMIFS([1]инфо!$I$15:$I$28,[1]инфо!$A$15:$A$28,F427)</f>
        <v/>
      </c>
      <c r="AU427" s="62">
        <f>IF(H427=0,0,AD427/H427)</f>
        <v/>
      </c>
      <c r="AV427" s="76">
        <f>AU427-AT427</f>
        <v/>
      </c>
      <c r="AX427" s="70">
        <f>SUMIFS([1]инфо!$C$15:$C$28,[1]инфо!$A$15:$A$28,F427)*H426</f>
        <v/>
      </c>
    </row>
    <row r="428">
      <c r="A428" s="71">
        <f>A426+1</f>
        <v/>
      </c>
      <c r="B428" s="51" t="n"/>
      <c r="C428" s="52" t="n"/>
      <c r="D428" s="53" t="n"/>
      <c r="E428" s="66" t="n"/>
      <c r="F428" s="67" t="n"/>
      <c r="G428" s="58" t="n"/>
      <c r="H428" s="55" t="n"/>
      <c r="I428" s="57">
        <f>IFERROR(H428*VLOOKUP(F428,[1]инфо!$A$15:$C$28,3,FALSE)/1000,0)</f>
        <v/>
      </c>
      <c r="J428" s="55" t="n"/>
      <c r="K428" s="55" t="n"/>
      <c r="L428" s="55" t="n"/>
      <c r="M428" s="55" t="n"/>
      <c r="N428" s="55" t="n"/>
      <c r="O428" s="58" t="n"/>
      <c r="P428" s="58" t="n"/>
      <c r="Q428" s="58" t="n"/>
      <c r="R428" s="58" t="n"/>
      <c r="S428" s="59">
        <f>SUM(O428:R428)</f>
        <v/>
      </c>
      <c r="T428" s="52" t="n"/>
      <c r="U428" s="53" t="n"/>
      <c r="V428" s="58" t="n"/>
      <c r="W428" s="68" t="n"/>
      <c r="X428" s="58" t="n"/>
      <c r="Y428" s="52" t="n"/>
      <c r="Z428" s="58" t="n"/>
      <c r="AA428" s="58" t="n"/>
      <c r="AB428" s="58" t="n"/>
      <c r="AC428" s="68" t="n"/>
      <c r="AD428" s="53" t="n"/>
      <c r="AE428" s="61">
        <f>SUMIFS([1]инфо!$D$15:$D$28,[1]инфо!$A$15:$A$28,F428)</f>
        <v/>
      </c>
      <c r="AF428" s="62">
        <f>IF(H428=0,0,N428/H428)</f>
        <v/>
      </c>
      <c r="AG428" s="63">
        <f>AF428-AE428</f>
        <v/>
      </c>
      <c r="AH428" s="61">
        <f>SUMIFS([1]инфо!$E$15:$E$28,[1]инфо!$A$15:$A$28,F428)</f>
        <v/>
      </c>
      <c r="AI428" s="64">
        <f>IF(H428=0,0,S428/H428)</f>
        <v/>
      </c>
      <c r="AJ428" s="63">
        <f>AI428-AH428</f>
        <v/>
      </c>
      <c r="AK428" s="61">
        <f>SUMIFS([1]инфо!$F$15:$F$28,[1]инфо!$A$15:$A$28,F428)</f>
        <v/>
      </c>
      <c r="AL428" s="64">
        <f>IF(H428=0,0,Y428/H428)</f>
        <v/>
      </c>
      <c r="AM428" s="63">
        <f>AL428-AK428</f>
        <v/>
      </c>
      <c r="AN428" s="61">
        <f>SUMIFS([1]инфо!$G$15:$G$28,[1]инфо!$A$15:$A$28,F428)</f>
        <v/>
      </c>
      <c r="AO428" s="64">
        <f>IF(H428=0,0,AA428/H428)</f>
        <v/>
      </c>
      <c r="AP428" s="63">
        <f>AO428-AN428</f>
        <v/>
      </c>
      <c r="AQ428" s="61">
        <f>SUMIFS([1]инфо!$H$15:$H$28,[1]инфо!$A$15:$A$28,F428)</f>
        <v/>
      </c>
      <c r="AR428" s="62">
        <f>IF(H427=0,0,AC428/H427)</f>
        <v/>
      </c>
      <c r="AS428" s="63">
        <f>AR428-AQ428</f>
        <v/>
      </c>
      <c r="AT428" s="61">
        <f>SUMIFS([1]инфо!$I$15:$I$28,[1]инфо!$A$15:$A$28,F428)</f>
        <v/>
      </c>
      <c r="AU428" s="62">
        <f>IF(H428=0,0,AD428/H428)</f>
        <v/>
      </c>
      <c r="AV428" s="63">
        <f>AU428-AT428</f>
        <v/>
      </c>
      <c r="AX428" s="59">
        <f>SUMIFS([1]инфо!$C$15:$C$28,[1]инфо!$A$15:$A$28,F428)*H427</f>
        <v/>
      </c>
    </row>
    <row r="429">
      <c r="A429" s="71">
        <f>A427+1</f>
        <v/>
      </c>
      <c r="B429" s="51" t="n"/>
      <c r="C429" s="52" t="n"/>
      <c r="D429" s="53" t="n"/>
      <c r="E429" s="66" t="n"/>
      <c r="F429" s="67" t="n"/>
      <c r="G429" s="58" t="n"/>
      <c r="H429" s="56" t="n"/>
      <c r="I429" s="57">
        <f>IFERROR(H429*VLOOKUP(F429,[1]инфо!$A$15:$C$28,3,FALSE)/1000,0)</f>
        <v/>
      </c>
      <c r="J429" s="55" t="n"/>
      <c r="K429" s="55" t="n"/>
      <c r="L429" s="55" t="n"/>
      <c r="M429" s="55" t="n"/>
      <c r="N429" s="55" t="n"/>
      <c r="O429" s="58" t="n"/>
      <c r="P429" s="58" t="n"/>
      <c r="Q429" s="58" t="n"/>
      <c r="R429" s="58" t="n"/>
      <c r="S429" s="59">
        <f>SUM(O429:R429)</f>
        <v/>
      </c>
      <c r="T429" s="52" t="n"/>
      <c r="U429" s="53" t="n"/>
      <c r="V429" s="58" t="n"/>
      <c r="W429" s="68" t="n"/>
      <c r="X429" s="58" t="n"/>
      <c r="Y429" s="52" t="n"/>
      <c r="Z429" s="58" t="n"/>
      <c r="AA429" s="58" t="n"/>
      <c r="AB429" s="58" t="n"/>
      <c r="AC429" s="68" t="n"/>
      <c r="AD429" s="53" t="n"/>
      <c r="AE429" s="61">
        <f>SUMIFS([1]инфо!$D$15:$D$28,[1]инфо!$A$15:$A$28,F429)</f>
        <v/>
      </c>
      <c r="AF429" s="62">
        <f>IF(H429=0,0,N429/H429)</f>
        <v/>
      </c>
      <c r="AG429" s="63">
        <f>AF429-AE429</f>
        <v/>
      </c>
      <c r="AH429" s="61">
        <f>SUMIFS([1]инфо!$E$15:$E$28,[1]инфо!$A$15:$A$28,F429)</f>
        <v/>
      </c>
      <c r="AI429" s="64">
        <f>IF(H429=0,0,S429/H429)</f>
        <v/>
      </c>
      <c r="AJ429" s="63">
        <f>AI429-AH429</f>
        <v/>
      </c>
      <c r="AK429" s="61">
        <f>SUMIFS([1]инфо!$F$15:$F$28,[1]инфо!$A$15:$A$28,F429)</f>
        <v/>
      </c>
      <c r="AL429" s="64">
        <f>IF(H429=0,0,Y429/H429)</f>
        <v/>
      </c>
      <c r="AM429" s="63">
        <f>AL429-AK429</f>
        <v/>
      </c>
      <c r="AN429" s="61">
        <f>SUMIFS([1]инфо!$G$15:$G$28,[1]инфо!$A$15:$A$28,F429)</f>
        <v/>
      </c>
      <c r="AO429" s="64">
        <f>IF(H429=0,0,AA429/H429)</f>
        <v/>
      </c>
      <c r="AP429" s="63">
        <f>AO429-AN429</f>
        <v/>
      </c>
      <c r="AQ429" s="61">
        <f>SUMIFS([1]инфо!$H$15:$H$28,[1]инфо!$A$15:$A$28,F429)</f>
        <v/>
      </c>
      <c r="AR429" s="62">
        <f>IF(H428=0,0,AC429/H428)</f>
        <v/>
      </c>
      <c r="AS429" s="63">
        <f>AR429-AQ429</f>
        <v/>
      </c>
      <c r="AT429" s="61">
        <f>SUMIFS([1]инфо!$I$15:$I$28,[1]инфо!$A$15:$A$28,F429)</f>
        <v/>
      </c>
      <c r="AU429" s="62">
        <f>IF(H429=0,0,AD429/H429)</f>
        <v/>
      </c>
      <c r="AV429" s="63">
        <f>AU429-AT429</f>
        <v/>
      </c>
      <c r="AX429" s="59">
        <f>SUMIFS([1]инфо!$C$15:$C$28,[1]инфо!$A$15:$A$28,F429)*H428</f>
        <v/>
      </c>
    </row>
    <row r="430">
      <c r="A430" s="71">
        <f>A428+1</f>
        <v/>
      </c>
      <c r="B430" s="51" t="n"/>
      <c r="C430" s="77" t="n"/>
      <c r="D430" s="78" t="n"/>
      <c r="E430" s="66" t="n"/>
      <c r="F430" s="67" t="n"/>
      <c r="G430" s="79" t="n"/>
      <c r="H430" s="67" t="n"/>
      <c r="I430" s="57">
        <f>IFERROR(H430*VLOOKUP(F430,[1]инфо!$A$15:$C$28,3,FALSE)/1000,0)</f>
        <v/>
      </c>
      <c r="J430" s="55" t="n"/>
      <c r="K430" s="55" t="n"/>
      <c r="L430" s="55" t="n"/>
      <c r="M430" s="55" t="n"/>
      <c r="N430" s="56" t="n"/>
      <c r="O430" s="79" t="n"/>
      <c r="P430" s="79" t="n"/>
      <c r="Q430" s="79" t="n"/>
      <c r="R430" s="79" t="n"/>
      <c r="S430" s="80">
        <f>SUM(O430:R430)</f>
        <v/>
      </c>
      <c r="T430" s="77" t="n"/>
      <c r="U430" s="78" t="n"/>
      <c r="V430" s="79" t="n"/>
      <c r="W430" s="68" t="n"/>
      <c r="X430" s="79" t="n"/>
      <c r="Y430" s="77" t="n"/>
      <c r="Z430" s="79" t="n"/>
      <c r="AA430" s="79" t="n"/>
      <c r="AB430" s="79" t="n"/>
      <c r="AC430" s="68" t="n"/>
      <c r="AD430" s="78" t="n"/>
      <c r="AE430" s="81">
        <f>SUMIFS([1]инфо!$D$15:$D$28,[1]инфо!$A$15:$A$28,F430)</f>
        <v/>
      </c>
      <c r="AF430" s="62">
        <f>IF(H430=0,0,N430/H430)</f>
        <v/>
      </c>
      <c r="AG430" s="82">
        <f>AF430-AE430</f>
        <v/>
      </c>
      <c r="AH430" s="81">
        <f>SUMIFS([1]инфо!$E$15:$E$28,[1]инфо!$A$15:$A$28,F430)</f>
        <v/>
      </c>
      <c r="AI430" s="64">
        <f>IF(H430=0,0,S430/H430)</f>
        <v/>
      </c>
      <c r="AJ430" s="82">
        <f>AI430-AH430</f>
        <v/>
      </c>
      <c r="AK430" s="81">
        <f>SUMIFS([1]инфо!$F$15:$F$28,[1]инфо!$A$15:$A$28,F430)</f>
        <v/>
      </c>
      <c r="AL430" s="64">
        <f>IF(H430=0,0,Y430/H430)</f>
        <v/>
      </c>
      <c r="AM430" s="82">
        <f>AL430-AK430</f>
        <v/>
      </c>
      <c r="AN430" s="81">
        <f>SUMIFS([1]инфо!$G$15:$G$28,[1]инфо!$A$15:$A$28,F430)</f>
        <v/>
      </c>
      <c r="AO430" s="64">
        <f>IF(H430=0,0,AA430/H430)</f>
        <v/>
      </c>
      <c r="AP430" s="82">
        <f>AO430-AN430</f>
        <v/>
      </c>
      <c r="AQ430" s="81">
        <f>SUMIFS([1]инфо!$H$15:$H$28,[1]инфо!$A$15:$A$28,F430)</f>
        <v/>
      </c>
      <c r="AR430" s="85">
        <f>IF(H429=0,0,AC430/H429)</f>
        <v/>
      </c>
      <c r="AS430" s="82">
        <f>AR430-AQ430</f>
        <v/>
      </c>
      <c r="AT430" s="81">
        <f>SUMIFS([1]инфо!$I$15:$I$28,[1]инфо!$A$15:$A$28,F430)</f>
        <v/>
      </c>
      <c r="AU430" s="62">
        <f>IF(H430=0,0,AD430/H430)</f>
        <v/>
      </c>
      <c r="AV430" s="82">
        <f>AU430-AT430</f>
        <v/>
      </c>
      <c r="AX430" s="80">
        <f>SUMIFS([1]инфо!$C$15:$C$28,[1]инфо!$A$15:$A$28,F430)*H429</f>
        <v/>
      </c>
    </row>
    <row r="431">
      <c r="A431" s="71">
        <f>A429+1</f>
        <v/>
      </c>
      <c r="B431" s="51" t="n"/>
      <c r="C431" s="72" t="n"/>
      <c r="D431" s="73" t="n"/>
      <c r="E431" s="66" t="n"/>
      <c r="F431" s="67" t="n"/>
      <c r="G431" s="74" t="n"/>
      <c r="H431" s="55" t="n"/>
      <c r="I431" s="57">
        <f>IFERROR(H431*VLOOKUP(F431,[1]инфо!$A$15:$C$28,3,FALSE)/1000,0)</f>
        <v/>
      </c>
      <c r="J431" s="55" t="n"/>
      <c r="K431" s="55" t="n"/>
      <c r="L431" s="55" t="n"/>
      <c r="M431" s="55" t="n"/>
      <c r="N431" s="67" t="n"/>
      <c r="O431" s="74" t="n"/>
      <c r="P431" s="74" t="n"/>
      <c r="Q431" s="74" t="n"/>
      <c r="R431" s="74" t="n"/>
      <c r="S431" s="70">
        <f>SUM(O431:R431)</f>
        <v/>
      </c>
      <c r="T431" s="72" t="n"/>
      <c r="U431" s="73" t="n"/>
      <c r="V431" s="74" t="n"/>
      <c r="W431" s="68" t="n"/>
      <c r="X431" s="74" t="n"/>
      <c r="Y431" s="72" t="n"/>
      <c r="Z431" s="74" t="n"/>
      <c r="AA431" s="74" t="n"/>
      <c r="AB431" s="74" t="n"/>
      <c r="AC431" s="68" t="n"/>
      <c r="AD431" s="73" t="n"/>
      <c r="AE431" s="75">
        <f>SUMIFS([1]инфо!$D$15:$D$28,[1]инфо!$A$15:$A$28,F431)</f>
        <v/>
      </c>
      <c r="AF431" s="62">
        <f>IF(H431=0,0,N431/H431)</f>
        <v/>
      </c>
      <c r="AG431" s="76">
        <f>AF431-AE431</f>
        <v/>
      </c>
      <c r="AH431" s="75">
        <f>SUMIFS([1]инфо!$E$15:$E$28,[1]инфо!$A$15:$A$28,F431)</f>
        <v/>
      </c>
      <c r="AI431" s="64">
        <f>IF(H431=0,0,S431/H431)</f>
        <v/>
      </c>
      <c r="AJ431" s="76">
        <f>AI431-AH431</f>
        <v/>
      </c>
      <c r="AK431" s="75">
        <f>SUMIFS([1]инфо!$F$15:$F$28,[1]инфо!$A$15:$A$28,F431)</f>
        <v/>
      </c>
      <c r="AL431" s="64">
        <f>IF(H431=0,0,Y431/H431)</f>
        <v/>
      </c>
      <c r="AM431" s="76">
        <f>AL431-AK431</f>
        <v/>
      </c>
      <c r="AN431" s="75">
        <f>SUMIFS([1]инфо!$G$15:$G$28,[1]инфо!$A$15:$A$28,F431)</f>
        <v/>
      </c>
      <c r="AO431" s="64">
        <f>IF(H431=0,0,AA431/H431)</f>
        <v/>
      </c>
      <c r="AP431" s="76">
        <f>AO431-AN431</f>
        <v/>
      </c>
      <c r="AQ431" s="75">
        <f>SUMIFS([1]инфо!$H$15:$H$28,[1]инфо!$A$15:$A$28,F431)</f>
        <v/>
      </c>
      <c r="AR431" s="64">
        <f>IF(H430=0,0,AC431/H430)</f>
        <v/>
      </c>
      <c r="AS431" s="76">
        <f>AR431-AQ431</f>
        <v/>
      </c>
      <c r="AT431" s="75">
        <f>SUMIFS([1]инфо!$I$15:$I$28,[1]инфо!$A$15:$A$28,F431)</f>
        <v/>
      </c>
      <c r="AU431" s="62">
        <f>IF(H431=0,0,AD431/H431)</f>
        <v/>
      </c>
      <c r="AV431" s="76">
        <f>AU431-AT431</f>
        <v/>
      </c>
      <c r="AX431" s="70">
        <f>SUMIFS([1]инфо!$C$15:$C$28,[1]инфо!$A$15:$A$28,F431)*H430</f>
        <v/>
      </c>
    </row>
    <row r="432">
      <c r="A432" s="71">
        <f>A430+1</f>
        <v/>
      </c>
      <c r="B432" s="51" t="n"/>
      <c r="C432" s="52" t="n"/>
      <c r="D432" s="53" t="n"/>
      <c r="E432" s="66" t="n"/>
      <c r="F432" s="67" t="n"/>
      <c r="G432" s="58" t="n"/>
      <c r="H432" s="55" t="n"/>
      <c r="I432" s="57">
        <f>IFERROR(H432*VLOOKUP(F432,[1]инфо!$A$15:$C$28,3,FALSE)/1000,0)</f>
        <v/>
      </c>
      <c r="J432" s="55" t="n"/>
      <c r="K432" s="55" t="n"/>
      <c r="L432" s="55" t="n"/>
      <c r="M432" s="55" t="n"/>
      <c r="N432" s="55" t="n"/>
      <c r="O432" s="58" t="n"/>
      <c r="P432" s="58" t="n"/>
      <c r="Q432" s="58" t="n"/>
      <c r="R432" s="58" t="n"/>
      <c r="S432" s="59">
        <f>SUM(O432:R432)</f>
        <v/>
      </c>
      <c r="T432" s="52" t="n"/>
      <c r="U432" s="53" t="n"/>
      <c r="V432" s="58" t="n"/>
      <c r="W432" s="68" t="n"/>
      <c r="X432" s="58" t="n"/>
      <c r="Y432" s="52" t="n"/>
      <c r="Z432" s="58" t="n"/>
      <c r="AA432" s="58" t="n"/>
      <c r="AB432" s="58" t="n"/>
      <c r="AC432" s="68" t="n"/>
      <c r="AD432" s="53" t="n"/>
      <c r="AE432" s="61">
        <f>SUMIFS([1]инфо!$D$15:$D$28,[1]инфо!$A$15:$A$28,F432)</f>
        <v/>
      </c>
      <c r="AF432" s="62">
        <f>IF(H432=0,0,N432/H432)</f>
        <v/>
      </c>
      <c r="AG432" s="63">
        <f>AF432-AE432</f>
        <v/>
      </c>
      <c r="AH432" s="61">
        <f>SUMIFS([1]инфо!$E$15:$E$28,[1]инфо!$A$15:$A$28,F432)</f>
        <v/>
      </c>
      <c r="AI432" s="64">
        <f>IF(H432=0,0,S432/H432)</f>
        <v/>
      </c>
      <c r="AJ432" s="63">
        <f>AI432-AH432</f>
        <v/>
      </c>
      <c r="AK432" s="61">
        <f>SUMIFS([1]инфо!$F$15:$F$28,[1]инфо!$A$15:$A$28,F432)</f>
        <v/>
      </c>
      <c r="AL432" s="64">
        <f>IF(H432=0,0,Y432/H432)</f>
        <v/>
      </c>
      <c r="AM432" s="63">
        <f>AL432-AK432</f>
        <v/>
      </c>
      <c r="AN432" s="61">
        <f>SUMIFS([1]инфо!$G$15:$G$28,[1]инфо!$A$15:$A$28,F432)</f>
        <v/>
      </c>
      <c r="AO432" s="64">
        <f>IF(H432=0,0,AA432/H432)</f>
        <v/>
      </c>
      <c r="AP432" s="63">
        <f>AO432-AN432</f>
        <v/>
      </c>
      <c r="AQ432" s="61">
        <f>SUMIFS([1]инфо!$H$15:$H$28,[1]инфо!$A$15:$A$28,F432)</f>
        <v/>
      </c>
      <c r="AR432" s="62">
        <f>IF(H431=0,0,AC432/H431)</f>
        <v/>
      </c>
      <c r="AS432" s="63">
        <f>AR432-AQ432</f>
        <v/>
      </c>
      <c r="AT432" s="61">
        <f>SUMIFS([1]инфо!$I$15:$I$28,[1]инфо!$A$15:$A$28,F432)</f>
        <v/>
      </c>
      <c r="AU432" s="62">
        <f>IF(H432=0,0,AD432/H432)</f>
        <v/>
      </c>
      <c r="AV432" s="63">
        <f>AU432-AT432</f>
        <v/>
      </c>
      <c r="AX432" s="59">
        <f>SUMIFS([1]инфо!$C$15:$C$28,[1]инфо!$A$15:$A$28,F432)*H431</f>
        <v/>
      </c>
    </row>
    <row r="433">
      <c r="A433" s="71">
        <f>A431+1</f>
        <v/>
      </c>
      <c r="B433" s="51" t="n"/>
      <c r="C433" s="52" t="n"/>
      <c r="D433" s="53" t="n"/>
      <c r="E433" s="66" t="n"/>
      <c r="F433" s="67" t="n"/>
      <c r="G433" s="58" t="n"/>
      <c r="H433" s="56" t="n"/>
      <c r="I433" s="57">
        <f>IFERROR(H433*VLOOKUP(F433,[1]инфо!$A$15:$C$28,3,FALSE)/1000,0)</f>
        <v/>
      </c>
      <c r="J433" s="55" t="n"/>
      <c r="K433" s="55" t="n"/>
      <c r="L433" s="55" t="n"/>
      <c r="M433" s="55" t="n"/>
      <c r="N433" s="55" t="n"/>
      <c r="O433" s="58" t="n"/>
      <c r="P433" s="58" t="n"/>
      <c r="Q433" s="58" t="n"/>
      <c r="R433" s="58" t="n"/>
      <c r="S433" s="59">
        <f>SUM(O433:R433)</f>
        <v/>
      </c>
      <c r="T433" s="52" t="n"/>
      <c r="U433" s="53" t="n"/>
      <c r="V433" s="58" t="n"/>
      <c r="W433" s="68" t="n"/>
      <c r="X433" s="58" t="n"/>
      <c r="Y433" s="52" t="n"/>
      <c r="Z433" s="58" t="n"/>
      <c r="AA433" s="58" t="n"/>
      <c r="AB433" s="58" t="n"/>
      <c r="AC433" s="68" t="n"/>
      <c r="AD433" s="53" t="n"/>
      <c r="AE433" s="61">
        <f>SUMIFS([1]инфо!$D$15:$D$28,[1]инфо!$A$15:$A$28,F433)</f>
        <v/>
      </c>
      <c r="AF433" s="62">
        <f>IF(H433=0,0,N433/H433)</f>
        <v/>
      </c>
      <c r="AG433" s="63">
        <f>AF433-AE433</f>
        <v/>
      </c>
      <c r="AH433" s="61">
        <f>SUMIFS([1]инфо!$E$15:$E$28,[1]инфо!$A$15:$A$28,F433)</f>
        <v/>
      </c>
      <c r="AI433" s="64">
        <f>IF(H433=0,0,S433/H433)</f>
        <v/>
      </c>
      <c r="AJ433" s="63">
        <f>AI433-AH433</f>
        <v/>
      </c>
      <c r="AK433" s="61">
        <f>SUMIFS([1]инфо!$F$15:$F$28,[1]инфо!$A$15:$A$28,F433)</f>
        <v/>
      </c>
      <c r="AL433" s="64">
        <f>IF(H433=0,0,Y433/H433)</f>
        <v/>
      </c>
      <c r="AM433" s="63">
        <f>AL433-AK433</f>
        <v/>
      </c>
      <c r="AN433" s="61">
        <f>SUMIFS([1]инфо!$G$15:$G$28,[1]инфо!$A$15:$A$28,F433)</f>
        <v/>
      </c>
      <c r="AO433" s="64">
        <f>IF(H433=0,0,AA433/H433)</f>
        <v/>
      </c>
      <c r="AP433" s="63">
        <f>AO433-AN433</f>
        <v/>
      </c>
      <c r="AQ433" s="61">
        <f>SUMIFS([1]инфо!$H$15:$H$28,[1]инфо!$A$15:$A$28,F433)</f>
        <v/>
      </c>
      <c r="AR433" s="62">
        <f>IF(H432=0,0,AC433/H432)</f>
        <v/>
      </c>
      <c r="AS433" s="63">
        <f>AR433-AQ433</f>
        <v/>
      </c>
      <c r="AT433" s="61">
        <f>SUMIFS([1]инфо!$I$15:$I$28,[1]инфо!$A$15:$A$28,F433)</f>
        <v/>
      </c>
      <c r="AU433" s="62">
        <f>IF(H433=0,0,AD433/H433)</f>
        <v/>
      </c>
      <c r="AV433" s="63">
        <f>AU433-AT433</f>
        <v/>
      </c>
      <c r="AX433" s="59">
        <f>SUMIFS([1]инфо!$C$15:$C$28,[1]инфо!$A$15:$A$28,F433)*H432</f>
        <v/>
      </c>
    </row>
    <row r="434">
      <c r="A434" s="71">
        <f>A432+1</f>
        <v/>
      </c>
      <c r="B434" s="51" t="n"/>
      <c r="C434" s="77" t="n"/>
      <c r="D434" s="78" t="n"/>
      <c r="E434" s="66" t="n"/>
      <c r="F434" s="67" t="n"/>
      <c r="G434" s="79" t="n"/>
      <c r="H434" s="67" t="n"/>
      <c r="I434" s="57">
        <f>IFERROR(H434*VLOOKUP(F434,[1]инфо!$A$15:$C$28,3,FALSE)/1000,0)</f>
        <v/>
      </c>
      <c r="J434" s="55" t="n"/>
      <c r="K434" s="55" t="n"/>
      <c r="L434" s="55" t="n"/>
      <c r="M434" s="55" t="n"/>
      <c r="N434" s="56" t="n"/>
      <c r="O434" s="79" t="n"/>
      <c r="P434" s="79" t="n"/>
      <c r="Q434" s="79" t="n"/>
      <c r="R434" s="79" t="n"/>
      <c r="S434" s="80">
        <f>SUM(O434:R434)</f>
        <v/>
      </c>
      <c r="T434" s="77" t="n"/>
      <c r="U434" s="78" t="n"/>
      <c r="V434" s="79" t="n"/>
      <c r="W434" s="68" t="n"/>
      <c r="X434" s="79" t="n"/>
      <c r="Y434" s="77" t="n"/>
      <c r="Z434" s="79" t="n"/>
      <c r="AA434" s="79" t="n"/>
      <c r="AB434" s="79" t="n"/>
      <c r="AC434" s="68" t="n"/>
      <c r="AD434" s="78" t="n"/>
      <c r="AE434" s="81">
        <f>SUMIFS([1]инфо!$D$15:$D$28,[1]инфо!$A$15:$A$28,F434)</f>
        <v/>
      </c>
      <c r="AF434" s="62">
        <f>IF(H434=0,0,N434/H434)</f>
        <v/>
      </c>
      <c r="AG434" s="82">
        <f>AF434-AE434</f>
        <v/>
      </c>
      <c r="AH434" s="81">
        <f>SUMIFS([1]инфо!$E$15:$E$28,[1]инфо!$A$15:$A$28,F434)</f>
        <v/>
      </c>
      <c r="AI434" s="64">
        <f>IF(H434=0,0,S434/H434)</f>
        <v/>
      </c>
      <c r="AJ434" s="82">
        <f>AI434-AH434</f>
        <v/>
      </c>
      <c r="AK434" s="81">
        <f>SUMIFS([1]инфо!$F$15:$F$28,[1]инфо!$A$15:$A$28,F434)</f>
        <v/>
      </c>
      <c r="AL434" s="64">
        <f>IF(H434=0,0,Y434/H434)</f>
        <v/>
      </c>
      <c r="AM434" s="82">
        <f>AL434-AK434</f>
        <v/>
      </c>
      <c r="AN434" s="81">
        <f>SUMIFS([1]инфо!$G$15:$G$28,[1]инфо!$A$15:$A$28,F434)</f>
        <v/>
      </c>
      <c r="AO434" s="64">
        <f>IF(H434=0,0,AA434/H434)</f>
        <v/>
      </c>
      <c r="AP434" s="82">
        <f>AO434-AN434</f>
        <v/>
      </c>
      <c r="AQ434" s="81">
        <f>SUMIFS([1]инфо!$H$15:$H$28,[1]инфо!$A$15:$A$28,F434)</f>
        <v/>
      </c>
      <c r="AR434" s="85">
        <f>IF(H433=0,0,AC434/H433)</f>
        <v/>
      </c>
      <c r="AS434" s="82">
        <f>AR434-AQ434</f>
        <v/>
      </c>
      <c r="AT434" s="81">
        <f>SUMIFS([1]инфо!$I$15:$I$28,[1]инфо!$A$15:$A$28,F434)</f>
        <v/>
      </c>
      <c r="AU434" s="62">
        <f>IF(H434=0,0,AD434/H434)</f>
        <v/>
      </c>
      <c r="AV434" s="82">
        <f>AU434-AT434</f>
        <v/>
      </c>
      <c r="AX434" s="80">
        <f>SUMIFS([1]инфо!$C$15:$C$28,[1]инфо!$A$15:$A$28,F434)*H433</f>
        <v/>
      </c>
    </row>
    <row r="435">
      <c r="A435" s="71">
        <f>A433+1</f>
        <v/>
      </c>
      <c r="B435" s="51" t="n"/>
      <c r="C435" s="72" t="n"/>
      <c r="D435" s="73" t="n"/>
      <c r="E435" s="66" t="n"/>
      <c r="F435" s="67" t="n"/>
      <c r="G435" s="74" t="n"/>
      <c r="H435" s="55" t="n"/>
      <c r="I435" s="57">
        <f>IFERROR(H435*VLOOKUP(F435,[1]инфо!$A$15:$C$28,3,FALSE)/1000,0)</f>
        <v/>
      </c>
      <c r="J435" s="55" t="n"/>
      <c r="K435" s="55" t="n"/>
      <c r="L435" s="55" t="n"/>
      <c r="M435" s="55" t="n"/>
      <c r="N435" s="67" t="n"/>
      <c r="O435" s="74" t="n"/>
      <c r="P435" s="74" t="n"/>
      <c r="Q435" s="74" t="n"/>
      <c r="R435" s="74" t="n"/>
      <c r="S435" s="70">
        <f>SUM(O435:R435)</f>
        <v/>
      </c>
      <c r="T435" s="72" t="n"/>
      <c r="U435" s="73" t="n"/>
      <c r="V435" s="74" t="n"/>
      <c r="W435" s="68" t="n"/>
      <c r="X435" s="74" t="n"/>
      <c r="Y435" s="72" t="n"/>
      <c r="Z435" s="74" t="n"/>
      <c r="AA435" s="74" t="n"/>
      <c r="AB435" s="74" t="n"/>
      <c r="AC435" s="68" t="n"/>
      <c r="AD435" s="73" t="n"/>
      <c r="AE435" s="75">
        <f>SUMIFS([1]инфо!$D$15:$D$28,[1]инфо!$A$15:$A$28,F435)</f>
        <v/>
      </c>
      <c r="AF435" s="62">
        <f>IF(H435=0,0,N435/H435)</f>
        <v/>
      </c>
      <c r="AG435" s="76">
        <f>AF435-AE435</f>
        <v/>
      </c>
      <c r="AH435" s="75">
        <f>SUMIFS([1]инфо!$E$15:$E$28,[1]инфо!$A$15:$A$28,F435)</f>
        <v/>
      </c>
      <c r="AI435" s="64">
        <f>IF(H435=0,0,S435/H435)</f>
        <v/>
      </c>
      <c r="AJ435" s="76">
        <f>AI435-AH435</f>
        <v/>
      </c>
      <c r="AK435" s="75">
        <f>SUMIFS([1]инфо!$F$15:$F$28,[1]инфо!$A$15:$A$28,F435)</f>
        <v/>
      </c>
      <c r="AL435" s="64">
        <f>IF(H435=0,0,Y435/H435)</f>
        <v/>
      </c>
      <c r="AM435" s="76">
        <f>AL435-AK435</f>
        <v/>
      </c>
      <c r="AN435" s="75">
        <f>SUMIFS([1]инфо!$G$15:$G$28,[1]инфо!$A$15:$A$28,F435)</f>
        <v/>
      </c>
      <c r="AO435" s="64">
        <f>IF(H435=0,0,AA435/H435)</f>
        <v/>
      </c>
      <c r="AP435" s="76">
        <f>AO435-AN435</f>
        <v/>
      </c>
      <c r="AQ435" s="75">
        <f>SUMIFS([1]инфо!$H$15:$H$28,[1]инфо!$A$15:$A$28,F435)</f>
        <v/>
      </c>
      <c r="AR435" s="64">
        <f>IF(H434=0,0,AC435/H434)</f>
        <v/>
      </c>
      <c r="AS435" s="76">
        <f>AR435-AQ435</f>
        <v/>
      </c>
      <c r="AT435" s="75">
        <f>SUMIFS([1]инфо!$I$15:$I$28,[1]инфо!$A$15:$A$28,F435)</f>
        <v/>
      </c>
      <c r="AU435" s="62">
        <f>IF(H435=0,0,AD435/H435)</f>
        <v/>
      </c>
      <c r="AV435" s="76">
        <f>AU435-AT435</f>
        <v/>
      </c>
      <c r="AX435" s="70">
        <f>SUMIFS([1]инфо!$C$15:$C$28,[1]инфо!$A$15:$A$28,F435)*H434</f>
        <v/>
      </c>
    </row>
    <row r="436">
      <c r="A436" s="71">
        <f>A434+1</f>
        <v/>
      </c>
      <c r="B436" s="51" t="n"/>
      <c r="C436" s="52" t="n"/>
      <c r="D436" s="53" t="n"/>
      <c r="E436" s="66" t="n"/>
      <c r="F436" s="67" t="n"/>
      <c r="G436" s="58" t="n"/>
      <c r="H436" s="55" t="n"/>
      <c r="I436" s="57">
        <f>IFERROR(H436*VLOOKUP(F436,[1]инфо!$A$15:$C$28,3,FALSE)/1000,0)</f>
        <v/>
      </c>
      <c r="J436" s="55" t="n"/>
      <c r="K436" s="55" t="n"/>
      <c r="L436" s="55" t="n"/>
      <c r="M436" s="55" t="n"/>
      <c r="N436" s="55" t="n"/>
      <c r="O436" s="58" t="n"/>
      <c r="P436" s="58" t="n"/>
      <c r="Q436" s="58" t="n"/>
      <c r="R436" s="58" t="n"/>
      <c r="S436" s="59">
        <f>SUM(O436:R436)</f>
        <v/>
      </c>
      <c r="T436" s="52" t="n"/>
      <c r="U436" s="53" t="n"/>
      <c r="V436" s="58" t="n"/>
      <c r="W436" s="68" t="n"/>
      <c r="X436" s="58" t="n"/>
      <c r="Y436" s="52" t="n"/>
      <c r="Z436" s="58" t="n"/>
      <c r="AA436" s="58" t="n"/>
      <c r="AB436" s="58" t="n"/>
      <c r="AC436" s="68" t="n"/>
      <c r="AD436" s="53" t="n"/>
      <c r="AE436" s="61">
        <f>SUMIFS([1]инфо!$D$15:$D$28,[1]инфо!$A$15:$A$28,F436)</f>
        <v/>
      </c>
      <c r="AF436" s="62">
        <f>IF(H436=0,0,N436/H436)</f>
        <v/>
      </c>
      <c r="AG436" s="63">
        <f>AF436-AE436</f>
        <v/>
      </c>
      <c r="AH436" s="61">
        <f>SUMIFS([1]инфо!$E$15:$E$28,[1]инфо!$A$15:$A$28,F436)</f>
        <v/>
      </c>
      <c r="AI436" s="64">
        <f>IF(H436=0,0,S436/H436)</f>
        <v/>
      </c>
      <c r="AJ436" s="63">
        <f>AI436-AH436</f>
        <v/>
      </c>
      <c r="AK436" s="61">
        <f>SUMIFS([1]инфо!$F$15:$F$28,[1]инфо!$A$15:$A$28,F436)</f>
        <v/>
      </c>
      <c r="AL436" s="64">
        <f>IF(H436=0,0,Y436/H436)</f>
        <v/>
      </c>
      <c r="AM436" s="63">
        <f>AL436-AK436</f>
        <v/>
      </c>
      <c r="AN436" s="61">
        <f>SUMIFS([1]инфо!$G$15:$G$28,[1]инфо!$A$15:$A$28,F436)</f>
        <v/>
      </c>
      <c r="AO436" s="64">
        <f>IF(H436=0,0,AA436/H436)</f>
        <v/>
      </c>
      <c r="AP436" s="63">
        <f>AO436-AN436</f>
        <v/>
      </c>
      <c r="AQ436" s="61">
        <f>SUMIFS([1]инфо!$H$15:$H$28,[1]инфо!$A$15:$A$28,F436)</f>
        <v/>
      </c>
      <c r="AR436" s="62">
        <f>IF(H435=0,0,AC436/H435)</f>
        <v/>
      </c>
      <c r="AS436" s="63">
        <f>AR436-AQ436</f>
        <v/>
      </c>
      <c r="AT436" s="61">
        <f>SUMIFS([1]инфо!$I$15:$I$28,[1]инфо!$A$15:$A$28,F436)</f>
        <v/>
      </c>
      <c r="AU436" s="62">
        <f>IF(H436=0,0,AD436/H436)</f>
        <v/>
      </c>
      <c r="AV436" s="63">
        <f>AU436-AT436</f>
        <v/>
      </c>
      <c r="AX436" s="59">
        <f>SUMIFS([1]инфо!$C$15:$C$28,[1]инфо!$A$15:$A$28,F436)*H435</f>
        <v/>
      </c>
    </row>
    <row r="437">
      <c r="A437" s="71">
        <f>A435+1</f>
        <v/>
      </c>
      <c r="B437" s="51" t="n"/>
      <c r="C437" s="52" t="n"/>
      <c r="D437" s="53" t="n"/>
      <c r="E437" s="66" t="n"/>
      <c r="F437" s="67" t="n"/>
      <c r="G437" s="58" t="n"/>
      <c r="H437" s="56" t="n"/>
      <c r="I437" s="57">
        <f>IFERROR(H437*VLOOKUP(F437,[1]инфо!$A$15:$C$28,3,FALSE)/1000,0)</f>
        <v/>
      </c>
      <c r="J437" s="55" t="n"/>
      <c r="K437" s="55" t="n"/>
      <c r="L437" s="55" t="n"/>
      <c r="M437" s="55" t="n"/>
      <c r="N437" s="55" t="n"/>
      <c r="O437" s="58" t="n"/>
      <c r="P437" s="58" t="n"/>
      <c r="Q437" s="58" t="n"/>
      <c r="R437" s="58" t="n"/>
      <c r="S437" s="59">
        <f>SUM(O437:R437)</f>
        <v/>
      </c>
      <c r="T437" s="52" t="n"/>
      <c r="U437" s="53" t="n"/>
      <c r="V437" s="58" t="n"/>
      <c r="W437" s="68" t="n"/>
      <c r="X437" s="58" t="n"/>
      <c r="Y437" s="52" t="n"/>
      <c r="Z437" s="58" t="n"/>
      <c r="AA437" s="58" t="n"/>
      <c r="AB437" s="58" t="n"/>
      <c r="AC437" s="68" t="n"/>
      <c r="AD437" s="53" t="n"/>
      <c r="AE437" s="61">
        <f>SUMIFS([1]инфо!$D$15:$D$28,[1]инфо!$A$15:$A$28,F437)</f>
        <v/>
      </c>
      <c r="AF437" s="62">
        <f>IF(H437=0,0,N437/H437)</f>
        <v/>
      </c>
      <c r="AG437" s="63">
        <f>AF437-AE437</f>
        <v/>
      </c>
      <c r="AH437" s="61">
        <f>SUMIFS([1]инфо!$E$15:$E$28,[1]инфо!$A$15:$A$28,F437)</f>
        <v/>
      </c>
      <c r="AI437" s="64">
        <f>IF(H437=0,0,S437/H437)</f>
        <v/>
      </c>
      <c r="AJ437" s="63">
        <f>AI437-AH437</f>
        <v/>
      </c>
      <c r="AK437" s="61">
        <f>SUMIFS([1]инфо!$F$15:$F$28,[1]инфо!$A$15:$A$28,F437)</f>
        <v/>
      </c>
      <c r="AL437" s="64">
        <f>IF(H437=0,0,Y437/H437)</f>
        <v/>
      </c>
      <c r="AM437" s="63">
        <f>AL437-AK437</f>
        <v/>
      </c>
      <c r="AN437" s="61">
        <f>SUMIFS([1]инфо!$G$15:$G$28,[1]инфо!$A$15:$A$28,F437)</f>
        <v/>
      </c>
      <c r="AO437" s="64">
        <f>IF(H437=0,0,AA437/H437)</f>
        <v/>
      </c>
      <c r="AP437" s="63">
        <f>AO437-AN437</f>
        <v/>
      </c>
      <c r="AQ437" s="61">
        <f>SUMIFS([1]инфо!$H$15:$H$28,[1]инфо!$A$15:$A$28,F437)</f>
        <v/>
      </c>
      <c r="AR437" s="62">
        <f>IF(H436=0,0,AC437/H436)</f>
        <v/>
      </c>
      <c r="AS437" s="63">
        <f>AR437-AQ437</f>
        <v/>
      </c>
      <c r="AT437" s="61">
        <f>SUMIFS([1]инфо!$I$15:$I$28,[1]инфо!$A$15:$A$28,F437)</f>
        <v/>
      </c>
      <c r="AU437" s="62">
        <f>IF(H437=0,0,AD437/H437)</f>
        <v/>
      </c>
      <c r="AV437" s="63">
        <f>AU437-AT437</f>
        <v/>
      </c>
      <c r="AX437" s="59">
        <f>SUMIFS([1]инфо!$C$15:$C$28,[1]инфо!$A$15:$A$28,F437)*H436</f>
        <v/>
      </c>
    </row>
    <row r="438">
      <c r="A438" s="71">
        <f>A436+1</f>
        <v/>
      </c>
      <c r="B438" s="51" t="n"/>
      <c r="C438" s="77" t="n"/>
      <c r="D438" s="78" t="n"/>
      <c r="E438" s="66" t="n"/>
      <c r="F438" s="67" t="n"/>
      <c r="G438" s="79" t="n"/>
      <c r="H438" s="67" t="n"/>
      <c r="I438" s="57">
        <f>IFERROR(H438*VLOOKUP(F438,[1]инфо!$A$15:$C$28,3,FALSE)/1000,0)</f>
        <v/>
      </c>
      <c r="J438" s="55" t="n"/>
      <c r="K438" s="55" t="n"/>
      <c r="L438" s="55" t="n"/>
      <c r="M438" s="55" t="n"/>
      <c r="N438" s="56" t="n"/>
      <c r="O438" s="79" t="n"/>
      <c r="P438" s="79" t="n"/>
      <c r="Q438" s="79" t="n"/>
      <c r="R438" s="79" t="n"/>
      <c r="S438" s="80">
        <f>SUM(O438:R438)</f>
        <v/>
      </c>
      <c r="T438" s="77" t="n"/>
      <c r="U438" s="78" t="n"/>
      <c r="V438" s="79" t="n"/>
      <c r="W438" s="68" t="n"/>
      <c r="X438" s="79" t="n"/>
      <c r="Y438" s="77" t="n"/>
      <c r="Z438" s="79" t="n"/>
      <c r="AA438" s="79" t="n"/>
      <c r="AB438" s="79" t="n"/>
      <c r="AC438" s="68" t="n"/>
      <c r="AD438" s="78" t="n"/>
      <c r="AE438" s="81">
        <f>SUMIFS([1]инфо!$D$15:$D$28,[1]инфо!$A$15:$A$28,F438)</f>
        <v/>
      </c>
      <c r="AF438" s="62">
        <f>IF(H438=0,0,N438/H438)</f>
        <v/>
      </c>
      <c r="AG438" s="82">
        <f>AF438-AE438</f>
        <v/>
      </c>
      <c r="AH438" s="81">
        <f>SUMIFS([1]инфо!$E$15:$E$28,[1]инфо!$A$15:$A$28,F438)</f>
        <v/>
      </c>
      <c r="AI438" s="64">
        <f>IF(H438=0,0,S438/H438)</f>
        <v/>
      </c>
      <c r="AJ438" s="82">
        <f>AI438-AH438</f>
        <v/>
      </c>
      <c r="AK438" s="81">
        <f>SUMIFS([1]инфо!$F$15:$F$28,[1]инфо!$A$15:$A$28,F438)</f>
        <v/>
      </c>
      <c r="AL438" s="64">
        <f>IF(H438=0,0,Y438/H438)</f>
        <v/>
      </c>
      <c r="AM438" s="82">
        <f>AL438-AK438</f>
        <v/>
      </c>
      <c r="AN438" s="81">
        <f>SUMIFS([1]инфо!$G$15:$G$28,[1]инфо!$A$15:$A$28,F438)</f>
        <v/>
      </c>
      <c r="AO438" s="64">
        <f>IF(H438=0,0,AA438/H438)</f>
        <v/>
      </c>
      <c r="AP438" s="82">
        <f>AO438-AN438</f>
        <v/>
      </c>
      <c r="AQ438" s="81">
        <f>SUMIFS([1]инфо!$H$15:$H$28,[1]инфо!$A$15:$A$28,F438)</f>
        <v/>
      </c>
      <c r="AR438" s="85">
        <f>IF(H437=0,0,AC438/H437)</f>
        <v/>
      </c>
      <c r="AS438" s="82">
        <f>AR438-AQ438</f>
        <v/>
      </c>
      <c r="AT438" s="81">
        <f>SUMIFS([1]инфо!$I$15:$I$28,[1]инфо!$A$15:$A$28,F438)</f>
        <v/>
      </c>
      <c r="AU438" s="62">
        <f>IF(H438=0,0,AD438/H438)</f>
        <v/>
      </c>
      <c r="AV438" s="82">
        <f>AU438-AT438</f>
        <v/>
      </c>
      <c r="AX438" s="80">
        <f>SUMIFS([1]инфо!$C$15:$C$28,[1]инфо!$A$15:$A$28,F438)*H437</f>
        <v/>
      </c>
    </row>
    <row r="439">
      <c r="A439" s="71">
        <f>A437+1</f>
        <v/>
      </c>
      <c r="B439" s="51" t="n"/>
      <c r="C439" s="72" t="n"/>
      <c r="D439" s="73" t="n"/>
      <c r="E439" s="66" t="n"/>
      <c r="F439" s="67" t="n"/>
      <c r="G439" s="74" t="n"/>
      <c r="H439" s="55" t="n"/>
      <c r="I439" s="57">
        <f>IFERROR(H439*VLOOKUP(F439,[1]инфо!$A$15:$C$28,3,FALSE)/1000,0)</f>
        <v/>
      </c>
      <c r="J439" s="55" t="n"/>
      <c r="K439" s="55" t="n"/>
      <c r="L439" s="55" t="n"/>
      <c r="M439" s="55" t="n"/>
      <c r="N439" s="67" t="n"/>
      <c r="O439" s="74" t="n"/>
      <c r="P439" s="74" t="n"/>
      <c r="Q439" s="74" t="n"/>
      <c r="R439" s="74" t="n"/>
      <c r="S439" s="70">
        <f>SUM(O439:R439)</f>
        <v/>
      </c>
      <c r="T439" s="72" t="n"/>
      <c r="U439" s="73" t="n"/>
      <c r="V439" s="74" t="n"/>
      <c r="W439" s="68" t="n"/>
      <c r="X439" s="74" t="n"/>
      <c r="Y439" s="72" t="n"/>
      <c r="Z439" s="74" t="n"/>
      <c r="AA439" s="74" t="n"/>
      <c r="AB439" s="74" t="n"/>
      <c r="AC439" s="68" t="n"/>
      <c r="AD439" s="73" t="n"/>
      <c r="AE439" s="75">
        <f>SUMIFS([1]инфо!$D$15:$D$28,[1]инфо!$A$15:$A$28,F439)</f>
        <v/>
      </c>
      <c r="AF439" s="62">
        <f>IF(H439=0,0,N439/H439)</f>
        <v/>
      </c>
      <c r="AG439" s="76">
        <f>AF439-AE439</f>
        <v/>
      </c>
      <c r="AH439" s="75">
        <f>SUMIFS([1]инфо!$E$15:$E$28,[1]инфо!$A$15:$A$28,F439)</f>
        <v/>
      </c>
      <c r="AI439" s="64">
        <f>IF(H439=0,0,S439/H439)</f>
        <v/>
      </c>
      <c r="AJ439" s="76">
        <f>AI439-AH439</f>
        <v/>
      </c>
      <c r="AK439" s="75">
        <f>SUMIFS([1]инфо!$F$15:$F$28,[1]инфо!$A$15:$A$28,F439)</f>
        <v/>
      </c>
      <c r="AL439" s="64">
        <f>IF(H439=0,0,Y439/H439)</f>
        <v/>
      </c>
      <c r="AM439" s="76">
        <f>AL439-AK439</f>
        <v/>
      </c>
      <c r="AN439" s="75">
        <f>SUMIFS([1]инфо!$G$15:$G$28,[1]инфо!$A$15:$A$28,F439)</f>
        <v/>
      </c>
      <c r="AO439" s="64">
        <f>IF(H439=0,0,AA439/H439)</f>
        <v/>
      </c>
      <c r="AP439" s="76">
        <f>AO439-AN439</f>
        <v/>
      </c>
      <c r="AQ439" s="75">
        <f>SUMIFS([1]инфо!$H$15:$H$28,[1]инфо!$A$15:$A$28,F439)</f>
        <v/>
      </c>
      <c r="AR439" s="64">
        <f>IF(H438=0,0,AC439/H438)</f>
        <v/>
      </c>
      <c r="AS439" s="76">
        <f>AR439-AQ439</f>
        <v/>
      </c>
      <c r="AT439" s="75">
        <f>SUMIFS([1]инфо!$I$15:$I$28,[1]инфо!$A$15:$A$28,F439)</f>
        <v/>
      </c>
      <c r="AU439" s="62">
        <f>IF(H439=0,0,AD439/H439)</f>
        <v/>
      </c>
      <c r="AV439" s="76">
        <f>AU439-AT439</f>
        <v/>
      </c>
      <c r="AX439" s="70">
        <f>SUMIFS([1]инфо!$C$15:$C$28,[1]инфо!$A$15:$A$28,F439)*H438</f>
        <v/>
      </c>
    </row>
    <row r="440">
      <c r="A440" s="71">
        <f>A438+1</f>
        <v/>
      </c>
      <c r="B440" s="51" t="n"/>
      <c r="C440" s="52" t="n"/>
      <c r="D440" s="53" t="n"/>
      <c r="E440" s="66" t="n"/>
      <c r="F440" s="67" t="n"/>
      <c r="G440" s="58" t="n"/>
      <c r="H440" s="55" t="n"/>
      <c r="I440" s="57">
        <f>IFERROR(H440*VLOOKUP(F440,[1]инфо!$A$15:$C$28,3,FALSE)/1000,0)</f>
        <v/>
      </c>
      <c r="J440" s="55" t="n"/>
      <c r="K440" s="55" t="n"/>
      <c r="L440" s="55" t="n"/>
      <c r="M440" s="55" t="n"/>
      <c r="N440" s="55" t="n"/>
      <c r="O440" s="58" t="n"/>
      <c r="P440" s="58" t="n"/>
      <c r="Q440" s="58" t="n"/>
      <c r="R440" s="58" t="n"/>
      <c r="S440" s="59">
        <f>SUM(O440:R440)</f>
        <v/>
      </c>
      <c r="T440" s="52" t="n"/>
      <c r="U440" s="53" t="n"/>
      <c r="V440" s="58" t="n"/>
      <c r="W440" s="68" t="n"/>
      <c r="X440" s="58" t="n"/>
      <c r="Y440" s="52" t="n"/>
      <c r="Z440" s="58" t="n"/>
      <c r="AA440" s="58" t="n"/>
      <c r="AB440" s="58" t="n"/>
      <c r="AC440" s="68" t="n"/>
      <c r="AD440" s="53" t="n"/>
      <c r="AE440" s="61">
        <f>SUMIFS([1]инфо!$D$15:$D$28,[1]инфо!$A$15:$A$28,F440)</f>
        <v/>
      </c>
      <c r="AF440" s="62">
        <f>IF(H440=0,0,N440/H440)</f>
        <v/>
      </c>
      <c r="AG440" s="63">
        <f>AF440-AE440</f>
        <v/>
      </c>
      <c r="AH440" s="61">
        <f>SUMIFS([1]инфо!$E$15:$E$28,[1]инфо!$A$15:$A$28,F440)</f>
        <v/>
      </c>
      <c r="AI440" s="64">
        <f>IF(H440=0,0,S440/H440)</f>
        <v/>
      </c>
      <c r="AJ440" s="63">
        <f>AI440-AH440</f>
        <v/>
      </c>
      <c r="AK440" s="61">
        <f>SUMIFS([1]инфо!$F$15:$F$28,[1]инфо!$A$15:$A$28,F440)</f>
        <v/>
      </c>
      <c r="AL440" s="64">
        <f>IF(H440=0,0,Y440/H440)</f>
        <v/>
      </c>
      <c r="AM440" s="63">
        <f>AL440-AK440</f>
        <v/>
      </c>
      <c r="AN440" s="61">
        <f>SUMIFS([1]инфо!$G$15:$G$28,[1]инфо!$A$15:$A$28,F440)</f>
        <v/>
      </c>
      <c r="AO440" s="64">
        <f>IF(H440=0,0,AA440/H440)</f>
        <v/>
      </c>
      <c r="AP440" s="63">
        <f>AO440-AN440</f>
        <v/>
      </c>
      <c r="AQ440" s="61">
        <f>SUMIFS([1]инфо!$H$15:$H$28,[1]инфо!$A$15:$A$28,F440)</f>
        <v/>
      </c>
      <c r="AR440" s="62">
        <f>IF(H439=0,0,AC440/H439)</f>
        <v/>
      </c>
      <c r="AS440" s="63">
        <f>AR440-AQ440</f>
        <v/>
      </c>
      <c r="AT440" s="61">
        <f>SUMIFS([1]инфо!$I$15:$I$28,[1]инфо!$A$15:$A$28,F440)</f>
        <v/>
      </c>
      <c r="AU440" s="62">
        <f>IF(H440=0,0,AD440/H440)</f>
        <v/>
      </c>
      <c r="AV440" s="63">
        <f>AU440-AT440</f>
        <v/>
      </c>
      <c r="AX440" s="59">
        <f>SUMIFS([1]инфо!$C$15:$C$28,[1]инфо!$A$15:$A$28,F440)*H439</f>
        <v/>
      </c>
    </row>
    <row r="441">
      <c r="A441" s="71">
        <f>A439+1</f>
        <v/>
      </c>
      <c r="B441" s="51" t="n"/>
      <c r="C441" s="52" t="n"/>
      <c r="D441" s="53" t="n"/>
      <c r="E441" s="66" t="n"/>
      <c r="F441" s="67" t="n"/>
      <c r="G441" s="58" t="n"/>
      <c r="H441" s="56" t="n"/>
      <c r="I441" s="57">
        <f>IFERROR(H441*VLOOKUP(F441,[1]инфо!$A$15:$C$28,3,FALSE)/1000,0)</f>
        <v/>
      </c>
      <c r="J441" s="55" t="n"/>
      <c r="K441" s="55" t="n"/>
      <c r="L441" s="55" t="n"/>
      <c r="M441" s="55" t="n"/>
      <c r="N441" s="55" t="n"/>
      <c r="O441" s="58" t="n"/>
      <c r="P441" s="58" t="n"/>
      <c r="Q441" s="58" t="n"/>
      <c r="R441" s="58" t="n"/>
      <c r="S441" s="59">
        <f>SUM(O441:R441)</f>
        <v/>
      </c>
      <c r="T441" s="52" t="n"/>
      <c r="U441" s="53" t="n"/>
      <c r="V441" s="58" t="n"/>
      <c r="W441" s="68" t="n"/>
      <c r="X441" s="58" t="n"/>
      <c r="Y441" s="52" t="n"/>
      <c r="Z441" s="58" t="n"/>
      <c r="AA441" s="58" t="n"/>
      <c r="AB441" s="58" t="n"/>
      <c r="AC441" s="68" t="n"/>
      <c r="AD441" s="53" t="n"/>
      <c r="AE441" s="61">
        <f>SUMIFS([1]инфо!$D$15:$D$28,[1]инфо!$A$15:$A$28,F441)</f>
        <v/>
      </c>
      <c r="AF441" s="62">
        <f>IF(H441=0,0,N441/H441)</f>
        <v/>
      </c>
      <c r="AG441" s="63">
        <f>AF441-AE441</f>
        <v/>
      </c>
      <c r="AH441" s="61">
        <f>SUMIFS([1]инфо!$E$15:$E$28,[1]инфо!$A$15:$A$28,F441)</f>
        <v/>
      </c>
      <c r="AI441" s="64">
        <f>IF(H441=0,0,S441/H441)</f>
        <v/>
      </c>
      <c r="AJ441" s="63">
        <f>AI441-AH441</f>
        <v/>
      </c>
      <c r="AK441" s="61">
        <f>SUMIFS([1]инфо!$F$15:$F$28,[1]инфо!$A$15:$A$28,F441)</f>
        <v/>
      </c>
      <c r="AL441" s="64">
        <f>IF(H441=0,0,Y441/H441)</f>
        <v/>
      </c>
      <c r="AM441" s="63">
        <f>AL441-AK441</f>
        <v/>
      </c>
      <c r="AN441" s="61">
        <f>SUMIFS([1]инфо!$G$15:$G$28,[1]инфо!$A$15:$A$28,F441)</f>
        <v/>
      </c>
      <c r="AO441" s="64">
        <f>IF(H441=0,0,AA441/H441)</f>
        <v/>
      </c>
      <c r="AP441" s="63">
        <f>AO441-AN441</f>
        <v/>
      </c>
      <c r="AQ441" s="61">
        <f>SUMIFS([1]инфо!$H$15:$H$28,[1]инфо!$A$15:$A$28,F441)</f>
        <v/>
      </c>
      <c r="AR441" s="62">
        <f>IF(H440=0,0,AC441/H440)</f>
        <v/>
      </c>
      <c r="AS441" s="63">
        <f>AR441-AQ441</f>
        <v/>
      </c>
      <c r="AT441" s="61">
        <f>SUMIFS([1]инфо!$I$15:$I$28,[1]инфо!$A$15:$A$28,F441)</f>
        <v/>
      </c>
      <c r="AU441" s="62">
        <f>IF(H441=0,0,AD441/H441)</f>
        <v/>
      </c>
      <c r="AV441" s="63">
        <f>AU441-AT441</f>
        <v/>
      </c>
      <c r="AX441" s="59">
        <f>SUMIFS([1]инфо!$C$15:$C$28,[1]инфо!$A$15:$A$28,F441)*H440</f>
        <v/>
      </c>
    </row>
    <row r="442">
      <c r="A442" s="71">
        <f>A440+1</f>
        <v/>
      </c>
      <c r="B442" s="51" t="n"/>
      <c r="C442" s="77" t="n"/>
      <c r="D442" s="78" t="n"/>
      <c r="E442" s="66" t="n"/>
      <c r="F442" s="67" t="n"/>
      <c r="G442" s="79" t="n"/>
      <c r="H442" s="67" t="n"/>
      <c r="I442" s="57">
        <f>IFERROR(H442*VLOOKUP(F442,[1]инфо!$A$15:$C$28,3,FALSE)/1000,0)</f>
        <v/>
      </c>
      <c r="J442" s="55" t="n"/>
      <c r="K442" s="55" t="n"/>
      <c r="L442" s="55" t="n"/>
      <c r="M442" s="55" t="n"/>
      <c r="N442" s="56" t="n"/>
      <c r="O442" s="79" t="n"/>
      <c r="P442" s="79" t="n"/>
      <c r="Q442" s="79" t="n"/>
      <c r="R442" s="79" t="n"/>
      <c r="S442" s="80">
        <f>SUM(O442:R442)</f>
        <v/>
      </c>
      <c r="T442" s="77" t="n"/>
      <c r="U442" s="78" t="n"/>
      <c r="V442" s="79" t="n"/>
      <c r="W442" s="68" t="n"/>
      <c r="X442" s="79" t="n"/>
      <c r="Y442" s="77" t="n"/>
      <c r="Z442" s="79" t="n"/>
      <c r="AA442" s="79" t="n"/>
      <c r="AB442" s="79" t="n"/>
      <c r="AC442" s="68" t="n"/>
      <c r="AD442" s="78" t="n"/>
      <c r="AE442" s="81">
        <f>SUMIFS([1]инфо!$D$15:$D$28,[1]инфо!$A$15:$A$28,F442)</f>
        <v/>
      </c>
      <c r="AF442" s="62">
        <f>IF(H442=0,0,N442/H442)</f>
        <v/>
      </c>
      <c r="AG442" s="82">
        <f>AF442-AE442</f>
        <v/>
      </c>
      <c r="AH442" s="81">
        <f>SUMIFS([1]инфо!$E$15:$E$28,[1]инфо!$A$15:$A$28,F442)</f>
        <v/>
      </c>
      <c r="AI442" s="64">
        <f>IF(H442=0,0,S442/H442)</f>
        <v/>
      </c>
      <c r="AJ442" s="82">
        <f>AI442-AH442</f>
        <v/>
      </c>
      <c r="AK442" s="81">
        <f>SUMIFS([1]инфо!$F$15:$F$28,[1]инфо!$A$15:$A$28,F442)</f>
        <v/>
      </c>
      <c r="AL442" s="64">
        <f>IF(H442=0,0,Y442/H442)</f>
        <v/>
      </c>
      <c r="AM442" s="82">
        <f>AL442-AK442</f>
        <v/>
      </c>
      <c r="AN442" s="81">
        <f>SUMIFS([1]инфо!$G$15:$G$28,[1]инфо!$A$15:$A$28,F442)</f>
        <v/>
      </c>
      <c r="AO442" s="64">
        <f>IF(H442=0,0,AA442/H442)</f>
        <v/>
      </c>
      <c r="AP442" s="82">
        <f>AO442-AN442</f>
        <v/>
      </c>
      <c r="AQ442" s="81">
        <f>SUMIFS([1]инфо!$H$15:$H$28,[1]инфо!$A$15:$A$28,F442)</f>
        <v/>
      </c>
      <c r="AR442" s="85">
        <f>IF(H441=0,0,AC442/H441)</f>
        <v/>
      </c>
      <c r="AS442" s="82">
        <f>AR442-AQ442</f>
        <v/>
      </c>
      <c r="AT442" s="81">
        <f>SUMIFS([1]инфо!$I$15:$I$28,[1]инфо!$A$15:$A$28,F442)</f>
        <v/>
      </c>
      <c r="AU442" s="62">
        <f>IF(H442=0,0,AD442/H442)</f>
        <v/>
      </c>
      <c r="AV442" s="82">
        <f>AU442-AT442</f>
        <v/>
      </c>
      <c r="AX442" s="80">
        <f>SUMIFS([1]инфо!$C$15:$C$28,[1]инфо!$A$15:$A$28,F442)*H441</f>
        <v/>
      </c>
    </row>
    <row r="443">
      <c r="A443" s="71">
        <f>A441+1</f>
        <v/>
      </c>
      <c r="B443" s="51" t="n"/>
      <c r="C443" s="72" t="n"/>
      <c r="D443" s="73" t="n"/>
      <c r="E443" s="66" t="n"/>
      <c r="F443" s="67" t="n"/>
      <c r="G443" s="74" t="n"/>
      <c r="H443" s="55" t="n"/>
      <c r="I443" s="57">
        <f>IFERROR(H443*VLOOKUP(F443,[1]инфо!$A$15:$C$28,3,FALSE)/1000,0)</f>
        <v/>
      </c>
      <c r="J443" s="55" t="n"/>
      <c r="K443" s="55" t="n"/>
      <c r="L443" s="55" t="n"/>
      <c r="M443" s="55" t="n"/>
      <c r="N443" s="67" t="n"/>
      <c r="O443" s="74" t="n"/>
      <c r="P443" s="74" t="n"/>
      <c r="Q443" s="74" t="n"/>
      <c r="R443" s="74" t="n"/>
      <c r="S443" s="70">
        <f>SUM(O443:R443)</f>
        <v/>
      </c>
      <c r="T443" s="72" t="n"/>
      <c r="U443" s="73" t="n"/>
      <c r="V443" s="74" t="n"/>
      <c r="W443" s="68" t="n"/>
      <c r="X443" s="74" t="n"/>
      <c r="Y443" s="72" t="n"/>
      <c r="Z443" s="74" t="n"/>
      <c r="AA443" s="74" t="n"/>
      <c r="AB443" s="74" t="n"/>
      <c r="AC443" s="68" t="n"/>
      <c r="AD443" s="73" t="n"/>
      <c r="AE443" s="75">
        <f>SUMIFS([1]инфо!$D$15:$D$28,[1]инфо!$A$15:$A$28,F443)</f>
        <v/>
      </c>
      <c r="AF443" s="62">
        <f>IF(H443=0,0,N443/H443)</f>
        <v/>
      </c>
      <c r="AG443" s="76">
        <f>AF443-AE443</f>
        <v/>
      </c>
      <c r="AH443" s="75">
        <f>SUMIFS([1]инфо!$E$15:$E$28,[1]инфо!$A$15:$A$28,F443)</f>
        <v/>
      </c>
      <c r="AI443" s="64">
        <f>IF(H443=0,0,S443/H443)</f>
        <v/>
      </c>
      <c r="AJ443" s="76">
        <f>AI443-AH443</f>
        <v/>
      </c>
      <c r="AK443" s="75">
        <f>SUMIFS([1]инфо!$F$15:$F$28,[1]инфо!$A$15:$A$28,F443)</f>
        <v/>
      </c>
      <c r="AL443" s="64">
        <f>IF(H443=0,0,Y443/H443)</f>
        <v/>
      </c>
      <c r="AM443" s="76">
        <f>AL443-AK443</f>
        <v/>
      </c>
      <c r="AN443" s="75">
        <f>SUMIFS([1]инфо!$G$15:$G$28,[1]инфо!$A$15:$A$28,F443)</f>
        <v/>
      </c>
      <c r="AO443" s="64">
        <f>IF(H443=0,0,AA443/H443)</f>
        <v/>
      </c>
      <c r="AP443" s="76">
        <f>AO443-AN443</f>
        <v/>
      </c>
      <c r="AQ443" s="75">
        <f>SUMIFS([1]инфо!$H$15:$H$28,[1]инфо!$A$15:$A$28,F443)</f>
        <v/>
      </c>
      <c r="AR443" s="64">
        <f>IF(H442=0,0,AC443/H442)</f>
        <v/>
      </c>
      <c r="AS443" s="76">
        <f>AR443-AQ443</f>
        <v/>
      </c>
      <c r="AT443" s="75">
        <f>SUMIFS([1]инфо!$I$15:$I$28,[1]инфо!$A$15:$A$28,F443)</f>
        <v/>
      </c>
      <c r="AU443" s="62">
        <f>IF(H443=0,0,AD443/H443)</f>
        <v/>
      </c>
      <c r="AV443" s="76">
        <f>AU443-AT443</f>
        <v/>
      </c>
      <c r="AX443" s="70">
        <f>SUMIFS([1]инфо!$C$15:$C$28,[1]инфо!$A$15:$A$28,F443)*H442</f>
        <v/>
      </c>
    </row>
    <row r="444">
      <c r="A444" s="71">
        <f>A442+1</f>
        <v/>
      </c>
      <c r="B444" s="51" t="n"/>
      <c r="C444" s="52" t="n"/>
      <c r="D444" s="53" t="n"/>
      <c r="E444" s="66" t="n"/>
      <c r="F444" s="67" t="n"/>
      <c r="G444" s="58" t="n"/>
      <c r="H444" s="55" t="n"/>
      <c r="I444" s="57">
        <f>IFERROR(H444*VLOOKUP(F444,[1]инфо!$A$15:$C$28,3,FALSE)/1000,0)</f>
        <v/>
      </c>
      <c r="J444" s="55" t="n"/>
      <c r="K444" s="55" t="n"/>
      <c r="L444" s="55" t="n"/>
      <c r="M444" s="55" t="n"/>
      <c r="N444" s="55" t="n"/>
      <c r="O444" s="58" t="n"/>
      <c r="P444" s="58" t="n"/>
      <c r="Q444" s="58" t="n"/>
      <c r="R444" s="58" t="n"/>
      <c r="S444" s="59">
        <f>SUM(O444:R444)</f>
        <v/>
      </c>
      <c r="T444" s="52" t="n"/>
      <c r="U444" s="53" t="n"/>
      <c r="V444" s="58" t="n"/>
      <c r="W444" s="68" t="n"/>
      <c r="X444" s="58" t="n"/>
      <c r="Y444" s="52" t="n"/>
      <c r="Z444" s="58" t="n"/>
      <c r="AA444" s="58" t="n"/>
      <c r="AB444" s="58" t="n"/>
      <c r="AC444" s="68" t="n"/>
      <c r="AD444" s="53" t="n"/>
      <c r="AE444" s="61">
        <f>SUMIFS([1]инфо!$D$15:$D$28,[1]инфо!$A$15:$A$28,F444)</f>
        <v/>
      </c>
      <c r="AF444" s="62">
        <f>IF(H444=0,0,N444/H444)</f>
        <v/>
      </c>
      <c r="AG444" s="63">
        <f>AF444-AE444</f>
        <v/>
      </c>
      <c r="AH444" s="61">
        <f>SUMIFS([1]инфо!$E$15:$E$28,[1]инфо!$A$15:$A$28,F444)</f>
        <v/>
      </c>
      <c r="AI444" s="64">
        <f>IF(H444=0,0,S444/H444)</f>
        <v/>
      </c>
      <c r="AJ444" s="63">
        <f>AI444-AH444</f>
        <v/>
      </c>
      <c r="AK444" s="61">
        <f>SUMIFS([1]инфо!$F$15:$F$28,[1]инфо!$A$15:$A$28,F444)</f>
        <v/>
      </c>
      <c r="AL444" s="64">
        <f>IF(H444=0,0,Y444/H444)</f>
        <v/>
      </c>
      <c r="AM444" s="63">
        <f>AL444-AK444</f>
        <v/>
      </c>
      <c r="AN444" s="61">
        <f>SUMIFS([1]инфо!$G$15:$G$28,[1]инфо!$A$15:$A$28,F444)</f>
        <v/>
      </c>
      <c r="AO444" s="64">
        <f>IF(H444=0,0,AA444/H444)</f>
        <v/>
      </c>
      <c r="AP444" s="63">
        <f>AO444-AN444</f>
        <v/>
      </c>
      <c r="AQ444" s="61">
        <f>SUMIFS([1]инфо!$H$15:$H$28,[1]инфо!$A$15:$A$28,F444)</f>
        <v/>
      </c>
      <c r="AR444" s="62">
        <f>IF(H443=0,0,AC444/H443)</f>
        <v/>
      </c>
      <c r="AS444" s="63">
        <f>AR444-AQ444</f>
        <v/>
      </c>
      <c r="AT444" s="61">
        <f>SUMIFS([1]инфо!$I$15:$I$28,[1]инфо!$A$15:$A$28,F444)</f>
        <v/>
      </c>
      <c r="AU444" s="62">
        <f>IF(H444=0,0,AD444/H444)</f>
        <v/>
      </c>
      <c r="AV444" s="63">
        <f>AU444-AT444</f>
        <v/>
      </c>
      <c r="AX444" s="59">
        <f>SUMIFS([1]инфо!$C$15:$C$28,[1]инфо!$A$15:$A$28,F444)*H443</f>
        <v/>
      </c>
    </row>
    <row r="445">
      <c r="A445" s="71">
        <f>A443+1</f>
        <v/>
      </c>
      <c r="B445" s="51" t="n"/>
      <c r="C445" s="52" t="n"/>
      <c r="D445" s="53" t="n"/>
      <c r="E445" s="66" t="n"/>
      <c r="F445" s="67" t="n"/>
      <c r="G445" s="58" t="n"/>
      <c r="H445" s="56" t="n"/>
      <c r="I445" s="57">
        <f>IFERROR(H445*VLOOKUP(F445,[1]инфо!$A$15:$C$28,3,FALSE)/1000,0)</f>
        <v/>
      </c>
      <c r="J445" s="55" t="n"/>
      <c r="K445" s="55" t="n"/>
      <c r="L445" s="55" t="n"/>
      <c r="M445" s="55" t="n"/>
      <c r="N445" s="55" t="n"/>
      <c r="O445" s="58" t="n"/>
      <c r="P445" s="58" t="n"/>
      <c r="Q445" s="58" t="n"/>
      <c r="R445" s="58" t="n"/>
      <c r="S445" s="59">
        <f>SUM(O445:R445)</f>
        <v/>
      </c>
      <c r="T445" s="52" t="n"/>
      <c r="U445" s="53" t="n"/>
      <c r="V445" s="58" t="n"/>
      <c r="W445" s="68" t="n"/>
      <c r="X445" s="58" t="n"/>
      <c r="Y445" s="52" t="n"/>
      <c r="Z445" s="58" t="n"/>
      <c r="AA445" s="58" t="n"/>
      <c r="AB445" s="58" t="n"/>
      <c r="AC445" s="68" t="n"/>
      <c r="AD445" s="53" t="n"/>
      <c r="AE445" s="61">
        <f>SUMIFS([1]инфо!$D$15:$D$28,[1]инфо!$A$15:$A$28,F445)</f>
        <v/>
      </c>
      <c r="AF445" s="62">
        <f>IF(H445=0,0,N445/H445)</f>
        <v/>
      </c>
      <c r="AG445" s="63">
        <f>AF445-AE445</f>
        <v/>
      </c>
      <c r="AH445" s="61">
        <f>SUMIFS([1]инфо!$E$15:$E$28,[1]инфо!$A$15:$A$28,F445)</f>
        <v/>
      </c>
      <c r="AI445" s="64">
        <f>IF(H445=0,0,S445/H445)</f>
        <v/>
      </c>
      <c r="AJ445" s="63">
        <f>AI445-AH445</f>
        <v/>
      </c>
      <c r="AK445" s="61">
        <f>SUMIFS([1]инфо!$F$15:$F$28,[1]инфо!$A$15:$A$28,F445)</f>
        <v/>
      </c>
      <c r="AL445" s="64">
        <f>IF(H445=0,0,Y445/H445)</f>
        <v/>
      </c>
      <c r="AM445" s="63">
        <f>AL445-AK445</f>
        <v/>
      </c>
      <c r="AN445" s="61">
        <f>SUMIFS([1]инфо!$G$15:$G$28,[1]инфо!$A$15:$A$28,F445)</f>
        <v/>
      </c>
      <c r="AO445" s="64">
        <f>IF(H445=0,0,AA445/H445)</f>
        <v/>
      </c>
      <c r="AP445" s="63">
        <f>AO445-AN445</f>
        <v/>
      </c>
      <c r="AQ445" s="61">
        <f>SUMIFS([1]инфо!$H$15:$H$28,[1]инфо!$A$15:$A$28,F445)</f>
        <v/>
      </c>
      <c r="AR445" s="62">
        <f>IF(H444=0,0,AC445/H444)</f>
        <v/>
      </c>
      <c r="AS445" s="63">
        <f>AR445-AQ445</f>
        <v/>
      </c>
      <c r="AT445" s="61">
        <f>SUMIFS([1]инфо!$I$15:$I$28,[1]инфо!$A$15:$A$28,F445)</f>
        <v/>
      </c>
      <c r="AU445" s="62">
        <f>IF(H445=0,0,AD445/H445)</f>
        <v/>
      </c>
      <c r="AV445" s="63">
        <f>AU445-AT445</f>
        <v/>
      </c>
      <c r="AX445" s="59">
        <f>SUMIFS([1]инфо!$C$15:$C$28,[1]инфо!$A$15:$A$28,F445)*H444</f>
        <v/>
      </c>
    </row>
    <row r="446">
      <c r="A446" s="71">
        <f>A444+1</f>
        <v/>
      </c>
      <c r="B446" s="51" t="n"/>
      <c r="C446" s="77" t="n"/>
      <c r="D446" s="78" t="n"/>
      <c r="E446" s="66" t="n"/>
      <c r="F446" s="67" t="n"/>
      <c r="G446" s="79" t="n"/>
      <c r="H446" s="67" t="n"/>
      <c r="I446" s="57">
        <f>IFERROR(H446*VLOOKUP(F446,[1]инфо!$A$15:$C$28,3,FALSE)/1000,0)</f>
        <v/>
      </c>
      <c r="J446" s="55" t="n"/>
      <c r="K446" s="55" t="n"/>
      <c r="L446" s="55" t="n"/>
      <c r="M446" s="55" t="n"/>
      <c r="N446" s="56" t="n"/>
      <c r="O446" s="79" t="n"/>
      <c r="P446" s="79" t="n"/>
      <c r="Q446" s="79" t="n"/>
      <c r="R446" s="79" t="n"/>
      <c r="S446" s="80">
        <f>SUM(O446:R446)</f>
        <v/>
      </c>
      <c r="T446" s="77" t="n"/>
      <c r="U446" s="78" t="n"/>
      <c r="V446" s="79" t="n"/>
      <c r="W446" s="68" t="n"/>
      <c r="X446" s="79" t="n"/>
      <c r="Y446" s="77" t="n"/>
      <c r="Z446" s="79" t="n"/>
      <c r="AA446" s="79" t="n"/>
      <c r="AB446" s="79" t="n"/>
      <c r="AC446" s="68" t="n"/>
      <c r="AD446" s="78" t="n"/>
      <c r="AE446" s="81">
        <f>SUMIFS([1]инфо!$D$15:$D$28,[1]инфо!$A$15:$A$28,F446)</f>
        <v/>
      </c>
      <c r="AF446" s="62">
        <f>IF(H446=0,0,N446/H446)</f>
        <v/>
      </c>
      <c r="AG446" s="82">
        <f>AF446-AE446</f>
        <v/>
      </c>
      <c r="AH446" s="81">
        <f>SUMIFS([1]инфо!$E$15:$E$28,[1]инфо!$A$15:$A$28,F446)</f>
        <v/>
      </c>
      <c r="AI446" s="64">
        <f>IF(H446=0,0,S446/H446)</f>
        <v/>
      </c>
      <c r="AJ446" s="82">
        <f>AI446-AH446</f>
        <v/>
      </c>
      <c r="AK446" s="81">
        <f>SUMIFS([1]инфо!$F$15:$F$28,[1]инфо!$A$15:$A$28,F446)</f>
        <v/>
      </c>
      <c r="AL446" s="64">
        <f>IF(H446=0,0,Y446/H446)</f>
        <v/>
      </c>
      <c r="AM446" s="82">
        <f>AL446-AK446</f>
        <v/>
      </c>
      <c r="AN446" s="81">
        <f>SUMIFS([1]инфо!$G$15:$G$28,[1]инфо!$A$15:$A$28,F446)</f>
        <v/>
      </c>
      <c r="AO446" s="64">
        <f>IF(H446=0,0,AA446/H446)</f>
        <v/>
      </c>
      <c r="AP446" s="82">
        <f>AO446-AN446</f>
        <v/>
      </c>
      <c r="AQ446" s="81">
        <f>SUMIFS([1]инфо!$H$15:$H$28,[1]инфо!$A$15:$A$28,F446)</f>
        <v/>
      </c>
      <c r="AR446" s="85">
        <f>IF(H445=0,0,AC446/H445)</f>
        <v/>
      </c>
      <c r="AS446" s="82">
        <f>AR446-AQ446</f>
        <v/>
      </c>
      <c r="AT446" s="81">
        <f>SUMIFS([1]инфо!$I$15:$I$28,[1]инфо!$A$15:$A$28,F446)</f>
        <v/>
      </c>
      <c r="AU446" s="62">
        <f>IF(H446=0,0,AD446/H446)</f>
        <v/>
      </c>
      <c r="AV446" s="82">
        <f>AU446-AT446</f>
        <v/>
      </c>
      <c r="AX446" s="80">
        <f>SUMIFS([1]инфо!$C$15:$C$28,[1]инфо!$A$15:$A$28,F446)*H445</f>
        <v/>
      </c>
    </row>
    <row r="447">
      <c r="A447" s="71">
        <f>A445+1</f>
        <v/>
      </c>
      <c r="B447" s="51" t="n"/>
      <c r="C447" s="72" t="n"/>
      <c r="D447" s="73" t="n"/>
      <c r="E447" s="66" t="n"/>
      <c r="F447" s="67" t="n"/>
      <c r="G447" s="74" t="n"/>
      <c r="H447" s="55" t="n"/>
      <c r="I447" s="57">
        <f>IFERROR(H447*VLOOKUP(F447,[1]инфо!$A$15:$C$28,3,FALSE)/1000,0)</f>
        <v/>
      </c>
      <c r="J447" s="55" t="n"/>
      <c r="K447" s="55" t="n"/>
      <c r="L447" s="55" t="n"/>
      <c r="M447" s="55" t="n"/>
      <c r="N447" s="67" t="n"/>
      <c r="O447" s="74" t="n"/>
      <c r="P447" s="74" t="n"/>
      <c r="Q447" s="74" t="n"/>
      <c r="R447" s="74" t="n"/>
      <c r="S447" s="70">
        <f>SUM(O447:R447)</f>
        <v/>
      </c>
      <c r="T447" s="72" t="n"/>
      <c r="U447" s="73" t="n"/>
      <c r="V447" s="74" t="n"/>
      <c r="W447" s="68" t="n"/>
      <c r="X447" s="74" t="n"/>
      <c r="Y447" s="72" t="n"/>
      <c r="Z447" s="74" t="n"/>
      <c r="AA447" s="74" t="n"/>
      <c r="AB447" s="74" t="n"/>
      <c r="AC447" s="68" t="n"/>
      <c r="AD447" s="73" t="n"/>
      <c r="AE447" s="75">
        <f>SUMIFS([1]инфо!$D$15:$D$28,[1]инфо!$A$15:$A$28,F447)</f>
        <v/>
      </c>
      <c r="AF447" s="62">
        <f>IF(H447=0,0,N447/H447)</f>
        <v/>
      </c>
      <c r="AG447" s="76">
        <f>AF447-AE447</f>
        <v/>
      </c>
      <c r="AH447" s="75">
        <f>SUMIFS([1]инфо!$E$15:$E$28,[1]инфо!$A$15:$A$28,F447)</f>
        <v/>
      </c>
      <c r="AI447" s="64">
        <f>IF(H447=0,0,S447/H447)</f>
        <v/>
      </c>
      <c r="AJ447" s="76">
        <f>AI447-AH447</f>
        <v/>
      </c>
      <c r="AK447" s="75">
        <f>SUMIFS([1]инфо!$F$15:$F$28,[1]инфо!$A$15:$A$28,F447)</f>
        <v/>
      </c>
      <c r="AL447" s="64">
        <f>IF(H447=0,0,Y447/H447)</f>
        <v/>
      </c>
      <c r="AM447" s="76">
        <f>AL447-AK447</f>
        <v/>
      </c>
      <c r="AN447" s="75">
        <f>SUMIFS([1]инфо!$G$15:$G$28,[1]инфо!$A$15:$A$28,F447)</f>
        <v/>
      </c>
      <c r="AO447" s="64">
        <f>IF(H447=0,0,AA447/H447)</f>
        <v/>
      </c>
      <c r="AP447" s="76">
        <f>AO447-AN447</f>
        <v/>
      </c>
      <c r="AQ447" s="75">
        <f>SUMIFS([1]инфо!$H$15:$H$28,[1]инфо!$A$15:$A$28,F447)</f>
        <v/>
      </c>
      <c r="AR447" s="64">
        <f>IF(H446=0,0,AC447/H446)</f>
        <v/>
      </c>
      <c r="AS447" s="76">
        <f>AR447-AQ447</f>
        <v/>
      </c>
      <c r="AT447" s="75">
        <f>SUMIFS([1]инфо!$I$15:$I$28,[1]инфо!$A$15:$A$28,F447)</f>
        <v/>
      </c>
      <c r="AU447" s="62">
        <f>IF(H447=0,0,AD447/H447)</f>
        <v/>
      </c>
      <c r="AV447" s="76">
        <f>AU447-AT447</f>
        <v/>
      </c>
      <c r="AX447" s="70">
        <f>SUMIFS([1]инфо!$C$15:$C$28,[1]инфо!$A$15:$A$28,F447)*H446</f>
        <v/>
      </c>
    </row>
    <row r="448">
      <c r="A448" s="71">
        <f>A446+1</f>
        <v/>
      </c>
      <c r="B448" s="51" t="n"/>
      <c r="C448" s="52" t="n"/>
      <c r="D448" s="53" t="n"/>
      <c r="E448" s="66" t="n"/>
      <c r="F448" s="67" t="n"/>
      <c r="G448" s="58" t="n"/>
      <c r="H448" s="55" t="n"/>
      <c r="I448" s="57">
        <f>IFERROR(H448*VLOOKUP(F448,[1]инфо!$A$15:$C$28,3,FALSE)/1000,0)</f>
        <v/>
      </c>
      <c r="J448" s="55" t="n"/>
      <c r="K448" s="55" t="n"/>
      <c r="L448" s="55" t="n"/>
      <c r="M448" s="55" t="n"/>
      <c r="N448" s="55" t="n"/>
      <c r="O448" s="58" t="n"/>
      <c r="P448" s="58" t="n"/>
      <c r="Q448" s="58" t="n"/>
      <c r="R448" s="58" t="n"/>
      <c r="S448" s="59">
        <f>SUM(O448:R448)</f>
        <v/>
      </c>
      <c r="T448" s="52" t="n"/>
      <c r="U448" s="53" t="n"/>
      <c r="V448" s="58" t="n"/>
      <c r="W448" s="68" t="n"/>
      <c r="X448" s="58" t="n"/>
      <c r="Y448" s="52" t="n"/>
      <c r="Z448" s="58" t="n"/>
      <c r="AA448" s="58" t="n"/>
      <c r="AB448" s="58" t="n"/>
      <c r="AC448" s="68" t="n"/>
      <c r="AD448" s="53" t="n"/>
      <c r="AE448" s="61">
        <f>SUMIFS([1]инфо!$D$15:$D$28,[1]инфо!$A$15:$A$28,F448)</f>
        <v/>
      </c>
      <c r="AF448" s="62">
        <f>IF(H448=0,0,N448/H448)</f>
        <v/>
      </c>
      <c r="AG448" s="63">
        <f>AF448-AE448</f>
        <v/>
      </c>
      <c r="AH448" s="61">
        <f>SUMIFS([1]инфо!$E$15:$E$28,[1]инфо!$A$15:$A$28,F448)</f>
        <v/>
      </c>
      <c r="AI448" s="64">
        <f>IF(H448=0,0,S448/H448)</f>
        <v/>
      </c>
      <c r="AJ448" s="63">
        <f>AI448-AH448</f>
        <v/>
      </c>
      <c r="AK448" s="61">
        <f>SUMIFS([1]инфо!$F$15:$F$28,[1]инфо!$A$15:$A$28,F448)</f>
        <v/>
      </c>
      <c r="AL448" s="64">
        <f>IF(H448=0,0,Y448/H448)</f>
        <v/>
      </c>
      <c r="AM448" s="63">
        <f>AL448-AK448</f>
        <v/>
      </c>
      <c r="AN448" s="61">
        <f>SUMIFS([1]инфо!$G$15:$G$28,[1]инфо!$A$15:$A$28,F448)</f>
        <v/>
      </c>
      <c r="AO448" s="64">
        <f>IF(H448=0,0,AA448/H448)</f>
        <v/>
      </c>
      <c r="AP448" s="63">
        <f>AO448-AN448</f>
        <v/>
      </c>
      <c r="AQ448" s="61">
        <f>SUMIFS([1]инфо!$H$15:$H$28,[1]инфо!$A$15:$A$28,F448)</f>
        <v/>
      </c>
      <c r="AR448" s="62">
        <f>IF(H447=0,0,AC448/H447)</f>
        <v/>
      </c>
      <c r="AS448" s="63">
        <f>AR448-AQ448</f>
        <v/>
      </c>
      <c r="AT448" s="61">
        <f>SUMIFS([1]инфо!$I$15:$I$28,[1]инфо!$A$15:$A$28,F448)</f>
        <v/>
      </c>
      <c r="AU448" s="62">
        <f>IF(H448=0,0,AD448/H448)</f>
        <v/>
      </c>
      <c r="AV448" s="63">
        <f>AU448-AT448</f>
        <v/>
      </c>
      <c r="AX448" s="59">
        <f>SUMIFS([1]инфо!$C$15:$C$28,[1]инфо!$A$15:$A$28,F448)*H447</f>
        <v/>
      </c>
    </row>
    <row r="449">
      <c r="A449" s="71">
        <f>A447+1</f>
        <v/>
      </c>
      <c r="B449" s="51" t="n"/>
      <c r="C449" s="52" t="n"/>
      <c r="D449" s="53" t="n"/>
      <c r="E449" s="66" t="n"/>
      <c r="F449" s="67" t="n"/>
      <c r="G449" s="58" t="n"/>
      <c r="H449" s="56" t="n"/>
      <c r="I449" s="57">
        <f>IFERROR(H449*VLOOKUP(F449,[1]инфо!$A$15:$C$28,3,FALSE)/1000,0)</f>
        <v/>
      </c>
      <c r="J449" s="55" t="n"/>
      <c r="K449" s="55" t="n"/>
      <c r="L449" s="55" t="n"/>
      <c r="M449" s="55" t="n"/>
      <c r="N449" s="55" t="n"/>
      <c r="O449" s="58" t="n"/>
      <c r="P449" s="58" t="n"/>
      <c r="Q449" s="58" t="n"/>
      <c r="R449" s="58" t="n"/>
      <c r="S449" s="59">
        <f>SUM(O449:R449)</f>
        <v/>
      </c>
      <c r="T449" s="52" t="n"/>
      <c r="U449" s="53" t="n"/>
      <c r="V449" s="58" t="n"/>
      <c r="W449" s="68" t="n"/>
      <c r="X449" s="58" t="n"/>
      <c r="Y449" s="52" t="n"/>
      <c r="Z449" s="58" t="n"/>
      <c r="AA449" s="58" t="n"/>
      <c r="AB449" s="58" t="n"/>
      <c r="AC449" s="68" t="n"/>
      <c r="AD449" s="53" t="n"/>
      <c r="AE449" s="61">
        <f>SUMIFS([1]инфо!$D$15:$D$28,[1]инфо!$A$15:$A$28,F449)</f>
        <v/>
      </c>
      <c r="AF449" s="62">
        <f>IF(H449=0,0,N449/H449)</f>
        <v/>
      </c>
      <c r="AG449" s="63">
        <f>AF449-AE449</f>
        <v/>
      </c>
      <c r="AH449" s="61">
        <f>SUMIFS([1]инфо!$E$15:$E$28,[1]инфо!$A$15:$A$28,F449)</f>
        <v/>
      </c>
      <c r="AI449" s="64">
        <f>IF(H449=0,0,S449/H449)</f>
        <v/>
      </c>
      <c r="AJ449" s="63">
        <f>AI449-AH449</f>
        <v/>
      </c>
      <c r="AK449" s="61">
        <f>SUMIFS([1]инфо!$F$15:$F$28,[1]инфо!$A$15:$A$28,F449)</f>
        <v/>
      </c>
      <c r="AL449" s="64">
        <f>IF(H449=0,0,Y449/H449)</f>
        <v/>
      </c>
      <c r="AM449" s="63">
        <f>AL449-AK449</f>
        <v/>
      </c>
      <c r="AN449" s="61">
        <f>SUMIFS([1]инфо!$G$15:$G$28,[1]инфо!$A$15:$A$28,F449)</f>
        <v/>
      </c>
      <c r="AO449" s="64">
        <f>IF(H449=0,0,AA449/H449)</f>
        <v/>
      </c>
      <c r="AP449" s="63">
        <f>AO449-AN449</f>
        <v/>
      </c>
      <c r="AQ449" s="61">
        <f>SUMIFS([1]инфо!$H$15:$H$28,[1]инфо!$A$15:$A$28,F449)</f>
        <v/>
      </c>
      <c r="AR449" s="62">
        <f>IF(H448=0,0,AC449/H448)</f>
        <v/>
      </c>
      <c r="AS449" s="63">
        <f>AR449-AQ449</f>
        <v/>
      </c>
      <c r="AT449" s="61">
        <f>SUMIFS([1]инфо!$I$15:$I$28,[1]инфо!$A$15:$A$28,F449)</f>
        <v/>
      </c>
      <c r="AU449" s="62">
        <f>IF(H449=0,0,AD449/H449)</f>
        <v/>
      </c>
      <c r="AV449" s="63">
        <f>AU449-AT449</f>
        <v/>
      </c>
      <c r="AX449" s="59">
        <f>SUMIFS([1]инфо!$C$15:$C$28,[1]инфо!$A$15:$A$28,F449)*H448</f>
        <v/>
      </c>
    </row>
    <row r="450">
      <c r="A450" s="71">
        <f>A448+1</f>
        <v/>
      </c>
      <c r="B450" s="51" t="n"/>
      <c r="C450" s="77" t="n"/>
      <c r="D450" s="78" t="n"/>
      <c r="E450" s="66" t="n"/>
      <c r="F450" s="67" t="n"/>
      <c r="G450" s="79" t="n"/>
      <c r="H450" s="67" t="n"/>
      <c r="I450" s="57">
        <f>IFERROR(H450*VLOOKUP(F450,[1]инфо!$A$15:$C$28,3,FALSE)/1000,0)</f>
        <v/>
      </c>
      <c r="J450" s="55" t="n"/>
      <c r="K450" s="55" t="n"/>
      <c r="L450" s="55" t="n"/>
      <c r="M450" s="55" t="n"/>
      <c r="N450" s="56" t="n"/>
      <c r="O450" s="79" t="n"/>
      <c r="P450" s="79" t="n"/>
      <c r="Q450" s="79" t="n"/>
      <c r="R450" s="79" t="n"/>
      <c r="S450" s="80">
        <f>SUM(O450:R450)</f>
        <v/>
      </c>
      <c r="T450" s="77" t="n"/>
      <c r="U450" s="78" t="n"/>
      <c r="V450" s="79" t="n"/>
      <c r="W450" s="68" t="n"/>
      <c r="X450" s="79" t="n"/>
      <c r="Y450" s="77" t="n"/>
      <c r="Z450" s="79" t="n"/>
      <c r="AA450" s="79" t="n"/>
      <c r="AB450" s="79" t="n"/>
      <c r="AC450" s="68" t="n"/>
      <c r="AD450" s="78" t="n"/>
      <c r="AE450" s="81">
        <f>SUMIFS([1]инфо!$D$15:$D$28,[1]инфо!$A$15:$A$28,F450)</f>
        <v/>
      </c>
      <c r="AF450" s="62">
        <f>IF(H450=0,0,N450/H450)</f>
        <v/>
      </c>
      <c r="AG450" s="82">
        <f>AF450-AE450</f>
        <v/>
      </c>
      <c r="AH450" s="81">
        <f>SUMIFS([1]инфо!$E$15:$E$28,[1]инфо!$A$15:$A$28,F450)</f>
        <v/>
      </c>
      <c r="AI450" s="64">
        <f>IF(H450=0,0,S450/H450)</f>
        <v/>
      </c>
      <c r="AJ450" s="82">
        <f>AI450-AH450</f>
        <v/>
      </c>
      <c r="AK450" s="81">
        <f>SUMIFS([1]инфо!$F$15:$F$28,[1]инфо!$A$15:$A$28,F450)</f>
        <v/>
      </c>
      <c r="AL450" s="64">
        <f>IF(H450=0,0,Y450/H450)</f>
        <v/>
      </c>
      <c r="AM450" s="82">
        <f>AL450-AK450</f>
        <v/>
      </c>
      <c r="AN450" s="81">
        <f>SUMIFS([1]инфо!$G$15:$G$28,[1]инфо!$A$15:$A$28,F450)</f>
        <v/>
      </c>
      <c r="AO450" s="64">
        <f>IF(H450=0,0,AA450/H450)</f>
        <v/>
      </c>
      <c r="AP450" s="82">
        <f>AO450-AN450</f>
        <v/>
      </c>
      <c r="AQ450" s="81">
        <f>SUMIFS([1]инфо!$H$15:$H$28,[1]инфо!$A$15:$A$28,F450)</f>
        <v/>
      </c>
      <c r="AR450" s="85">
        <f>IF(H449=0,0,AC450/H449)</f>
        <v/>
      </c>
      <c r="AS450" s="82">
        <f>AR450-AQ450</f>
        <v/>
      </c>
      <c r="AT450" s="81">
        <f>SUMIFS([1]инфо!$I$15:$I$28,[1]инфо!$A$15:$A$28,F450)</f>
        <v/>
      </c>
      <c r="AU450" s="62">
        <f>IF(H450=0,0,AD450/H450)</f>
        <v/>
      </c>
      <c r="AV450" s="82">
        <f>AU450-AT450</f>
        <v/>
      </c>
      <c r="AX450" s="80">
        <f>SUMIFS([1]инфо!$C$15:$C$28,[1]инфо!$A$15:$A$28,F450)*H449</f>
        <v/>
      </c>
    </row>
    <row r="451">
      <c r="A451" s="71">
        <f>A449+1</f>
        <v/>
      </c>
      <c r="B451" s="51" t="n"/>
      <c r="C451" s="72" t="n"/>
      <c r="D451" s="73" t="n"/>
      <c r="E451" s="66" t="n"/>
      <c r="F451" s="67" t="n"/>
      <c r="G451" s="74" t="n"/>
      <c r="H451" s="55" t="n"/>
      <c r="I451" s="57">
        <f>IFERROR(H451*VLOOKUP(F451,[1]инфо!$A$15:$C$28,3,FALSE)/1000,0)</f>
        <v/>
      </c>
      <c r="J451" s="55" t="n"/>
      <c r="K451" s="55" t="n"/>
      <c r="L451" s="55" t="n"/>
      <c r="M451" s="55" t="n"/>
      <c r="N451" s="67" t="n"/>
      <c r="O451" s="74" t="n"/>
      <c r="P451" s="74" t="n"/>
      <c r="Q451" s="74" t="n"/>
      <c r="R451" s="74" t="n"/>
      <c r="S451" s="70">
        <f>SUM(O451:R451)</f>
        <v/>
      </c>
      <c r="T451" s="72" t="n"/>
      <c r="U451" s="73" t="n"/>
      <c r="V451" s="74" t="n"/>
      <c r="W451" s="68" t="n"/>
      <c r="X451" s="74" t="n"/>
      <c r="Y451" s="72" t="n"/>
      <c r="Z451" s="74" t="n"/>
      <c r="AA451" s="74" t="n"/>
      <c r="AB451" s="74" t="n"/>
      <c r="AC451" s="68" t="n"/>
      <c r="AD451" s="73" t="n"/>
      <c r="AE451" s="75">
        <f>SUMIFS([1]инфо!$D$15:$D$28,[1]инфо!$A$15:$A$28,F451)</f>
        <v/>
      </c>
      <c r="AF451" s="62">
        <f>IF(H451=0,0,N451/H451)</f>
        <v/>
      </c>
      <c r="AG451" s="76">
        <f>AF451-AE451</f>
        <v/>
      </c>
      <c r="AH451" s="75">
        <f>SUMIFS([1]инфо!$E$15:$E$28,[1]инфо!$A$15:$A$28,F451)</f>
        <v/>
      </c>
      <c r="AI451" s="64">
        <f>IF(H451=0,0,S451/H451)</f>
        <v/>
      </c>
      <c r="AJ451" s="76">
        <f>AI451-AH451</f>
        <v/>
      </c>
      <c r="AK451" s="75">
        <f>SUMIFS([1]инфо!$F$15:$F$28,[1]инфо!$A$15:$A$28,F451)</f>
        <v/>
      </c>
      <c r="AL451" s="64">
        <f>IF(H451=0,0,Y451/H451)</f>
        <v/>
      </c>
      <c r="AM451" s="76">
        <f>AL451-AK451</f>
        <v/>
      </c>
      <c r="AN451" s="75">
        <f>SUMIFS([1]инфо!$G$15:$G$28,[1]инфо!$A$15:$A$28,F451)</f>
        <v/>
      </c>
      <c r="AO451" s="64">
        <f>IF(H451=0,0,AA451/H451)</f>
        <v/>
      </c>
      <c r="AP451" s="76">
        <f>AO451-AN451</f>
        <v/>
      </c>
      <c r="AQ451" s="75">
        <f>SUMIFS([1]инфо!$H$15:$H$28,[1]инфо!$A$15:$A$28,F451)</f>
        <v/>
      </c>
      <c r="AR451" s="64">
        <f>IF(H450=0,0,AC451/H450)</f>
        <v/>
      </c>
      <c r="AS451" s="76">
        <f>AR451-AQ451</f>
        <v/>
      </c>
      <c r="AT451" s="75">
        <f>SUMIFS([1]инфо!$I$15:$I$28,[1]инфо!$A$15:$A$28,F451)</f>
        <v/>
      </c>
      <c r="AU451" s="62">
        <f>IF(H451=0,0,AD451/H451)</f>
        <v/>
      </c>
      <c r="AV451" s="76">
        <f>AU451-AT451</f>
        <v/>
      </c>
      <c r="AX451" s="70">
        <f>SUMIFS([1]инфо!$C$15:$C$28,[1]инфо!$A$15:$A$28,F451)*H450</f>
        <v/>
      </c>
    </row>
    <row r="452">
      <c r="A452" s="71">
        <f>A450+1</f>
        <v/>
      </c>
      <c r="B452" s="51" t="n"/>
      <c r="C452" s="52" t="n"/>
      <c r="D452" s="53" t="n"/>
      <c r="E452" s="66" t="n"/>
      <c r="F452" s="67" t="n"/>
      <c r="G452" s="58" t="n"/>
      <c r="H452" s="55" t="n"/>
      <c r="I452" s="57">
        <f>IFERROR(H452*VLOOKUP(F452,[1]инфо!$A$15:$C$28,3,FALSE)/1000,0)</f>
        <v/>
      </c>
      <c r="J452" s="55" t="n"/>
      <c r="K452" s="55" t="n"/>
      <c r="L452" s="55" t="n"/>
      <c r="M452" s="55" t="n"/>
      <c r="N452" s="55" t="n"/>
      <c r="O452" s="58" t="n"/>
      <c r="P452" s="58" t="n"/>
      <c r="Q452" s="58" t="n"/>
      <c r="R452" s="58" t="n"/>
      <c r="S452" s="59">
        <f>SUM(O452:R452)</f>
        <v/>
      </c>
      <c r="T452" s="52" t="n"/>
      <c r="U452" s="53" t="n"/>
      <c r="V452" s="58" t="n"/>
      <c r="W452" s="68" t="n"/>
      <c r="X452" s="58" t="n"/>
      <c r="Y452" s="52" t="n"/>
      <c r="Z452" s="58" t="n"/>
      <c r="AA452" s="58" t="n"/>
      <c r="AB452" s="58" t="n"/>
      <c r="AC452" s="68" t="n"/>
      <c r="AD452" s="53" t="n"/>
      <c r="AE452" s="61">
        <f>SUMIFS([1]инфо!$D$15:$D$28,[1]инфо!$A$15:$A$28,F452)</f>
        <v/>
      </c>
      <c r="AF452" s="62">
        <f>IF(H452=0,0,N452/H452)</f>
        <v/>
      </c>
      <c r="AG452" s="63">
        <f>AF452-AE452</f>
        <v/>
      </c>
      <c r="AH452" s="61">
        <f>SUMIFS([1]инфо!$E$15:$E$28,[1]инфо!$A$15:$A$28,F452)</f>
        <v/>
      </c>
      <c r="AI452" s="64">
        <f>IF(H452=0,0,S452/H452)</f>
        <v/>
      </c>
      <c r="AJ452" s="63">
        <f>AI452-AH452</f>
        <v/>
      </c>
      <c r="AK452" s="61">
        <f>SUMIFS([1]инфо!$F$15:$F$28,[1]инфо!$A$15:$A$28,F452)</f>
        <v/>
      </c>
      <c r="AL452" s="64">
        <f>IF(H452=0,0,Y452/H452)</f>
        <v/>
      </c>
      <c r="AM452" s="63">
        <f>AL452-AK452</f>
        <v/>
      </c>
      <c r="AN452" s="61">
        <f>SUMIFS([1]инфо!$G$15:$G$28,[1]инфо!$A$15:$A$28,F452)</f>
        <v/>
      </c>
      <c r="AO452" s="64">
        <f>IF(H452=0,0,AA452/H452)</f>
        <v/>
      </c>
      <c r="AP452" s="63">
        <f>AO452-AN452</f>
        <v/>
      </c>
      <c r="AQ452" s="61">
        <f>SUMIFS([1]инфо!$H$15:$H$28,[1]инфо!$A$15:$A$28,F452)</f>
        <v/>
      </c>
      <c r="AR452" s="62">
        <f>IF(H451=0,0,AC452/H451)</f>
        <v/>
      </c>
      <c r="AS452" s="63">
        <f>AR452-AQ452</f>
        <v/>
      </c>
      <c r="AT452" s="61">
        <f>SUMIFS([1]инфо!$I$15:$I$28,[1]инфо!$A$15:$A$28,F452)</f>
        <v/>
      </c>
      <c r="AU452" s="62">
        <f>IF(H452=0,0,AD452/H452)</f>
        <v/>
      </c>
      <c r="AV452" s="63">
        <f>AU452-AT452</f>
        <v/>
      </c>
      <c r="AX452" s="59">
        <f>SUMIFS([1]инфо!$C$15:$C$28,[1]инфо!$A$15:$A$28,F452)*H451</f>
        <v/>
      </c>
    </row>
    <row r="453">
      <c r="A453" s="71">
        <f>A451+1</f>
        <v/>
      </c>
      <c r="B453" s="51" t="n"/>
      <c r="C453" s="52" t="n"/>
      <c r="D453" s="53" t="n"/>
      <c r="E453" s="66" t="n"/>
      <c r="F453" s="67" t="n"/>
      <c r="G453" s="58" t="n"/>
      <c r="H453" s="56" t="n"/>
      <c r="I453" s="57">
        <f>IFERROR(H453*VLOOKUP(F453,[1]инфо!$A$15:$C$28,3,FALSE)/1000,0)</f>
        <v/>
      </c>
      <c r="J453" s="55" t="n"/>
      <c r="K453" s="55" t="n"/>
      <c r="L453" s="55" t="n"/>
      <c r="M453" s="55" t="n"/>
      <c r="N453" s="55" t="n"/>
      <c r="O453" s="58" t="n"/>
      <c r="P453" s="58" t="n"/>
      <c r="Q453" s="58" t="n"/>
      <c r="R453" s="58" t="n"/>
      <c r="S453" s="59">
        <f>SUM(O453:R453)</f>
        <v/>
      </c>
      <c r="T453" s="52" t="n"/>
      <c r="U453" s="53" t="n"/>
      <c r="V453" s="58" t="n"/>
      <c r="W453" s="68" t="n"/>
      <c r="X453" s="58" t="n"/>
      <c r="Y453" s="52" t="n"/>
      <c r="Z453" s="58" t="n"/>
      <c r="AA453" s="58" t="n"/>
      <c r="AB453" s="58" t="n"/>
      <c r="AC453" s="68" t="n"/>
      <c r="AD453" s="53" t="n"/>
      <c r="AE453" s="61">
        <f>SUMIFS([1]инфо!$D$15:$D$28,[1]инфо!$A$15:$A$28,F453)</f>
        <v/>
      </c>
      <c r="AF453" s="62">
        <f>IF(H453=0,0,N453/H453)</f>
        <v/>
      </c>
      <c r="AG453" s="63">
        <f>AF453-AE453</f>
        <v/>
      </c>
      <c r="AH453" s="61">
        <f>SUMIFS([1]инфо!$E$15:$E$28,[1]инфо!$A$15:$A$28,F453)</f>
        <v/>
      </c>
      <c r="AI453" s="64">
        <f>IF(H453=0,0,S453/H453)</f>
        <v/>
      </c>
      <c r="AJ453" s="63">
        <f>AI453-AH453</f>
        <v/>
      </c>
      <c r="AK453" s="61">
        <f>SUMIFS([1]инфо!$F$15:$F$28,[1]инфо!$A$15:$A$28,F453)</f>
        <v/>
      </c>
      <c r="AL453" s="64">
        <f>IF(H453=0,0,Y453/H453)</f>
        <v/>
      </c>
      <c r="AM453" s="63">
        <f>AL453-AK453</f>
        <v/>
      </c>
      <c r="AN453" s="61">
        <f>SUMIFS([1]инфо!$G$15:$G$28,[1]инфо!$A$15:$A$28,F453)</f>
        <v/>
      </c>
      <c r="AO453" s="64">
        <f>IF(H453=0,0,AA453/H453)</f>
        <v/>
      </c>
      <c r="AP453" s="63">
        <f>AO453-AN453</f>
        <v/>
      </c>
      <c r="AQ453" s="61">
        <f>SUMIFS([1]инфо!$H$15:$H$28,[1]инфо!$A$15:$A$28,F453)</f>
        <v/>
      </c>
      <c r="AR453" s="62">
        <f>IF(H452=0,0,AC453/H452)</f>
        <v/>
      </c>
      <c r="AS453" s="63">
        <f>AR453-AQ453</f>
        <v/>
      </c>
      <c r="AT453" s="61">
        <f>SUMIFS([1]инфо!$I$15:$I$28,[1]инфо!$A$15:$A$28,F453)</f>
        <v/>
      </c>
      <c r="AU453" s="62">
        <f>IF(H453=0,0,AD453/H453)</f>
        <v/>
      </c>
      <c r="AV453" s="63">
        <f>AU453-AT453</f>
        <v/>
      </c>
      <c r="AX453" s="59">
        <f>SUMIFS([1]инфо!$C$15:$C$28,[1]инфо!$A$15:$A$28,F453)*H452</f>
        <v/>
      </c>
    </row>
    <row r="454">
      <c r="A454" s="71">
        <f>A452+1</f>
        <v/>
      </c>
      <c r="B454" s="51" t="n"/>
      <c r="C454" s="77" t="n"/>
      <c r="D454" s="78" t="n"/>
      <c r="E454" s="66" t="n"/>
      <c r="F454" s="67" t="n"/>
      <c r="G454" s="79" t="n"/>
      <c r="H454" s="67" t="n"/>
      <c r="I454" s="57">
        <f>IFERROR(H454*VLOOKUP(F454,[1]инфо!$A$15:$C$28,3,FALSE)/1000,0)</f>
        <v/>
      </c>
      <c r="J454" s="55" t="n"/>
      <c r="K454" s="55" t="n"/>
      <c r="L454" s="55" t="n"/>
      <c r="M454" s="55" t="n"/>
      <c r="N454" s="56" t="n"/>
      <c r="O454" s="79" t="n"/>
      <c r="P454" s="79" t="n"/>
      <c r="Q454" s="79" t="n"/>
      <c r="R454" s="79" t="n"/>
      <c r="S454" s="80">
        <f>SUM(O454:R454)</f>
        <v/>
      </c>
      <c r="T454" s="77" t="n"/>
      <c r="U454" s="78" t="n"/>
      <c r="V454" s="79" t="n"/>
      <c r="W454" s="68" t="n"/>
      <c r="X454" s="79" t="n"/>
      <c r="Y454" s="77" t="n"/>
      <c r="Z454" s="79" t="n"/>
      <c r="AA454" s="79" t="n"/>
      <c r="AB454" s="79" t="n"/>
      <c r="AC454" s="68" t="n"/>
      <c r="AD454" s="78" t="n"/>
      <c r="AE454" s="81">
        <f>SUMIFS([1]инфо!$D$15:$D$28,[1]инфо!$A$15:$A$28,F454)</f>
        <v/>
      </c>
      <c r="AF454" s="62">
        <f>IF(H454=0,0,N454/H454)</f>
        <v/>
      </c>
      <c r="AG454" s="82">
        <f>AF454-AE454</f>
        <v/>
      </c>
      <c r="AH454" s="81">
        <f>SUMIFS([1]инфо!$E$15:$E$28,[1]инфо!$A$15:$A$28,F454)</f>
        <v/>
      </c>
      <c r="AI454" s="64">
        <f>IF(H454=0,0,S454/H454)</f>
        <v/>
      </c>
      <c r="AJ454" s="82">
        <f>AI454-AH454</f>
        <v/>
      </c>
      <c r="AK454" s="81">
        <f>SUMIFS([1]инфо!$F$15:$F$28,[1]инфо!$A$15:$A$28,F454)</f>
        <v/>
      </c>
      <c r="AL454" s="64">
        <f>IF(H454=0,0,Y454/H454)</f>
        <v/>
      </c>
      <c r="AM454" s="82">
        <f>AL454-AK454</f>
        <v/>
      </c>
      <c r="AN454" s="81">
        <f>SUMIFS([1]инфо!$G$15:$G$28,[1]инфо!$A$15:$A$28,F454)</f>
        <v/>
      </c>
      <c r="AO454" s="64">
        <f>IF(H454=0,0,AA454/H454)</f>
        <v/>
      </c>
      <c r="AP454" s="82">
        <f>AO454-AN454</f>
        <v/>
      </c>
      <c r="AQ454" s="81">
        <f>SUMIFS([1]инфо!$H$15:$H$28,[1]инфо!$A$15:$A$28,F454)</f>
        <v/>
      </c>
      <c r="AR454" s="85">
        <f>IF(H453=0,0,AC454/H453)</f>
        <v/>
      </c>
      <c r="AS454" s="82">
        <f>AR454-AQ454</f>
        <v/>
      </c>
      <c r="AT454" s="81">
        <f>SUMIFS([1]инфо!$I$15:$I$28,[1]инфо!$A$15:$A$28,F454)</f>
        <v/>
      </c>
      <c r="AU454" s="62">
        <f>IF(H454=0,0,AD454/H454)</f>
        <v/>
      </c>
      <c r="AV454" s="82">
        <f>AU454-AT454</f>
        <v/>
      </c>
      <c r="AX454" s="80">
        <f>SUMIFS([1]инфо!$C$15:$C$28,[1]инфо!$A$15:$A$28,F454)*H453</f>
        <v/>
      </c>
    </row>
    <row r="455">
      <c r="A455" s="71">
        <f>A453+1</f>
        <v/>
      </c>
      <c r="B455" s="51" t="n"/>
      <c r="C455" s="72" t="n"/>
      <c r="D455" s="73" t="n"/>
      <c r="E455" s="66" t="n"/>
      <c r="F455" s="67" t="n"/>
      <c r="G455" s="74" t="n"/>
      <c r="H455" s="55" t="n"/>
      <c r="I455" s="57">
        <f>IFERROR(H455*VLOOKUP(F455,[1]инфо!$A$15:$C$28,3,FALSE)/1000,0)</f>
        <v/>
      </c>
      <c r="J455" s="55" t="n"/>
      <c r="K455" s="55" t="n"/>
      <c r="L455" s="55" t="n"/>
      <c r="M455" s="55" t="n"/>
      <c r="N455" s="67" t="n"/>
      <c r="O455" s="74" t="n"/>
      <c r="P455" s="74" t="n"/>
      <c r="Q455" s="74" t="n"/>
      <c r="R455" s="74" t="n"/>
      <c r="S455" s="70">
        <f>SUM(O455:R455)</f>
        <v/>
      </c>
      <c r="T455" s="72" t="n"/>
      <c r="U455" s="73" t="n"/>
      <c r="V455" s="74" t="n"/>
      <c r="W455" s="68" t="n"/>
      <c r="X455" s="74" t="n"/>
      <c r="Y455" s="72" t="n"/>
      <c r="Z455" s="74" t="n"/>
      <c r="AA455" s="74" t="n"/>
      <c r="AB455" s="74" t="n"/>
      <c r="AC455" s="68" t="n"/>
      <c r="AD455" s="73" t="n"/>
      <c r="AE455" s="75">
        <f>SUMIFS([1]инфо!$D$15:$D$28,[1]инфо!$A$15:$A$28,F455)</f>
        <v/>
      </c>
      <c r="AF455" s="62">
        <f>IF(H455=0,0,N455/H455)</f>
        <v/>
      </c>
      <c r="AG455" s="76">
        <f>AF455-AE455</f>
        <v/>
      </c>
      <c r="AH455" s="75">
        <f>SUMIFS([1]инфо!$E$15:$E$28,[1]инфо!$A$15:$A$28,F455)</f>
        <v/>
      </c>
      <c r="AI455" s="64">
        <f>IF(H455=0,0,S455/H455)</f>
        <v/>
      </c>
      <c r="AJ455" s="76">
        <f>AI455-AH455</f>
        <v/>
      </c>
      <c r="AK455" s="75">
        <f>SUMIFS([1]инфо!$F$15:$F$28,[1]инфо!$A$15:$A$28,F455)</f>
        <v/>
      </c>
      <c r="AL455" s="64">
        <f>IF(H455=0,0,Y455/H455)</f>
        <v/>
      </c>
      <c r="AM455" s="76">
        <f>AL455-AK455</f>
        <v/>
      </c>
      <c r="AN455" s="75">
        <f>SUMIFS([1]инфо!$G$15:$G$28,[1]инфо!$A$15:$A$28,F455)</f>
        <v/>
      </c>
      <c r="AO455" s="64">
        <f>IF(H455=0,0,AA455/H455)</f>
        <v/>
      </c>
      <c r="AP455" s="76">
        <f>AO455-AN455</f>
        <v/>
      </c>
      <c r="AQ455" s="75">
        <f>SUMIFS([1]инфо!$H$15:$H$28,[1]инфо!$A$15:$A$28,F455)</f>
        <v/>
      </c>
      <c r="AR455" s="64">
        <f>IF(H454=0,0,AC455/H454)</f>
        <v/>
      </c>
      <c r="AS455" s="76">
        <f>AR455-AQ455</f>
        <v/>
      </c>
      <c r="AT455" s="75">
        <f>SUMIFS([1]инфо!$I$15:$I$28,[1]инфо!$A$15:$A$28,F455)</f>
        <v/>
      </c>
      <c r="AU455" s="62">
        <f>IF(H455=0,0,AD455/H455)</f>
        <v/>
      </c>
      <c r="AV455" s="76">
        <f>AU455-AT455</f>
        <v/>
      </c>
      <c r="AX455" s="70">
        <f>SUMIFS([1]инфо!$C$15:$C$28,[1]инфо!$A$15:$A$28,F455)*H454</f>
        <v/>
      </c>
    </row>
    <row r="456">
      <c r="A456" s="71">
        <f>A454+1</f>
        <v/>
      </c>
      <c r="B456" s="51" t="n"/>
      <c r="C456" s="52" t="n"/>
      <c r="D456" s="53" t="n"/>
      <c r="E456" s="66" t="n"/>
      <c r="F456" s="67" t="n"/>
      <c r="G456" s="58" t="n"/>
      <c r="H456" s="55" t="n"/>
      <c r="I456" s="57">
        <f>IFERROR(H456*VLOOKUP(F456,[1]инфо!$A$15:$C$28,3,FALSE)/1000,0)</f>
        <v/>
      </c>
      <c r="J456" s="55" t="n"/>
      <c r="K456" s="55" t="n"/>
      <c r="L456" s="55" t="n"/>
      <c r="M456" s="55" t="n"/>
      <c r="N456" s="55" t="n"/>
      <c r="O456" s="58" t="n"/>
      <c r="P456" s="58" t="n"/>
      <c r="Q456" s="58" t="n"/>
      <c r="R456" s="58" t="n"/>
      <c r="S456" s="59">
        <f>SUM(O456:R456)</f>
        <v/>
      </c>
      <c r="T456" s="52" t="n"/>
      <c r="U456" s="53" t="n"/>
      <c r="V456" s="58" t="n"/>
      <c r="W456" s="68" t="n"/>
      <c r="X456" s="58" t="n"/>
      <c r="Y456" s="52" t="n"/>
      <c r="Z456" s="58" t="n"/>
      <c r="AA456" s="58" t="n"/>
      <c r="AB456" s="58" t="n"/>
      <c r="AC456" s="68" t="n"/>
      <c r="AD456" s="53" t="n"/>
      <c r="AE456" s="61">
        <f>SUMIFS([1]инфо!$D$15:$D$28,[1]инфо!$A$15:$A$28,F456)</f>
        <v/>
      </c>
      <c r="AF456" s="62">
        <f>IF(H456=0,0,N456/H456)</f>
        <v/>
      </c>
      <c r="AG456" s="63">
        <f>AF456-AE456</f>
        <v/>
      </c>
      <c r="AH456" s="61">
        <f>SUMIFS([1]инфо!$E$15:$E$28,[1]инфо!$A$15:$A$28,F456)</f>
        <v/>
      </c>
      <c r="AI456" s="64">
        <f>IF(H456=0,0,S456/H456)</f>
        <v/>
      </c>
      <c r="AJ456" s="63">
        <f>AI456-AH456</f>
        <v/>
      </c>
      <c r="AK456" s="61">
        <f>SUMIFS([1]инфо!$F$15:$F$28,[1]инфо!$A$15:$A$28,F456)</f>
        <v/>
      </c>
      <c r="AL456" s="64">
        <f>IF(H456=0,0,Y456/H456)</f>
        <v/>
      </c>
      <c r="AM456" s="63">
        <f>AL456-AK456</f>
        <v/>
      </c>
      <c r="AN456" s="61">
        <f>SUMIFS([1]инфо!$G$15:$G$28,[1]инфо!$A$15:$A$28,F456)</f>
        <v/>
      </c>
      <c r="AO456" s="64">
        <f>IF(H456=0,0,AA456/H456)</f>
        <v/>
      </c>
      <c r="AP456" s="63">
        <f>AO456-AN456</f>
        <v/>
      </c>
      <c r="AQ456" s="61">
        <f>SUMIFS([1]инфо!$H$15:$H$28,[1]инфо!$A$15:$A$28,F456)</f>
        <v/>
      </c>
      <c r="AR456" s="62">
        <f>IF(H455=0,0,AC456/H455)</f>
        <v/>
      </c>
      <c r="AS456" s="63">
        <f>AR456-AQ456</f>
        <v/>
      </c>
      <c r="AT456" s="61">
        <f>SUMIFS([1]инфо!$I$15:$I$28,[1]инфо!$A$15:$A$28,F456)</f>
        <v/>
      </c>
      <c r="AU456" s="62">
        <f>IF(H456=0,0,AD456/H456)</f>
        <v/>
      </c>
      <c r="AV456" s="63">
        <f>AU456-AT456</f>
        <v/>
      </c>
      <c r="AX456" s="59">
        <f>SUMIFS([1]инфо!$C$15:$C$28,[1]инфо!$A$15:$A$28,F456)*H455</f>
        <v/>
      </c>
    </row>
    <row r="457">
      <c r="A457" s="71">
        <f>A455+1</f>
        <v/>
      </c>
      <c r="B457" s="51" t="n"/>
      <c r="C457" s="52" t="n"/>
      <c r="D457" s="53" t="n"/>
      <c r="E457" s="66" t="n"/>
      <c r="F457" s="67" t="n"/>
      <c r="G457" s="58" t="n"/>
      <c r="H457" s="56" t="n"/>
      <c r="I457" s="57">
        <f>IFERROR(H457*VLOOKUP(F457,[1]инфо!$A$15:$C$28,3,FALSE)/1000,0)</f>
        <v/>
      </c>
      <c r="J457" s="55" t="n"/>
      <c r="K457" s="55" t="n"/>
      <c r="L457" s="55" t="n"/>
      <c r="M457" s="55" t="n"/>
      <c r="N457" s="55" t="n"/>
      <c r="O457" s="58" t="n"/>
      <c r="P457" s="58" t="n"/>
      <c r="Q457" s="58" t="n"/>
      <c r="R457" s="58" t="n"/>
      <c r="S457" s="59">
        <f>SUM(O457:R457)</f>
        <v/>
      </c>
      <c r="T457" s="52" t="n"/>
      <c r="U457" s="53" t="n"/>
      <c r="V457" s="58" t="n"/>
      <c r="W457" s="68" t="n"/>
      <c r="X457" s="58" t="n"/>
      <c r="Y457" s="52" t="n"/>
      <c r="Z457" s="58" t="n"/>
      <c r="AA457" s="58" t="n"/>
      <c r="AB457" s="58" t="n"/>
      <c r="AC457" s="68" t="n"/>
      <c r="AD457" s="53" t="n"/>
      <c r="AE457" s="61">
        <f>SUMIFS([1]инфо!$D$15:$D$28,[1]инфо!$A$15:$A$28,F457)</f>
        <v/>
      </c>
      <c r="AF457" s="62">
        <f>IF(H457=0,0,N457/H457)</f>
        <v/>
      </c>
      <c r="AG457" s="63">
        <f>AF457-AE457</f>
        <v/>
      </c>
      <c r="AH457" s="61">
        <f>SUMIFS([1]инфо!$E$15:$E$28,[1]инфо!$A$15:$A$28,F457)</f>
        <v/>
      </c>
      <c r="AI457" s="64">
        <f>IF(H457=0,0,S457/H457)</f>
        <v/>
      </c>
      <c r="AJ457" s="63">
        <f>AI457-AH457</f>
        <v/>
      </c>
      <c r="AK457" s="61">
        <f>SUMIFS([1]инфо!$F$15:$F$28,[1]инфо!$A$15:$A$28,F457)</f>
        <v/>
      </c>
      <c r="AL457" s="64">
        <f>IF(H457=0,0,Y457/H457)</f>
        <v/>
      </c>
      <c r="AM457" s="63">
        <f>AL457-AK457</f>
        <v/>
      </c>
      <c r="AN457" s="61">
        <f>SUMIFS([1]инфо!$G$15:$G$28,[1]инфо!$A$15:$A$28,F457)</f>
        <v/>
      </c>
      <c r="AO457" s="64">
        <f>IF(H457=0,0,AA457/H457)</f>
        <v/>
      </c>
      <c r="AP457" s="63">
        <f>AO457-AN457</f>
        <v/>
      </c>
      <c r="AQ457" s="61">
        <f>SUMIFS([1]инфо!$H$15:$H$28,[1]инфо!$A$15:$A$28,F457)</f>
        <v/>
      </c>
      <c r="AR457" s="62">
        <f>IF(H456=0,0,AC457/H456)</f>
        <v/>
      </c>
      <c r="AS457" s="63">
        <f>AR457-AQ457</f>
        <v/>
      </c>
      <c r="AT457" s="61">
        <f>SUMIFS([1]инфо!$I$15:$I$28,[1]инфо!$A$15:$A$28,F457)</f>
        <v/>
      </c>
      <c r="AU457" s="62">
        <f>IF(H457=0,0,AD457/H457)</f>
        <v/>
      </c>
      <c r="AV457" s="63">
        <f>AU457-AT457</f>
        <v/>
      </c>
      <c r="AX457" s="59">
        <f>SUMIFS([1]инфо!$C$15:$C$28,[1]инфо!$A$15:$A$28,F457)*H456</f>
        <v/>
      </c>
    </row>
    <row r="458">
      <c r="A458" s="71">
        <f>A456+1</f>
        <v/>
      </c>
      <c r="B458" s="51" t="n"/>
      <c r="C458" s="77" t="n"/>
      <c r="D458" s="78" t="n"/>
      <c r="E458" s="66" t="n"/>
      <c r="F458" s="67" t="n"/>
      <c r="G458" s="79" t="n"/>
      <c r="H458" s="67" t="n"/>
      <c r="I458" s="57">
        <f>IFERROR(H458*VLOOKUP(F458,[1]инфо!$A$15:$C$28,3,FALSE)/1000,0)</f>
        <v/>
      </c>
      <c r="J458" s="55" t="n"/>
      <c r="K458" s="55" t="n"/>
      <c r="L458" s="55" t="n"/>
      <c r="M458" s="55" t="n"/>
      <c r="N458" s="56" t="n"/>
      <c r="O458" s="79" t="n"/>
      <c r="P458" s="79" t="n"/>
      <c r="Q458" s="79" t="n"/>
      <c r="R458" s="79" t="n"/>
      <c r="S458" s="80">
        <f>SUM(O458:R458)</f>
        <v/>
      </c>
      <c r="T458" s="77" t="n"/>
      <c r="U458" s="78" t="n"/>
      <c r="V458" s="79" t="n"/>
      <c r="W458" s="68" t="n"/>
      <c r="X458" s="79" t="n"/>
      <c r="Y458" s="77" t="n"/>
      <c r="Z458" s="79" t="n"/>
      <c r="AA458" s="79" t="n"/>
      <c r="AB458" s="79" t="n"/>
      <c r="AC458" s="68" t="n"/>
      <c r="AD458" s="78" t="n"/>
      <c r="AE458" s="81">
        <f>SUMIFS([1]инфо!$D$15:$D$28,[1]инфо!$A$15:$A$28,F458)</f>
        <v/>
      </c>
      <c r="AF458" s="62">
        <f>IF(H458=0,0,N458/H458)</f>
        <v/>
      </c>
      <c r="AG458" s="82">
        <f>AF458-AE458</f>
        <v/>
      </c>
      <c r="AH458" s="81">
        <f>SUMIFS([1]инфо!$E$15:$E$28,[1]инфо!$A$15:$A$28,F458)</f>
        <v/>
      </c>
      <c r="AI458" s="64">
        <f>IF(H458=0,0,S458/H458)</f>
        <v/>
      </c>
      <c r="AJ458" s="82">
        <f>AI458-AH458</f>
        <v/>
      </c>
      <c r="AK458" s="81">
        <f>SUMIFS([1]инфо!$F$15:$F$28,[1]инфо!$A$15:$A$28,F458)</f>
        <v/>
      </c>
      <c r="AL458" s="64">
        <f>IF(H458=0,0,Y458/H458)</f>
        <v/>
      </c>
      <c r="AM458" s="82">
        <f>AL458-AK458</f>
        <v/>
      </c>
      <c r="AN458" s="81">
        <f>SUMIFS([1]инфо!$G$15:$G$28,[1]инфо!$A$15:$A$28,F458)</f>
        <v/>
      </c>
      <c r="AO458" s="64">
        <f>IF(H458=0,0,AA458/H458)</f>
        <v/>
      </c>
      <c r="AP458" s="82">
        <f>AO458-AN458</f>
        <v/>
      </c>
      <c r="AQ458" s="81">
        <f>SUMIFS([1]инфо!$H$15:$H$28,[1]инфо!$A$15:$A$28,F458)</f>
        <v/>
      </c>
      <c r="AR458" s="85">
        <f>IF(H457=0,0,AC458/H457)</f>
        <v/>
      </c>
      <c r="AS458" s="82">
        <f>AR458-AQ458</f>
        <v/>
      </c>
      <c r="AT458" s="81">
        <f>SUMIFS([1]инфо!$I$15:$I$28,[1]инфо!$A$15:$A$28,F458)</f>
        <v/>
      </c>
      <c r="AU458" s="62">
        <f>IF(H458=0,0,AD458/H458)</f>
        <v/>
      </c>
      <c r="AV458" s="82">
        <f>AU458-AT458</f>
        <v/>
      </c>
      <c r="AX458" s="80">
        <f>SUMIFS([1]инфо!$C$15:$C$28,[1]инфо!$A$15:$A$28,F458)*H457</f>
        <v/>
      </c>
    </row>
    <row r="459">
      <c r="A459" s="71">
        <f>A457+1</f>
        <v/>
      </c>
      <c r="B459" s="51" t="n"/>
      <c r="C459" s="72" t="n"/>
      <c r="D459" s="73" t="n"/>
      <c r="E459" s="66" t="n"/>
      <c r="F459" s="67" t="n"/>
      <c r="G459" s="74" t="n"/>
      <c r="H459" s="55" t="n"/>
      <c r="I459" s="57">
        <f>IFERROR(H459*VLOOKUP(F459,[1]инфо!$A$15:$C$28,3,FALSE)/1000,0)</f>
        <v/>
      </c>
      <c r="J459" s="55" t="n"/>
      <c r="K459" s="55" t="n"/>
      <c r="L459" s="55" t="n"/>
      <c r="M459" s="55" t="n"/>
      <c r="N459" s="67" t="n"/>
      <c r="O459" s="74" t="n"/>
      <c r="P459" s="74" t="n"/>
      <c r="Q459" s="74" t="n"/>
      <c r="R459" s="74" t="n"/>
      <c r="S459" s="70">
        <f>SUM(O459:R459)</f>
        <v/>
      </c>
      <c r="T459" s="72" t="n"/>
      <c r="U459" s="73" t="n"/>
      <c r="V459" s="74" t="n"/>
      <c r="W459" s="68" t="n"/>
      <c r="X459" s="74" t="n"/>
      <c r="Y459" s="72" t="n"/>
      <c r="Z459" s="74" t="n"/>
      <c r="AA459" s="74" t="n"/>
      <c r="AB459" s="74" t="n"/>
      <c r="AC459" s="68" t="n"/>
      <c r="AD459" s="73" t="n"/>
      <c r="AE459" s="75">
        <f>SUMIFS([1]инфо!$D$15:$D$28,[1]инфо!$A$15:$A$28,F459)</f>
        <v/>
      </c>
      <c r="AF459" s="62">
        <f>IF(H459=0,0,N459/H459)</f>
        <v/>
      </c>
      <c r="AG459" s="76">
        <f>AF459-AE459</f>
        <v/>
      </c>
      <c r="AH459" s="75">
        <f>SUMIFS([1]инфо!$E$15:$E$28,[1]инфо!$A$15:$A$28,F459)</f>
        <v/>
      </c>
      <c r="AI459" s="64">
        <f>IF(H459=0,0,S459/H459)</f>
        <v/>
      </c>
      <c r="AJ459" s="76">
        <f>AI459-AH459</f>
        <v/>
      </c>
      <c r="AK459" s="75">
        <f>SUMIFS([1]инфо!$F$15:$F$28,[1]инфо!$A$15:$A$28,F459)</f>
        <v/>
      </c>
      <c r="AL459" s="64">
        <f>IF(H459=0,0,Y459/H459)</f>
        <v/>
      </c>
      <c r="AM459" s="76">
        <f>AL459-AK459</f>
        <v/>
      </c>
      <c r="AN459" s="75">
        <f>SUMIFS([1]инфо!$G$15:$G$28,[1]инфо!$A$15:$A$28,F459)</f>
        <v/>
      </c>
      <c r="AO459" s="64">
        <f>IF(H459=0,0,AA459/H459)</f>
        <v/>
      </c>
      <c r="AP459" s="76">
        <f>AO459-AN459</f>
        <v/>
      </c>
      <c r="AQ459" s="75">
        <f>SUMIFS([1]инфо!$H$15:$H$28,[1]инфо!$A$15:$A$28,F459)</f>
        <v/>
      </c>
      <c r="AR459" s="64">
        <f>IF(H458=0,0,AC459/H458)</f>
        <v/>
      </c>
      <c r="AS459" s="76">
        <f>AR459-AQ459</f>
        <v/>
      </c>
      <c r="AT459" s="75">
        <f>SUMIFS([1]инфо!$I$15:$I$28,[1]инфо!$A$15:$A$28,F459)</f>
        <v/>
      </c>
      <c r="AU459" s="62">
        <f>IF(H459=0,0,AD459/H459)</f>
        <v/>
      </c>
      <c r="AV459" s="76">
        <f>AU459-AT459</f>
        <v/>
      </c>
      <c r="AX459" s="70">
        <f>SUMIFS([1]инфо!$C$15:$C$28,[1]инфо!$A$15:$A$28,F459)*H458</f>
        <v/>
      </c>
    </row>
    <row r="460">
      <c r="A460" s="71">
        <f>A458+1</f>
        <v/>
      </c>
      <c r="B460" s="51" t="n"/>
      <c r="C460" s="52" t="n"/>
      <c r="D460" s="53" t="n"/>
      <c r="E460" s="66" t="n"/>
      <c r="F460" s="67" t="n"/>
      <c r="G460" s="58" t="n"/>
      <c r="H460" s="55" t="n"/>
      <c r="I460" s="57">
        <f>IFERROR(H460*VLOOKUP(F460,[1]инфо!$A$15:$C$28,3,FALSE)/1000,0)</f>
        <v/>
      </c>
      <c r="J460" s="55" t="n"/>
      <c r="K460" s="55" t="n"/>
      <c r="L460" s="55" t="n"/>
      <c r="M460" s="55" t="n"/>
      <c r="N460" s="55" t="n"/>
      <c r="O460" s="58" t="n"/>
      <c r="P460" s="58" t="n"/>
      <c r="Q460" s="58" t="n"/>
      <c r="R460" s="58" t="n"/>
      <c r="S460" s="59">
        <f>SUM(O460:R460)</f>
        <v/>
      </c>
      <c r="T460" s="52" t="n"/>
      <c r="U460" s="53" t="n"/>
      <c r="V460" s="58" t="n"/>
      <c r="W460" s="68" t="n"/>
      <c r="X460" s="58" t="n"/>
      <c r="Y460" s="52" t="n"/>
      <c r="Z460" s="58" t="n"/>
      <c r="AA460" s="58" t="n"/>
      <c r="AB460" s="58" t="n"/>
      <c r="AC460" s="68" t="n"/>
      <c r="AD460" s="53" t="n"/>
      <c r="AE460" s="61">
        <f>SUMIFS([1]инфо!$D$15:$D$28,[1]инфо!$A$15:$A$28,F460)</f>
        <v/>
      </c>
      <c r="AF460" s="62">
        <f>IF(H460=0,0,N460/H460)</f>
        <v/>
      </c>
      <c r="AG460" s="63">
        <f>AF460-AE460</f>
        <v/>
      </c>
      <c r="AH460" s="61">
        <f>SUMIFS([1]инфо!$E$15:$E$28,[1]инфо!$A$15:$A$28,F460)</f>
        <v/>
      </c>
      <c r="AI460" s="64">
        <f>IF(H460=0,0,S460/H460)</f>
        <v/>
      </c>
      <c r="AJ460" s="63">
        <f>AI460-AH460</f>
        <v/>
      </c>
      <c r="AK460" s="61">
        <f>SUMIFS([1]инфо!$F$15:$F$28,[1]инфо!$A$15:$A$28,F460)</f>
        <v/>
      </c>
      <c r="AL460" s="64">
        <f>IF(H460=0,0,Y460/H460)</f>
        <v/>
      </c>
      <c r="AM460" s="63">
        <f>AL460-AK460</f>
        <v/>
      </c>
      <c r="AN460" s="61">
        <f>SUMIFS([1]инфо!$G$15:$G$28,[1]инфо!$A$15:$A$28,F460)</f>
        <v/>
      </c>
      <c r="AO460" s="64">
        <f>IF(H460=0,0,AA460/H460)</f>
        <v/>
      </c>
      <c r="AP460" s="63">
        <f>AO460-AN460</f>
        <v/>
      </c>
      <c r="AQ460" s="61">
        <f>SUMIFS([1]инфо!$H$15:$H$28,[1]инфо!$A$15:$A$28,F460)</f>
        <v/>
      </c>
      <c r="AR460" s="62">
        <f>IF(H459=0,0,AC460/H459)</f>
        <v/>
      </c>
      <c r="AS460" s="63">
        <f>AR460-AQ460</f>
        <v/>
      </c>
      <c r="AT460" s="61">
        <f>SUMIFS([1]инфо!$I$15:$I$28,[1]инфо!$A$15:$A$28,F460)</f>
        <v/>
      </c>
      <c r="AU460" s="62">
        <f>IF(H460=0,0,AD460/H460)</f>
        <v/>
      </c>
      <c r="AV460" s="63">
        <f>AU460-AT460</f>
        <v/>
      </c>
      <c r="AX460" s="59">
        <f>SUMIFS([1]инфо!$C$15:$C$28,[1]инфо!$A$15:$A$28,F460)*H459</f>
        <v/>
      </c>
    </row>
    <row r="461">
      <c r="A461" s="71">
        <f>A459+1</f>
        <v/>
      </c>
      <c r="B461" s="51" t="n"/>
      <c r="C461" s="52" t="n"/>
      <c r="D461" s="53" t="n"/>
      <c r="E461" s="66" t="n"/>
      <c r="F461" s="67" t="n"/>
      <c r="G461" s="58" t="n"/>
      <c r="H461" s="56" t="n"/>
      <c r="I461" s="57">
        <f>IFERROR(H461*VLOOKUP(F461,[1]инфо!$A$15:$C$28,3,FALSE)/1000,0)</f>
        <v/>
      </c>
      <c r="J461" s="55" t="n"/>
      <c r="K461" s="55" t="n"/>
      <c r="L461" s="55" t="n"/>
      <c r="M461" s="55" t="n"/>
      <c r="N461" s="55" t="n"/>
      <c r="O461" s="58" t="n"/>
      <c r="P461" s="58" t="n"/>
      <c r="Q461" s="58" t="n"/>
      <c r="R461" s="58" t="n"/>
      <c r="S461" s="59">
        <f>SUM(O461:R461)</f>
        <v/>
      </c>
      <c r="T461" s="52" t="n"/>
      <c r="U461" s="53" t="n"/>
      <c r="V461" s="58" t="n"/>
      <c r="W461" s="68" t="n"/>
      <c r="X461" s="58" t="n"/>
      <c r="Y461" s="52" t="n"/>
      <c r="Z461" s="58" t="n"/>
      <c r="AA461" s="58" t="n"/>
      <c r="AB461" s="58" t="n"/>
      <c r="AC461" s="68" t="n"/>
      <c r="AD461" s="53" t="n"/>
      <c r="AE461" s="61">
        <f>SUMIFS([1]инфо!$D$15:$D$28,[1]инфо!$A$15:$A$28,F461)</f>
        <v/>
      </c>
      <c r="AF461" s="62">
        <f>IF(H461=0,0,N461/H461)</f>
        <v/>
      </c>
      <c r="AG461" s="63">
        <f>AF461-AE461</f>
        <v/>
      </c>
      <c r="AH461" s="61">
        <f>SUMIFS([1]инфо!$E$15:$E$28,[1]инфо!$A$15:$A$28,F461)</f>
        <v/>
      </c>
      <c r="AI461" s="64">
        <f>IF(H461=0,0,S461/H461)</f>
        <v/>
      </c>
      <c r="AJ461" s="63">
        <f>AI461-AH461</f>
        <v/>
      </c>
      <c r="AK461" s="61">
        <f>SUMIFS([1]инфо!$F$15:$F$28,[1]инфо!$A$15:$A$28,F461)</f>
        <v/>
      </c>
      <c r="AL461" s="64">
        <f>IF(H461=0,0,Y461/H461)</f>
        <v/>
      </c>
      <c r="AM461" s="63">
        <f>AL461-AK461</f>
        <v/>
      </c>
      <c r="AN461" s="61">
        <f>SUMIFS([1]инфо!$G$15:$G$28,[1]инфо!$A$15:$A$28,F461)</f>
        <v/>
      </c>
      <c r="AO461" s="64">
        <f>IF(H461=0,0,AA461/H461)</f>
        <v/>
      </c>
      <c r="AP461" s="63">
        <f>AO461-AN461</f>
        <v/>
      </c>
      <c r="AQ461" s="61">
        <f>SUMIFS([1]инфо!$H$15:$H$28,[1]инфо!$A$15:$A$28,F461)</f>
        <v/>
      </c>
      <c r="AR461" s="62">
        <f>IF(H460=0,0,AC461/H460)</f>
        <v/>
      </c>
      <c r="AS461" s="63">
        <f>AR461-AQ461</f>
        <v/>
      </c>
      <c r="AT461" s="61">
        <f>SUMIFS([1]инфо!$I$15:$I$28,[1]инфо!$A$15:$A$28,F461)</f>
        <v/>
      </c>
      <c r="AU461" s="62">
        <f>IF(H461=0,0,AD461/H461)</f>
        <v/>
      </c>
      <c r="AV461" s="63">
        <f>AU461-AT461</f>
        <v/>
      </c>
      <c r="AX461" s="59">
        <f>SUMIFS([1]инфо!$C$15:$C$28,[1]инфо!$A$15:$A$28,F461)*H460</f>
        <v/>
      </c>
    </row>
    <row r="462">
      <c r="A462" s="71">
        <f>A460+1</f>
        <v/>
      </c>
      <c r="B462" s="51" t="n"/>
      <c r="C462" s="77" t="n"/>
      <c r="D462" s="78" t="n"/>
      <c r="E462" s="66" t="n"/>
      <c r="F462" s="67" t="n"/>
      <c r="G462" s="79" t="n"/>
      <c r="H462" s="67" t="n"/>
      <c r="I462" s="57">
        <f>IFERROR(H462*VLOOKUP(F462,[1]инфо!$A$15:$C$28,3,FALSE)/1000,0)</f>
        <v/>
      </c>
      <c r="J462" s="55" t="n"/>
      <c r="K462" s="55" t="n"/>
      <c r="L462" s="55" t="n"/>
      <c r="M462" s="55" t="n"/>
      <c r="N462" s="56" t="n"/>
      <c r="O462" s="79" t="n"/>
      <c r="P462" s="79" t="n"/>
      <c r="Q462" s="79" t="n"/>
      <c r="R462" s="79" t="n"/>
      <c r="S462" s="80">
        <f>SUM(O462:R462)</f>
        <v/>
      </c>
      <c r="T462" s="77" t="n"/>
      <c r="U462" s="78" t="n"/>
      <c r="V462" s="79" t="n"/>
      <c r="W462" s="68" t="n"/>
      <c r="X462" s="79" t="n"/>
      <c r="Y462" s="77" t="n"/>
      <c r="Z462" s="79" t="n"/>
      <c r="AA462" s="79" t="n"/>
      <c r="AB462" s="79" t="n"/>
      <c r="AC462" s="68" t="n"/>
      <c r="AD462" s="78" t="n"/>
      <c r="AE462" s="81">
        <f>SUMIFS([1]инфо!$D$15:$D$28,[1]инфо!$A$15:$A$28,F462)</f>
        <v/>
      </c>
      <c r="AF462" s="62">
        <f>IF(H462=0,0,N462/H462)</f>
        <v/>
      </c>
      <c r="AG462" s="82">
        <f>AF462-AE462</f>
        <v/>
      </c>
      <c r="AH462" s="81">
        <f>SUMIFS([1]инфо!$E$15:$E$28,[1]инфо!$A$15:$A$28,F462)</f>
        <v/>
      </c>
      <c r="AI462" s="64">
        <f>IF(H462=0,0,S462/H462)</f>
        <v/>
      </c>
      <c r="AJ462" s="82">
        <f>AI462-AH462</f>
        <v/>
      </c>
      <c r="AK462" s="81">
        <f>SUMIFS([1]инфо!$F$15:$F$28,[1]инфо!$A$15:$A$28,F462)</f>
        <v/>
      </c>
      <c r="AL462" s="64">
        <f>IF(H462=0,0,Y462/H462)</f>
        <v/>
      </c>
      <c r="AM462" s="82">
        <f>AL462-AK462</f>
        <v/>
      </c>
      <c r="AN462" s="81">
        <f>SUMIFS([1]инфо!$G$15:$G$28,[1]инфо!$A$15:$A$28,F462)</f>
        <v/>
      </c>
      <c r="AO462" s="64">
        <f>IF(H462=0,0,AA462/H462)</f>
        <v/>
      </c>
      <c r="AP462" s="82">
        <f>AO462-AN462</f>
        <v/>
      </c>
      <c r="AQ462" s="81">
        <f>SUMIFS([1]инфо!$H$15:$H$28,[1]инфо!$A$15:$A$28,F462)</f>
        <v/>
      </c>
      <c r="AR462" s="85">
        <f>IF(H461=0,0,AC462/H461)</f>
        <v/>
      </c>
      <c r="AS462" s="82">
        <f>AR462-AQ462</f>
        <v/>
      </c>
      <c r="AT462" s="81">
        <f>SUMIFS([1]инфо!$I$15:$I$28,[1]инфо!$A$15:$A$28,F462)</f>
        <v/>
      </c>
      <c r="AU462" s="62">
        <f>IF(H462=0,0,AD462/H462)</f>
        <v/>
      </c>
      <c r="AV462" s="82">
        <f>AU462-AT462</f>
        <v/>
      </c>
      <c r="AX462" s="80">
        <f>SUMIFS([1]инфо!$C$15:$C$28,[1]инфо!$A$15:$A$28,F462)*H461</f>
        <v/>
      </c>
    </row>
    <row r="463">
      <c r="A463" s="71">
        <f>A461+1</f>
        <v/>
      </c>
      <c r="B463" s="51" t="n"/>
      <c r="C463" s="72" t="n"/>
      <c r="D463" s="73" t="n"/>
      <c r="E463" s="66" t="n"/>
      <c r="F463" s="67" t="n"/>
      <c r="G463" s="74" t="n"/>
      <c r="H463" s="55" t="n"/>
      <c r="I463" s="57">
        <f>IFERROR(H463*VLOOKUP(F463,[1]инфо!$A$15:$C$28,3,FALSE)/1000,0)</f>
        <v/>
      </c>
      <c r="J463" s="55" t="n"/>
      <c r="K463" s="55" t="n"/>
      <c r="L463" s="55" t="n"/>
      <c r="M463" s="55" t="n"/>
      <c r="N463" s="67" t="n"/>
      <c r="O463" s="74" t="n"/>
      <c r="P463" s="74" t="n"/>
      <c r="Q463" s="74" t="n"/>
      <c r="R463" s="74" t="n"/>
      <c r="S463" s="70">
        <f>SUM(O463:R463)</f>
        <v/>
      </c>
      <c r="T463" s="72" t="n"/>
      <c r="U463" s="73" t="n"/>
      <c r="V463" s="74" t="n"/>
      <c r="W463" s="68" t="n"/>
      <c r="X463" s="74" t="n"/>
      <c r="Y463" s="72" t="n"/>
      <c r="Z463" s="74" t="n"/>
      <c r="AA463" s="74" t="n"/>
      <c r="AB463" s="74" t="n"/>
      <c r="AC463" s="68" t="n"/>
      <c r="AD463" s="73" t="n"/>
      <c r="AE463" s="75">
        <f>SUMIFS([1]инфо!$D$15:$D$28,[1]инфо!$A$15:$A$28,F463)</f>
        <v/>
      </c>
      <c r="AF463" s="62">
        <f>IF(H463=0,0,N463/H463)</f>
        <v/>
      </c>
      <c r="AG463" s="76">
        <f>AF463-AE463</f>
        <v/>
      </c>
      <c r="AH463" s="75">
        <f>SUMIFS([1]инфо!$E$15:$E$28,[1]инфо!$A$15:$A$28,F463)</f>
        <v/>
      </c>
      <c r="AI463" s="64">
        <f>IF(H463=0,0,S463/H463)</f>
        <v/>
      </c>
      <c r="AJ463" s="76">
        <f>AI463-AH463</f>
        <v/>
      </c>
      <c r="AK463" s="75">
        <f>SUMIFS([1]инфо!$F$15:$F$28,[1]инфо!$A$15:$A$28,F463)</f>
        <v/>
      </c>
      <c r="AL463" s="64">
        <f>IF(H463=0,0,Y463/H463)</f>
        <v/>
      </c>
      <c r="AM463" s="76">
        <f>AL463-AK463</f>
        <v/>
      </c>
      <c r="AN463" s="75">
        <f>SUMIFS([1]инфо!$G$15:$G$28,[1]инфо!$A$15:$A$28,F463)</f>
        <v/>
      </c>
      <c r="AO463" s="64">
        <f>IF(H463=0,0,AA463/H463)</f>
        <v/>
      </c>
      <c r="AP463" s="76">
        <f>AO463-AN463</f>
        <v/>
      </c>
      <c r="AQ463" s="75">
        <f>SUMIFS([1]инфо!$H$15:$H$28,[1]инфо!$A$15:$A$28,F463)</f>
        <v/>
      </c>
      <c r="AR463" s="64">
        <f>IF(H462=0,0,AC463/H462)</f>
        <v/>
      </c>
      <c r="AS463" s="76">
        <f>AR463-AQ463</f>
        <v/>
      </c>
      <c r="AT463" s="75">
        <f>SUMIFS([1]инфо!$I$15:$I$28,[1]инфо!$A$15:$A$28,F463)</f>
        <v/>
      </c>
      <c r="AU463" s="62">
        <f>IF(H463=0,0,AD463/H463)</f>
        <v/>
      </c>
      <c r="AV463" s="76">
        <f>AU463-AT463</f>
        <v/>
      </c>
      <c r="AX463" s="70">
        <f>SUMIFS([1]инфо!$C$15:$C$28,[1]инфо!$A$15:$A$28,F463)*H462</f>
        <v/>
      </c>
    </row>
    <row r="464">
      <c r="A464" s="71">
        <f>A462+1</f>
        <v/>
      </c>
      <c r="B464" s="51" t="n"/>
      <c r="C464" s="52" t="n"/>
      <c r="D464" s="53" t="n"/>
      <c r="E464" s="66" t="n"/>
      <c r="F464" s="67" t="n"/>
      <c r="G464" s="58" t="n"/>
      <c r="H464" s="55" t="n"/>
      <c r="I464" s="57">
        <f>IFERROR(H464*VLOOKUP(F464,[1]инфо!$A$15:$C$28,3,FALSE)/1000,0)</f>
        <v/>
      </c>
      <c r="J464" s="55" t="n"/>
      <c r="K464" s="55" t="n"/>
      <c r="L464" s="55" t="n"/>
      <c r="M464" s="55" t="n"/>
      <c r="N464" s="55" t="n"/>
      <c r="O464" s="58" t="n"/>
      <c r="P464" s="58" t="n"/>
      <c r="Q464" s="58" t="n"/>
      <c r="R464" s="58" t="n"/>
      <c r="S464" s="59">
        <f>SUM(O464:R464)</f>
        <v/>
      </c>
      <c r="T464" s="52" t="n"/>
      <c r="U464" s="53" t="n"/>
      <c r="V464" s="58" t="n"/>
      <c r="W464" s="68" t="n"/>
      <c r="X464" s="58" t="n"/>
      <c r="Y464" s="52" t="n"/>
      <c r="Z464" s="58" t="n"/>
      <c r="AA464" s="58" t="n"/>
      <c r="AB464" s="58" t="n"/>
      <c r="AC464" s="68" t="n"/>
      <c r="AD464" s="53" t="n"/>
      <c r="AE464" s="61">
        <f>SUMIFS([1]инфо!$D$15:$D$28,[1]инфо!$A$15:$A$28,F464)</f>
        <v/>
      </c>
      <c r="AF464" s="62">
        <f>IF(H464=0,0,N464/H464)</f>
        <v/>
      </c>
      <c r="AG464" s="63">
        <f>AF464-AE464</f>
        <v/>
      </c>
      <c r="AH464" s="61">
        <f>SUMIFS([1]инфо!$E$15:$E$28,[1]инфо!$A$15:$A$28,F464)</f>
        <v/>
      </c>
      <c r="AI464" s="64">
        <f>IF(H464=0,0,S464/H464)</f>
        <v/>
      </c>
      <c r="AJ464" s="63">
        <f>AI464-AH464</f>
        <v/>
      </c>
      <c r="AK464" s="61">
        <f>SUMIFS([1]инфо!$F$15:$F$28,[1]инфо!$A$15:$A$28,F464)</f>
        <v/>
      </c>
      <c r="AL464" s="64">
        <f>IF(H464=0,0,Y464/H464)</f>
        <v/>
      </c>
      <c r="AM464" s="63">
        <f>AL464-AK464</f>
        <v/>
      </c>
      <c r="AN464" s="61">
        <f>SUMIFS([1]инфо!$G$15:$G$28,[1]инфо!$A$15:$A$28,F464)</f>
        <v/>
      </c>
      <c r="AO464" s="64">
        <f>IF(H464=0,0,AA464/H464)</f>
        <v/>
      </c>
      <c r="AP464" s="63">
        <f>AO464-AN464</f>
        <v/>
      </c>
      <c r="AQ464" s="61">
        <f>SUMIFS([1]инфо!$H$15:$H$28,[1]инфо!$A$15:$A$28,F464)</f>
        <v/>
      </c>
      <c r="AR464" s="62">
        <f>IF(H463=0,0,AC464/H463)</f>
        <v/>
      </c>
      <c r="AS464" s="63">
        <f>AR464-AQ464</f>
        <v/>
      </c>
      <c r="AT464" s="61">
        <f>SUMIFS([1]инфо!$I$15:$I$28,[1]инфо!$A$15:$A$28,F464)</f>
        <v/>
      </c>
      <c r="AU464" s="62">
        <f>IF(H464=0,0,AD464/H464)</f>
        <v/>
      </c>
      <c r="AV464" s="63">
        <f>AU464-AT464</f>
        <v/>
      </c>
      <c r="AX464" s="59">
        <f>SUMIFS([1]инфо!$C$15:$C$28,[1]инфо!$A$15:$A$28,F464)*H463</f>
        <v/>
      </c>
    </row>
    <row r="465">
      <c r="A465" s="71">
        <f>A463+1</f>
        <v/>
      </c>
      <c r="B465" s="51" t="n"/>
      <c r="C465" s="52" t="n"/>
      <c r="D465" s="53" t="n"/>
      <c r="E465" s="66" t="n"/>
      <c r="F465" s="67" t="n"/>
      <c r="G465" s="58" t="n"/>
      <c r="H465" s="56" t="n"/>
      <c r="I465" s="57">
        <f>IFERROR(H465*VLOOKUP(F465,[1]инфо!$A$15:$C$28,3,FALSE)/1000,0)</f>
        <v/>
      </c>
      <c r="J465" s="55" t="n"/>
      <c r="K465" s="55" t="n"/>
      <c r="L465" s="55" t="n"/>
      <c r="M465" s="55" t="n"/>
      <c r="N465" s="55" t="n"/>
      <c r="O465" s="58" t="n"/>
      <c r="P465" s="58" t="n"/>
      <c r="Q465" s="58" t="n"/>
      <c r="R465" s="58" t="n"/>
      <c r="S465" s="59">
        <f>SUM(O465:R465)</f>
        <v/>
      </c>
      <c r="T465" s="52" t="n"/>
      <c r="U465" s="53" t="n"/>
      <c r="V465" s="58" t="n"/>
      <c r="W465" s="68" t="n"/>
      <c r="X465" s="58" t="n"/>
      <c r="Y465" s="52" t="n"/>
      <c r="Z465" s="58" t="n"/>
      <c r="AA465" s="58" t="n"/>
      <c r="AB465" s="58" t="n"/>
      <c r="AC465" s="68" t="n"/>
      <c r="AD465" s="53" t="n"/>
      <c r="AE465" s="61">
        <f>SUMIFS([1]инфо!$D$15:$D$28,[1]инфо!$A$15:$A$28,F465)</f>
        <v/>
      </c>
      <c r="AF465" s="62">
        <f>IF(H465=0,0,N465/H465)</f>
        <v/>
      </c>
      <c r="AG465" s="63">
        <f>AF465-AE465</f>
        <v/>
      </c>
      <c r="AH465" s="61">
        <f>SUMIFS([1]инфо!$E$15:$E$28,[1]инфо!$A$15:$A$28,F465)</f>
        <v/>
      </c>
      <c r="AI465" s="64">
        <f>IF(H465=0,0,S465/H465)</f>
        <v/>
      </c>
      <c r="AJ465" s="63">
        <f>AI465-AH465</f>
        <v/>
      </c>
      <c r="AK465" s="61">
        <f>SUMIFS([1]инфо!$F$15:$F$28,[1]инфо!$A$15:$A$28,F465)</f>
        <v/>
      </c>
      <c r="AL465" s="64">
        <f>IF(H465=0,0,Y465/H465)</f>
        <v/>
      </c>
      <c r="AM465" s="63">
        <f>AL465-AK465</f>
        <v/>
      </c>
      <c r="AN465" s="61">
        <f>SUMIFS([1]инфо!$G$15:$G$28,[1]инфо!$A$15:$A$28,F465)</f>
        <v/>
      </c>
      <c r="AO465" s="64">
        <f>IF(H465=0,0,AA465/H465)</f>
        <v/>
      </c>
      <c r="AP465" s="63">
        <f>AO465-AN465</f>
        <v/>
      </c>
      <c r="AQ465" s="61">
        <f>SUMIFS([1]инфо!$H$15:$H$28,[1]инфо!$A$15:$A$28,F465)</f>
        <v/>
      </c>
      <c r="AR465" s="62">
        <f>IF(H464=0,0,AC465/H464)</f>
        <v/>
      </c>
      <c r="AS465" s="63">
        <f>AR465-AQ465</f>
        <v/>
      </c>
      <c r="AT465" s="61">
        <f>SUMIFS([1]инфо!$I$15:$I$28,[1]инфо!$A$15:$A$28,F465)</f>
        <v/>
      </c>
      <c r="AU465" s="62">
        <f>IF(H465=0,0,AD465/H465)</f>
        <v/>
      </c>
      <c r="AV465" s="63">
        <f>AU465-AT465</f>
        <v/>
      </c>
      <c r="AX465" s="59">
        <f>SUMIFS([1]инфо!$C$15:$C$28,[1]инфо!$A$15:$A$28,F465)*H464</f>
        <v/>
      </c>
    </row>
    <row r="466">
      <c r="A466" s="71">
        <f>A464+1</f>
        <v/>
      </c>
      <c r="B466" s="51" t="n"/>
      <c r="C466" s="77" t="n"/>
      <c r="D466" s="78" t="n"/>
      <c r="E466" s="66" t="n"/>
      <c r="F466" s="67" t="n"/>
      <c r="G466" s="79" t="n"/>
      <c r="H466" s="67" t="n"/>
      <c r="I466" s="57">
        <f>IFERROR(H466*VLOOKUP(F466,[1]инфо!$A$15:$C$28,3,FALSE)/1000,0)</f>
        <v/>
      </c>
      <c r="J466" s="55" t="n"/>
      <c r="K466" s="55" t="n"/>
      <c r="L466" s="55" t="n"/>
      <c r="M466" s="55" t="n"/>
      <c r="N466" s="56" t="n"/>
      <c r="O466" s="79" t="n"/>
      <c r="P466" s="79" t="n"/>
      <c r="Q466" s="79" t="n"/>
      <c r="R466" s="79" t="n"/>
      <c r="S466" s="80">
        <f>SUM(O466:R466)</f>
        <v/>
      </c>
      <c r="T466" s="77" t="n"/>
      <c r="U466" s="78" t="n"/>
      <c r="V466" s="79" t="n"/>
      <c r="W466" s="68" t="n"/>
      <c r="X466" s="79" t="n"/>
      <c r="Y466" s="77" t="n"/>
      <c r="Z466" s="79" t="n"/>
      <c r="AA466" s="79" t="n"/>
      <c r="AB466" s="79" t="n"/>
      <c r="AC466" s="68" t="n"/>
      <c r="AD466" s="78" t="n"/>
      <c r="AE466" s="81">
        <f>SUMIFS([1]инфо!$D$15:$D$28,[1]инфо!$A$15:$A$28,F466)</f>
        <v/>
      </c>
      <c r="AF466" s="62">
        <f>IF(H466=0,0,N466/H466)</f>
        <v/>
      </c>
      <c r="AG466" s="82">
        <f>AF466-AE466</f>
        <v/>
      </c>
      <c r="AH466" s="81">
        <f>SUMIFS([1]инфо!$E$15:$E$28,[1]инфо!$A$15:$A$28,F466)</f>
        <v/>
      </c>
      <c r="AI466" s="64">
        <f>IF(H466=0,0,S466/H466)</f>
        <v/>
      </c>
      <c r="AJ466" s="82">
        <f>AI466-AH466</f>
        <v/>
      </c>
      <c r="AK466" s="81">
        <f>SUMIFS([1]инфо!$F$15:$F$28,[1]инфо!$A$15:$A$28,F466)</f>
        <v/>
      </c>
      <c r="AL466" s="64">
        <f>IF(H466=0,0,Y466/H466)</f>
        <v/>
      </c>
      <c r="AM466" s="82">
        <f>AL466-AK466</f>
        <v/>
      </c>
      <c r="AN466" s="81">
        <f>SUMIFS([1]инфо!$G$15:$G$28,[1]инфо!$A$15:$A$28,F466)</f>
        <v/>
      </c>
      <c r="AO466" s="64">
        <f>IF(H466=0,0,AA466/H466)</f>
        <v/>
      </c>
      <c r="AP466" s="82">
        <f>AO466-AN466</f>
        <v/>
      </c>
      <c r="AQ466" s="81">
        <f>SUMIFS([1]инфо!$H$15:$H$28,[1]инфо!$A$15:$A$28,F466)</f>
        <v/>
      </c>
      <c r="AR466" s="85">
        <f>IF(H465=0,0,AC466/H465)</f>
        <v/>
      </c>
      <c r="AS466" s="82">
        <f>AR466-AQ466</f>
        <v/>
      </c>
      <c r="AT466" s="81">
        <f>SUMIFS([1]инфо!$I$15:$I$28,[1]инфо!$A$15:$A$28,F466)</f>
        <v/>
      </c>
      <c r="AU466" s="62">
        <f>IF(H466=0,0,AD466/H466)</f>
        <v/>
      </c>
      <c r="AV466" s="82">
        <f>AU466-AT466</f>
        <v/>
      </c>
      <c r="AX466" s="80">
        <f>SUMIFS([1]инфо!$C$15:$C$28,[1]инфо!$A$15:$A$28,F466)*H465</f>
        <v/>
      </c>
    </row>
    <row r="467">
      <c r="A467" s="71">
        <f>A465+1</f>
        <v/>
      </c>
      <c r="B467" s="51" t="n"/>
      <c r="C467" s="72" t="n"/>
      <c r="D467" s="73" t="n"/>
      <c r="E467" s="66" t="n"/>
      <c r="F467" s="67" t="n"/>
      <c r="G467" s="74" t="n"/>
      <c r="H467" s="55" t="n"/>
      <c r="I467" s="57">
        <f>IFERROR(H467*VLOOKUP(F467,[1]инфо!$A$15:$C$28,3,FALSE)/1000,0)</f>
        <v/>
      </c>
      <c r="J467" s="55" t="n"/>
      <c r="K467" s="55" t="n"/>
      <c r="L467" s="55" t="n"/>
      <c r="M467" s="55" t="n"/>
      <c r="N467" s="67" t="n"/>
      <c r="O467" s="74" t="n"/>
      <c r="P467" s="74" t="n"/>
      <c r="Q467" s="74" t="n"/>
      <c r="R467" s="74" t="n"/>
      <c r="S467" s="70">
        <f>SUM(O467:R467)</f>
        <v/>
      </c>
      <c r="T467" s="72" t="n"/>
      <c r="U467" s="73" t="n"/>
      <c r="V467" s="74" t="n"/>
      <c r="W467" s="68" t="n"/>
      <c r="X467" s="74" t="n"/>
      <c r="Y467" s="72" t="n"/>
      <c r="Z467" s="74" t="n"/>
      <c r="AA467" s="74" t="n"/>
      <c r="AB467" s="74" t="n"/>
      <c r="AC467" s="68" t="n"/>
      <c r="AD467" s="73" t="n"/>
      <c r="AE467" s="75">
        <f>SUMIFS([1]инфо!$D$15:$D$28,[1]инфо!$A$15:$A$28,F467)</f>
        <v/>
      </c>
      <c r="AF467" s="62">
        <f>IF(H467=0,0,N467/H467)</f>
        <v/>
      </c>
      <c r="AG467" s="76">
        <f>AF467-AE467</f>
        <v/>
      </c>
      <c r="AH467" s="75">
        <f>SUMIFS([1]инфо!$E$15:$E$28,[1]инфо!$A$15:$A$28,F467)</f>
        <v/>
      </c>
      <c r="AI467" s="64">
        <f>IF(H467=0,0,S467/H467)</f>
        <v/>
      </c>
      <c r="AJ467" s="76">
        <f>AI467-AH467</f>
        <v/>
      </c>
      <c r="AK467" s="75">
        <f>SUMIFS([1]инфо!$F$15:$F$28,[1]инфо!$A$15:$A$28,F467)</f>
        <v/>
      </c>
      <c r="AL467" s="64">
        <f>IF(H467=0,0,Y467/H467)</f>
        <v/>
      </c>
      <c r="AM467" s="76">
        <f>AL467-AK467</f>
        <v/>
      </c>
      <c r="AN467" s="75">
        <f>SUMIFS([1]инфо!$G$15:$G$28,[1]инфо!$A$15:$A$28,F467)</f>
        <v/>
      </c>
      <c r="AO467" s="64">
        <f>IF(H467=0,0,AA467/H467)</f>
        <v/>
      </c>
      <c r="AP467" s="76">
        <f>AO467-AN467</f>
        <v/>
      </c>
      <c r="AQ467" s="75">
        <f>SUMIFS([1]инфо!$H$15:$H$28,[1]инфо!$A$15:$A$28,F467)</f>
        <v/>
      </c>
      <c r="AR467" s="64">
        <f>IF(H466=0,0,AC467/H466)</f>
        <v/>
      </c>
      <c r="AS467" s="76">
        <f>AR467-AQ467</f>
        <v/>
      </c>
      <c r="AT467" s="75">
        <f>SUMIFS([1]инфо!$I$15:$I$28,[1]инфо!$A$15:$A$28,F467)</f>
        <v/>
      </c>
      <c r="AU467" s="62">
        <f>IF(H467=0,0,AD467/H467)</f>
        <v/>
      </c>
      <c r="AV467" s="76">
        <f>AU467-AT467</f>
        <v/>
      </c>
      <c r="AX467" s="70">
        <f>SUMIFS([1]инфо!$C$15:$C$28,[1]инфо!$A$15:$A$28,F467)*H466</f>
        <v/>
      </c>
    </row>
    <row r="468">
      <c r="A468" s="71">
        <f>A466+1</f>
        <v/>
      </c>
      <c r="B468" s="51" t="n"/>
      <c r="C468" s="52" t="n"/>
      <c r="D468" s="53" t="n"/>
      <c r="E468" s="66" t="n"/>
      <c r="F468" s="67" t="n"/>
      <c r="G468" s="58" t="n"/>
      <c r="H468" s="55" t="n"/>
      <c r="I468" s="57">
        <f>IFERROR(H468*VLOOKUP(F468,[1]инфо!$A$15:$C$28,3,FALSE)/1000,0)</f>
        <v/>
      </c>
      <c r="J468" s="55" t="n"/>
      <c r="K468" s="55" t="n"/>
      <c r="L468" s="55" t="n"/>
      <c r="M468" s="55" t="n"/>
      <c r="N468" s="55" t="n"/>
      <c r="O468" s="58" t="n"/>
      <c r="P468" s="58" t="n"/>
      <c r="Q468" s="58" t="n"/>
      <c r="R468" s="58" t="n"/>
      <c r="S468" s="59">
        <f>SUM(O468:R468)</f>
        <v/>
      </c>
      <c r="T468" s="52" t="n"/>
      <c r="U468" s="53" t="n"/>
      <c r="V468" s="58" t="n"/>
      <c r="W468" s="68" t="n"/>
      <c r="X468" s="58" t="n"/>
      <c r="Y468" s="52" t="n"/>
      <c r="Z468" s="58" t="n"/>
      <c r="AA468" s="58" t="n"/>
      <c r="AB468" s="58" t="n"/>
      <c r="AC468" s="68" t="n"/>
      <c r="AD468" s="53" t="n"/>
      <c r="AE468" s="61">
        <f>SUMIFS([1]инфо!$D$15:$D$28,[1]инфо!$A$15:$A$28,F468)</f>
        <v/>
      </c>
      <c r="AF468" s="62">
        <f>IF(H468=0,0,N468/H468)</f>
        <v/>
      </c>
      <c r="AG468" s="63">
        <f>AF468-AE468</f>
        <v/>
      </c>
      <c r="AH468" s="61">
        <f>SUMIFS([1]инфо!$E$15:$E$28,[1]инфо!$A$15:$A$28,F468)</f>
        <v/>
      </c>
      <c r="AI468" s="64">
        <f>IF(H468=0,0,S468/H468)</f>
        <v/>
      </c>
      <c r="AJ468" s="63">
        <f>AI468-AH468</f>
        <v/>
      </c>
      <c r="AK468" s="61">
        <f>SUMIFS([1]инфо!$F$15:$F$28,[1]инфо!$A$15:$A$28,F468)</f>
        <v/>
      </c>
      <c r="AL468" s="64">
        <f>IF(H468=0,0,Y468/H468)</f>
        <v/>
      </c>
      <c r="AM468" s="63">
        <f>AL468-AK468</f>
        <v/>
      </c>
      <c r="AN468" s="61">
        <f>SUMIFS([1]инфо!$G$15:$G$28,[1]инфо!$A$15:$A$28,F468)</f>
        <v/>
      </c>
      <c r="AO468" s="64">
        <f>IF(H468=0,0,AA468/H468)</f>
        <v/>
      </c>
      <c r="AP468" s="63">
        <f>AO468-AN468</f>
        <v/>
      </c>
      <c r="AQ468" s="61">
        <f>SUMIFS([1]инфо!$H$15:$H$28,[1]инфо!$A$15:$A$28,F468)</f>
        <v/>
      </c>
      <c r="AR468" s="62">
        <f>IF(H467=0,0,AC468/H467)</f>
        <v/>
      </c>
      <c r="AS468" s="63">
        <f>AR468-AQ468</f>
        <v/>
      </c>
      <c r="AT468" s="61">
        <f>SUMIFS([1]инфо!$I$15:$I$28,[1]инфо!$A$15:$A$28,F468)</f>
        <v/>
      </c>
      <c r="AU468" s="62">
        <f>IF(H468=0,0,AD468/H468)</f>
        <v/>
      </c>
      <c r="AV468" s="63">
        <f>AU468-AT468</f>
        <v/>
      </c>
      <c r="AX468" s="59">
        <f>SUMIFS([1]инфо!$C$15:$C$28,[1]инфо!$A$15:$A$28,F468)*H467</f>
        <v/>
      </c>
    </row>
    <row r="469">
      <c r="A469" s="71">
        <f>A467+1</f>
        <v/>
      </c>
      <c r="B469" s="51" t="n"/>
      <c r="C469" s="52" t="n"/>
      <c r="D469" s="53" t="n"/>
      <c r="E469" s="66" t="n"/>
      <c r="F469" s="67" t="n"/>
      <c r="G469" s="58" t="n"/>
      <c r="H469" s="56" t="n"/>
      <c r="I469" s="57">
        <f>IFERROR(H469*VLOOKUP(F469,[1]инфо!$A$15:$C$28,3,FALSE)/1000,0)</f>
        <v/>
      </c>
      <c r="J469" s="55" t="n"/>
      <c r="K469" s="55" t="n"/>
      <c r="L469" s="55" t="n"/>
      <c r="M469" s="55" t="n"/>
      <c r="N469" s="55" t="n"/>
      <c r="O469" s="58" t="n"/>
      <c r="P469" s="58" t="n"/>
      <c r="Q469" s="58" t="n"/>
      <c r="R469" s="58" t="n"/>
      <c r="S469" s="59">
        <f>SUM(O469:R469)</f>
        <v/>
      </c>
      <c r="T469" s="52" t="n"/>
      <c r="U469" s="53" t="n"/>
      <c r="V469" s="58" t="n"/>
      <c r="W469" s="68" t="n"/>
      <c r="X469" s="58" t="n"/>
      <c r="Y469" s="52" t="n"/>
      <c r="Z469" s="58" t="n"/>
      <c r="AA469" s="58" t="n"/>
      <c r="AB469" s="58" t="n"/>
      <c r="AC469" s="68" t="n"/>
      <c r="AD469" s="53" t="n"/>
      <c r="AE469" s="61">
        <f>SUMIFS([1]инфо!$D$15:$D$28,[1]инфо!$A$15:$A$28,F469)</f>
        <v/>
      </c>
      <c r="AF469" s="62">
        <f>IF(H469=0,0,N469/H469)</f>
        <v/>
      </c>
      <c r="AG469" s="63">
        <f>AF469-AE469</f>
        <v/>
      </c>
      <c r="AH469" s="61">
        <f>SUMIFS([1]инфо!$E$15:$E$28,[1]инфо!$A$15:$A$28,F469)</f>
        <v/>
      </c>
      <c r="AI469" s="64">
        <f>IF(H469=0,0,S469/H469)</f>
        <v/>
      </c>
      <c r="AJ469" s="63">
        <f>AI469-AH469</f>
        <v/>
      </c>
      <c r="AK469" s="61">
        <f>SUMIFS([1]инфо!$F$15:$F$28,[1]инфо!$A$15:$A$28,F469)</f>
        <v/>
      </c>
      <c r="AL469" s="64">
        <f>IF(H469=0,0,Y469/H469)</f>
        <v/>
      </c>
      <c r="AM469" s="63">
        <f>AL469-AK469</f>
        <v/>
      </c>
      <c r="AN469" s="61">
        <f>SUMIFS([1]инфо!$G$15:$G$28,[1]инфо!$A$15:$A$28,F469)</f>
        <v/>
      </c>
      <c r="AO469" s="64">
        <f>IF(H469=0,0,AA469/H469)</f>
        <v/>
      </c>
      <c r="AP469" s="63">
        <f>AO469-AN469</f>
        <v/>
      </c>
      <c r="AQ469" s="61">
        <f>SUMIFS([1]инфо!$H$15:$H$28,[1]инфо!$A$15:$A$28,F469)</f>
        <v/>
      </c>
      <c r="AR469" s="62">
        <f>IF(H468=0,0,AC469/H468)</f>
        <v/>
      </c>
      <c r="AS469" s="63">
        <f>AR469-AQ469</f>
        <v/>
      </c>
      <c r="AT469" s="61">
        <f>SUMIFS([1]инфо!$I$15:$I$28,[1]инфо!$A$15:$A$28,F469)</f>
        <v/>
      </c>
      <c r="AU469" s="62">
        <f>IF(H469=0,0,AD469/H469)</f>
        <v/>
      </c>
      <c r="AV469" s="63">
        <f>AU469-AT469</f>
        <v/>
      </c>
      <c r="AX469" s="59">
        <f>SUMIFS([1]инфо!$C$15:$C$28,[1]инфо!$A$15:$A$28,F469)*H468</f>
        <v/>
      </c>
    </row>
    <row r="470">
      <c r="A470" s="71">
        <f>A468+1</f>
        <v/>
      </c>
      <c r="B470" s="51" t="n"/>
      <c r="C470" s="77" t="n"/>
      <c r="D470" s="78" t="n"/>
      <c r="E470" s="66" t="n"/>
      <c r="F470" s="67" t="n"/>
      <c r="G470" s="79" t="n"/>
      <c r="H470" s="67" t="n"/>
      <c r="I470" s="57">
        <f>IFERROR(H470*VLOOKUP(F470,[1]инфо!$A$15:$C$28,3,FALSE)/1000,0)</f>
        <v/>
      </c>
      <c r="J470" s="55" t="n"/>
      <c r="K470" s="55" t="n"/>
      <c r="L470" s="55" t="n"/>
      <c r="M470" s="55" t="n"/>
      <c r="N470" s="56" t="n"/>
      <c r="O470" s="79" t="n"/>
      <c r="P470" s="79" t="n"/>
      <c r="Q470" s="79" t="n"/>
      <c r="R470" s="79" t="n"/>
      <c r="S470" s="80">
        <f>SUM(O470:R470)</f>
        <v/>
      </c>
      <c r="T470" s="77" t="n"/>
      <c r="U470" s="78" t="n"/>
      <c r="V470" s="79" t="n"/>
      <c r="W470" s="68" t="n"/>
      <c r="X470" s="79" t="n"/>
      <c r="Y470" s="77" t="n"/>
      <c r="Z470" s="79" t="n"/>
      <c r="AA470" s="79" t="n"/>
      <c r="AB470" s="79" t="n"/>
      <c r="AC470" s="68" t="n"/>
      <c r="AD470" s="78" t="n"/>
      <c r="AE470" s="81">
        <f>SUMIFS([1]инфо!$D$15:$D$28,[1]инфо!$A$15:$A$28,F470)</f>
        <v/>
      </c>
      <c r="AF470" s="62">
        <f>IF(H470=0,0,N470/H470)</f>
        <v/>
      </c>
      <c r="AG470" s="82">
        <f>AF470-AE470</f>
        <v/>
      </c>
      <c r="AH470" s="81">
        <f>SUMIFS([1]инфо!$E$15:$E$28,[1]инфо!$A$15:$A$28,F470)</f>
        <v/>
      </c>
      <c r="AI470" s="64">
        <f>IF(H470=0,0,S470/H470)</f>
        <v/>
      </c>
      <c r="AJ470" s="82">
        <f>AI470-AH470</f>
        <v/>
      </c>
      <c r="AK470" s="81">
        <f>SUMIFS([1]инфо!$F$15:$F$28,[1]инфо!$A$15:$A$28,F470)</f>
        <v/>
      </c>
      <c r="AL470" s="64">
        <f>IF(H470=0,0,Y470/H470)</f>
        <v/>
      </c>
      <c r="AM470" s="82">
        <f>AL470-AK470</f>
        <v/>
      </c>
      <c r="AN470" s="81">
        <f>SUMIFS([1]инфо!$G$15:$G$28,[1]инфо!$A$15:$A$28,F470)</f>
        <v/>
      </c>
      <c r="AO470" s="64">
        <f>IF(H470=0,0,AA470/H470)</f>
        <v/>
      </c>
      <c r="AP470" s="82">
        <f>AO470-AN470</f>
        <v/>
      </c>
      <c r="AQ470" s="81">
        <f>SUMIFS([1]инфо!$H$15:$H$28,[1]инфо!$A$15:$A$28,F470)</f>
        <v/>
      </c>
      <c r="AR470" s="85">
        <f>IF(H469=0,0,AC470/H469)</f>
        <v/>
      </c>
      <c r="AS470" s="82">
        <f>AR470-AQ470</f>
        <v/>
      </c>
      <c r="AT470" s="81">
        <f>SUMIFS([1]инфо!$I$15:$I$28,[1]инфо!$A$15:$A$28,F470)</f>
        <v/>
      </c>
      <c r="AU470" s="62">
        <f>IF(H470=0,0,AD470/H470)</f>
        <v/>
      </c>
      <c r="AV470" s="82">
        <f>AU470-AT470</f>
        <v/>
      </c>
      <c r="AX470" s="80">
        <f>SUMIFS([1]инфо!$C$15:$C$28,[1]инфо!$A$15:$A$28,F470)*H469</f>
        <v/>
      </c>
    </row>
    <row r="471">
      <c r="A471" s="71">
        <f>A469+1</f>
        <v/>
      </c>
      <c r="B471" s="51" t="n"/>
      <c r="C471" s="72" t="n"/>
      <c r="D471" s="73" t="n"/>
      <c r="E471" s="66" t="n"/>
      <c r="F471" s="67" t="n"/>
      <c r="G471" s="74" t="n"/>
      <c r="H471" s="55" t="n"/>
      <c r="I471" s="57">
        <f>IFERROR(H471*VLOOKUP(F471,[1]инфо!$A$15:$C$28,3,FALSE)/1000,0)</f>
        <v/>
      </c>
      <c r="J471" s="55" t="n"/>
      <c r="K471" s="55" t="n"/>
      <c r="L471" s="55" t="n"/>
      <c r="M471" s="55" t="n"/>
      <c r="N471" s="67" t="n"/>
      <c r="O471" s="74" t="n"/>
      <c r="P471" s="74" t="n"/>
      <c r="Q471" s="74" t="n"/>
      <c r="R471" s="74" t="n"/>
      <c r="S471" s="70">
        <f>SUM(O471:R471)</f>
        <v/>
      </c>
      <c r="T471" s="72" t="n"/>
      <c r="U471" s="73" t="n"/>
      <c r="V471" s="74" t="n"/>
      <c r="W471" s="68" t="n"/>
      <c r="X471" s="74" t="n"/>
      <c r="Y471" s="72" t="n"/>
      <c r="Z471" s="74" t="n"/>
      <c r="AA471" s="74" t="n"/>
      <c r="AB471" s="74" t="n"/>
      <c r="AC471" s="68" t="n"/>
      <c r="AD471" s="73" t="n"/>
      <c r="AE471" s="75">
        <f>SUMIFS([1]инфо!$D$15:$D$28,[1]инфо!$A$15:$A$28,F471)</f>
        <v/>
      </c>
      <c r="AF471" s="62">
        <f>IF(H471=0,0,N471/H471)</f>
        <v/>
      </c>
      <c r="AG471" s="76">
        <f>AF471-AE471</f>
        <v/>
      </c>
      <c r="AH471" s="75">
        <f>SUMIFS([1]инфо!$E$15:$E$28,[1]инфо!$A$15:$A$28,F471)</f>
        <v/>
      </c>
      <c r="AI471" s="64">
        <f>IF(H471=0,0,S471/H471)</f>
        <v/>
      </c>
      <c r="AJ471" s="76">
        <f>AI471-AH471</f>
        <v/>
      </c>
      <c r="AK471" s="75">
        <f>SUMIFS([1]инфо!$F$15:$F$28,[1]инфо!$A$15:$A$28,F471)</f>
        <v/>
      </c>
      <c r="AL471" s="64">
        <f>IF(H471=0,0,Y471/H471)</f>
        <v/>
      </c>
      <c r="AM471" s="76">
        <f>AL471-AK471</f>
        <v/>
      </c>
      <c r="AN471" s="75">
        <f>SUMIFS([1]инфо!$G$15:$G$28,[1]инфо!$A$15:$A$28,F471)</f>
        <v/>
      </c>
      <c r="AO471" s="64">
        <f>IF(H471=0,0,AA471/H471)</f>
        <v/>
      </c>
      <c r="AP471" s="76">
        <f>AO471-AN471</f>
        <v/>
      </c>
      <c r="AQ471" s="75">
        <f>SUMIFS([1]инфо!$H$15:$H$28,[1]инфо!$A$15:$A$28,F471)</f>
        <v/>
      </c>
      <c r="AR471" s="64">
        <f>IF(H470=0,0,AC471/H470)</f>
        <v/>
      </c>
      <c r="AS471" s="76">
        <f>AR471-AQ471</f>
        <v/>
      </c>
      <c r="AT471" s="75">
        <f>SUMIFS([1]инфо!$I$15:$I$28,[1]инфо!$A$15:$A$28,F471)</f>
        <v/>
      </c>
      <c r="AU471" s="62">
        <f>IF(H471=0,0,AD471/H471)</f>
        <v/>
      </c>
      <c r="AV471" s="76">
        <f>AU471-AT471</f>
        <v/>
      </c>
      <c r="AX471" s="70">
        <f>SUMIFS([1]инфо!$C$15:$C$28,[1]инфо!$A$15:$A$28,F471)*H470</f>
        <v/>
      </c>
    </row>
    <row r="472">
      <c r="A472" s="71">
        <f>A470+1</f>
        <v/>
      </c>
      <c r="B472" s="51" t="n"/>
      <c r="C472" s="52" t="n"/>
      <c r="D472" s="53" t="n"/>
      <c r="E472" s="66" t="n"/>
      <c r="F472" s="67" t="n"/>
      <c r="G472" s="58" t="n"/>
      <c r="H472" s="55" t="n"/>
      <c r="I472" s="57">
        <f>IFERROR(H472*VLOOKUP(F472,[1]инфо!$A$15:$C$28,3,FALSE)/1000,0)</f>
        <v/>
      </c>
      <c r="J472" s="55" t="n"/>
      <c r="K472" s="55" t="n"/>
      <c r="L472" s="55" t="n"/>
      <c r="M472" s="55" t="n"/>
      <c r="N472" s="55" t="n"/>
      <c r="O472" s="58" t="n"/>
      <c r="P472" s="58" t="n"/>
      <c r="Q472" s="58" t="n"/>
      <c r="R472" s="58" t="n"/>
      <c r="S472" s="59">
        <f>SUM(O472:R472)</f>
        <v/>
      </c>
      <c r="T472" s="52" t="n"/>
      <c r="U472" s="53" t="n"/>
      <c r="V472" s="58" t="n"/>
      <c r="W472" s="68" t="n"/>
      <c r="X472" s="58" t="n"/>
      <c r="Y472" s="52" t="n"/>
      <c r="Z472" s="58" t="n"/>
      <c r="AA472" s="58" t="n"/>
      <c r="AB472" s="58" t="n"/>
      <c r="AC472" s="68" t="n"/>
      <c r="AD472" s="53" t="n"/>
      <c r="AE472" s="61">
        <f>SUMIFS([1]инфо!$D$15:$D$28,[1]инфо!$A$15:$A$28,F472)</f>
        <v/>
      </c>
      <c r="AF472" s="62">
        <f>IF(H472=0,0,N472/H472)</f>
        <v/>
      </c>
      <c r="AG472" s="63">
        <f>AF472-AE472</f>
        <v/>
      </c>
      <c r="AH472" s="61">
        <f>SUMIFS([1]инфо!$E$15:$E$28,[1]инфо!$A$15:$A$28,F472)</f>
        <v/>
      </c>
      <c r="AI472" s="64">
        <f>IF(H472=0,0,S472/H472)</f>
        <v/>
      </c>
      <c r="AJ472" s="63">
        <f>AI472-AH472</f>
        <v/>
      </c>
      <c r="AK472" s="61">
        <f>SUMIFS([1]инфо!$F$15:$F$28,[1]инфо!$A$15:$A$28,F472)</f>
        <v/>
      </c>
      <c r="AL472" s="64">
        <f>IF(H472=0,0,Y472/H472)</f>
        <v/>
      </c>
      <c r="AM472" s="63">
        <f>AL472-AK472</f>
        <v/>
      </c>
      <c r="AN472" s="61">
        <f>SUMIFS([1]инфо!$G$15:$G$28,[1]инфо!$A$15:$A$28,F472)</f>
        <v/>
      </c>
      <c r="AO472" s="64">
        <f>IF(H472=0,0,AA472/H472)</f>
        <v/>
      </c>
      <c r="AP472" s="63">
        <f>AO472-AN472</f>
        <v/>
      </c>
      <c r="AQ472" s="61">
        <f>SUMIFS([1]инфо!$H$15:$H$28,[1]инфо!$A$15:$A$28,F472)</f>
        <v/>
      </c>
      <c r="AR472" s="62">
        <f>IF(H471=0,0,AC472/H471)</f>
        <v/>
      </c>
      <c r="AS472" s="63">
        <f>AR472-AQ472</f>
        <v/>
      </c>
      <c r="AT472" s="61">
        <f>SUMIFS([1]инфо!$I$15:$I$28,[1]инфо!$A$15:$A$28,F472)</f>
        <v/>
      </c>
      <c r="AU472" s="62">
        <f>IF(H472=0,0,AD472/H472)</f>
        <v/>
      </c>
      <c r="AV472" s="63">
        <f>AU472-AT472</f>
        <v/>
      </c>
      <c r="AX472" s="59">
        <f>SUMIFS([1]инфо!$C$15:$C$28,[1]инфо!$A$15:$A$28,F472)*H471</f>
        <v/>
      </c>
    </row>
    <row r="473">
      <c r="A473" s="71">
        <f>A471+1</f>
        <v/>
      </c>
      <c r="B473" s="51" t="n"/>
      <c r="C473" s="52" t="n"/>
      <c r="D473" s="53" t="n"/>
      <c r="E473" s="66" t="n"/>
      <c r="F473" s="67" t="n"/>
      <c r="G473" s="58" t="n"/>
      <c r="H473" s="56" t="n"/>
      <c r="I473" s="57">
        <f>IFERROR(H473*VLOOKUP(F473,[1]инфо!$A$15:$C$28,3,FALSE)/1000,0)</f>
        <v/>
      </c>
      <c r="J473" s="55" t="n"/>
      <c r="K473" s="55" t="n"/>
      <c r="L473" s="55" t="n"/>
      <c r="M473" s="55" t="n"/>
      <c r="N473" s="55" t="n"/>
      <c r="O473" s="58" t="n"/>
      <c r="P473" s="58" t="n"/>
      <c r="Q473" s="58" t="n"/>
      <c r="R473" s="58" t="n"/>
      <c r="S473" s="59">
        <f>SUM(O473:R473)</f>
        <v/>
      </c>
      <c r="T473" s="52" t="n"/>
      <c r="U473" s="53" t="n"/>
      <c r="V473" s="58" t="n"/>
      <c r="W473" s="68" t="n"/>
      <c r="X473" s="58" t="n"/>
      <c r="Y473" s="52" t="n"/>
      <c r="Z473" s="58" t="n"/>
      <c r="AA473" s="58" t="n"/>
      <c r="AB473" s="58" t="n"/>
      <c r="AC473" s="68" t="n"/>
      <c r="AD473" s="53" t="n"/>
      <c r="AE473" s="61">
        <f>SUMIFS([1]инфо!$D$15:$D$28,[1]инфо!$A$15:$A$28,F473)</f>
        <v/>
      </c>
      <c r="AF473" s="62">
        <f>IF(H473=0,0,N473/H473)</f>
        <v/>
      </c>
      <c r="AG473" s="63">
        <f>AF473-AE473</f>
        <v/>
      </c>
      <c r="AH473" s="61">
        <f>SUMIFS([1]инфо!$E$15:$E$28,[1]инфо!$A$15:$A$28,F473)</f>
        <v/>
      </c>
      <c r="AI473" s="64">
        <f>IF(H473=0,0,S473/H473)</f>
        <v/>
      </c>
      <c r="AJ473" s="63">
        <f>AI473-AH473</f>
        <v/>
      </c>
      <c r="AK473" s="61">
        <f>SUMIFS([1]инфо!$F$15:$F$28,[1]инфо!$A$15:$A$28,F473)</f>
        <v/>
      </c>
      <c r="AL473" s="64">
        <f>IF(H473=0,0,Y473/H473)</f>
        <v/>
      </c>
      <c r="AM473" s="63">
        <f>AL473-AK473</f>
        <v/>
      </c>
      <c r="AN473" s="61">
        <f>SUMIFS([1]инфо!$G$15:$G$28,[1]инфо!$A$15:$A$28,F473)</f>
        <v/>
      </c>
      <c r="AO473" s="64">
        <f>IF(H473=0,0,AA473/H473)</f>
        <v/>
      </c>
      <c r="AP473" s="63">
        <f>AO473-AN473</f>
        <v/>
      </c>
      <c r="AQ473" s="61">
        <f>SUMIFS([1]инфо!$H$15:$H$28,[1]инфо!$A$15:$A$28,F473)</f>
        <v/>
      </c>
      <c r="AR473" s="62">
        <f>IF(H472=0,0,AC473/H472)</f>
        <v/>
      </c>
      <c r="AS473" s="63">
        <f>AR473-AQ473</f>
        <v/>
      </c>
      <c r="AT473" s="61">
        <f>SUMIFS([1]инфо!$I$15:$I$28,[1]инфо!$A$15:$A$28,F473)</f>
        <v/>
      </c>
      <c r="AU473" s="62">
        <f>IF(H473=0,0,AD473/H473)</f>
        <v/>
      </c>
      <c r="AV473" s="63">
        <f>AU473-AT473</f>
        <v/>
      </c>
      <c r="AX473" s="59">
        <f>SUMIFS([1]инфо!$C$15:$C$28,[1]инфо!$A$15:$A$28,F473)*H472</f>
        <v/>
      </c>
    </row>
    <row r="474">
      <c r="A474" s="71">
        <f>A472+1</f>
        <v/>
      </c>
      <c r="B474" s="51" t="n"/>
      <c r="C474" s="77" t="n"/>
      <c r="D474" s="78" t="n"/>
      <c r="E474" s="66" t="n"/>
      <c r="F474" s="67" t="n"/>
      <c r="G474" s="79" t="n"/>
      <c r="H474" s="67" t="n"/>
      <c r="I474" s="57">
        <f>IFERROR(H474*VLOOKUP(F474,[1]инфо!$A$15:$C$28,3,FALSE)/1000,0)</f>
        <v/>
      </c>
      <c r="J474" s="55" t="n"/>
      <c r="K474" s="55" t="n"/>
      <c r="L474" s="55" t="n"/>
      <c r="M474" s="55" t="n"/>
      <c r="N474" s="56" t="n"/>
      <c r="O474" s="79" t="n"/>
      <c r="P474" s="79" t="n"/>
      <c r="Q474" s="79" t="n"/>
      <c r="R474" s="79" t="n"/>
      <c r="S474" s="80">
        <f>SUM(O474:R474)</f>
        <v/>
      </c>
      <c r="T474" s="77" t="n"/>
      <c r="U474" s="78" t="n"/>
      <c r="V474" s="79" t="n"/>
      <c r="W474" s="68" t="n"/>
      <c r="X474" s="79" t="n"/>
      <c r="Y474" s="77" t="n"/>
      <c r="Z474" s="79" t="n"/>
      <c r="AA474" s="79" t="n"/>
      <c r="AB474" s="79" t="n"/>
      <c r="AC474" s="68" t="n"/>
      <c r="AD474" s="78" t="n"/>
      <c r="AE474" s="81">
        <f>SUMIFS([1]инфо!$D$15:$D$28,[1]инфо!$A$15:$A$28,F474)</f>
        <v/>
      </c>
      <c r="AF474" s="62">
        <f>IF(H474=0,0,N474/H474)</f>
        <v/>
      </c>
      <c r="AG474" s="82">
        <f>AF474-AE474</f>
        <v/>
      </c>
      <c r="AH474" s="81">
        <f>SUMIFS([1]инфо!$E$15:$E$28,[1]инфо!$A$15:$A$28,F474)</f>
        <v/>
      </c>
      <c r="AI474" s="64">
        <f>IF(H474=0,0,S474/H474)</f>
        <v/>
      </c>
      <c r="AJ474" s="82">
        <f>AI474-AH474</f>
        <v/>
      </c>
      <c r="AK474" s="81">
        <f>SUMIFS([1]инфо!$F$15:$F$28,[1]инфо!$A$15:$A$28,F474)</f>
        <v/>
      </c>
      <c r="AL474" s="64">
        <f>IF(H474=0,0,Y474/H474)</f>
        <v/>
      </c>
      <c r="AM474" s="82">
        <f>AL474-AK474</f>
        <v/>
      </c>
      <c r="AN474" s="81">
        <f>SUMIFS([1]инфо!$G$15:$G$28,[1]инфо!$A$15:$A$28,F474)</f>
        <v/>
      </c>
      <c r="AO474" s="64">
        <f>IF(H474=0,0,AA474/H474)</f>
        <v/>
      </c>
      <c r="AP474" s="82">
        <f>AO474-AN474</f>
        <v/>
      </c>
      <c r="AQ474" s="81">
        <f>SUMIFS([1]инфо!$H$15:$H$28,[1]инфо!$A$15:$A$28,F474)</f>
        <v/>
      </c>
      <c r="AR474" s="85">
        <f>IF(H473=0,0,AC474/H473)</f>
        <v/>
      </c>
      <c r="AS474" s="82">
        <f>AR474-AQ474</f>
        <v/>
      </c>
      <c r="AT474" s="81">
        <f>SUMIFS([1]инфо!$I$15:$I$28,[1]инфо!$A$15:$A$28,F474)</f>
        <v/>
      </c>
      <c r="AU474" s="62">
        <f>IF(H474=0,0,AD474/H474)</f>
        <v/>
      </c>
      <c r="AV474" s="82">
        <f>AU474-AT474</f>
        <v/>
      </c>
      <c r="AX474" s="80">
        <f>SUMIFS([1]инфо!$C$15:$C$28,[1]инфо!$A$15:$A$28,F474)*H473</f>
        <v/>
      </c>
    </row>
    <row r="475">
      <c r="A475" s="71">
        <f>A473+1</f>
        <v/>
      </c>
      <c r="B475" s="51" t="n"/>
      <c r="C475" s="72" t="n"/>
      <c r="D475" s="73" t="n"/>
      <c r="E475" s="66" t="n"/>
      <c r="F475" s="67" t="n"/>
      <c r="G475" s="74" t="n"/>
      <c r="H475" s="55" t="n"/>
      <c r="I475" s="57">
        <f>IFERROR(H475*VLOOKUP(F475,[1]инфо!$A$15:$C$28,3,FALSE)/1000,0)</f>
        <v/>
      </c>
      <c r="J475" s="55" t="n"/>
      <c r="K475" s="55" t="n"/>
      <c r="L475" s="55" t="n"/>
      <c r="M475" s="55" t="n"/>
      <c r="N475" s="67" t="n"/>
      <c r="O475" s="74" t="n"/>
      <c r="P475" s="74" t="n"/>
      <c r="Q475" s="74" t="n"/>
      <c r="R475" s="74" t="n"/>
      <c r="S475" s="70">
        <f>SUM(O475:R475)</f>
        <v/>
      </c>
      <c r="T475" s="72" t="n"/>
      <c r="U475" s="73" t="n"/>
      <c r="V475" s="74" t="n"/>
      <c r="W475" s="68" t="n"/>
      <c r="X475" s="74" t="n"/>
      <c r="Y475" s="72" t="n"/>
      <c r="Z475" s="74" t="n"/>
      <c r="AA475" s="74" t="n"/>
      <c r="AB475" s="74" t="n"/>
      <c r="AC475" s="68" t="n"/>
      <c r="AD475" s="73" t="n"/>
      <c r="AE475" s="75">
        <f>SUMIFS([1]инфо!$D$15:$D$28,[1]инфо!$A$15:$A$28,F475)</f>
        <v/>
      </c>
      <c r="AF475" s="62">
        <f>IF(H475=0,0,N475/H475)</f>
        <v/>
      </c>
      <c r="AG475" s="76">
        <f>AF475-AE475</f>
        <v/>
      </c>
      <c r="AH475" s="75">
        <f>SUMIFS([1]инфо!$E$15:$E$28,[1]инфо!$A$15:$A$28,F475)</f>
        <v/>
      </c>
      <c r="AI475" s="64">
        <f>IF(H475=0,0,S475/H475)</f>
        <v/>
      </c>
      <c r="AJ475" s="76">
        <f>AI475-AH475</f>
        <v/>
      </c>
      <c r="AK475" s="75">
        <f>SUMIFS([1]инфо!$F$15:$F$28,[1]инфо!$A$15:$A$28,F475)</f>
        <v/>
      </c>
      <c r="AL475" s="64">
        <f>IF(H475=0,0,Y475/H475)</f>
        <v/>
      </c>
      <c r="AM475" s="76">
        <f>AL475-AK475</f>
        <v/>
      </c>
      <c r="AN475" s="75">
        <f>SUMIFS([1]инфо!$G$15:$G$28,[1]инфо!$A$15:$A$28,F475)</f>
        <v/>
      </c>
      <c r="AO475" s="64">
        <f>IF(H475=0,0,AA475/H475)</f>
        <v/>
      </c>
      <c r="AP475" s="76">
        <f>AO475-AN475</f>
        <v/>
      </c>
      <c r="AQ475" s="75">
        <f>SUMIFS([1]инфо!$H$15:$H$28,[1]инфо!$A$15:$A$28,F475)</f>
        <v/>
      </c>
      <c r="AR475" s="64">
        <f>IF(H474=0,0,AC475/H474)</f>
        <v/>
      </c>
      <c r="AS475" s="76">
        <f>AR475-AQ475</f>
        <v/>
      </c>
      <c r="AT475" s="75">
        <f>SUMIFS([1]инфо!$I$15:$I$28,[1]инфо!$A$15:$A$28,F475)</f>
        <v/>
      </c>
      <c r="AU475" s="62">
        <f>IF(H475=0,0,AD475/H475)</f>
        <v/>
      </c>
      <c r="AV475" s="76">
        <f>AU475-AT475</f>
        <v/>
      </c>
      <c r="AX475" s="70">
        <f>SUMIFS([1]инфо!$C$15:$C$28,[1]инфо!$A$15:$A$28,F475)*H474</f>
        <v/>
      </c>
    </row>
    <row r="476">
      <c r="A476" s="71">
        <f>A474+1</f>
        <v/>
      </c>
      <c r="B476" s="51" t="n"/>
      <c r="C476" s="52" t="n"/>
      <c r="D476" s="53" t="n"/>
      <c r="E476" s="66" t="n"/>
      <c r="F476" s="67" t="n"/>
      <c r="G476" s="58" t="n"/>
      <c r="H476" s="55" t="n"/>
      <c r="I476" s="57">
        <f>IFERROR(H476*VLOOKUP(F476,[1]инфо!$A$15:$C$28,3,FALSE)/1000,0)</f>
        <v/>
      </c>
      <c r="J476" s="55" t="n"/>
      <c r="K476" s="55" t="n"/>
      <c r="L476" s="55" t="n"/>
      <c r="M476" s="55" t="n"/>
      <c r="N476" s="55" t="n"/>
      <c r="O476" s="58" t="n"/>
      <c r="P476" s="58" t="n"/>
      <c r="Q476" s="58" t="n"/>
      <c r="R476" s="58" t="n"/>
      <c r="S476" s="59">
        <f>SUM(O476:R476)</f>
        <v/>
      </c>
      <c r="T476" s="52" t="n"/>
      <c r="U476" s="53" t="n"/>
      <c r="V476" s="58" t="n"/>
      <c r="W476" s="68" t="n"/>
      <c r="X476" s="58" t="n"/>
      <c r="Y476" s="52" t="n"/>
      <c r="Z476" s="58" t="n"/>
      <c r="AA476" s="58" t="n"/>
      <c r="AB476" s="58" t="n"/>
      <c r="AC476" s="68" t="n"/>
      <c r="AD476" s="53" t="n"/>
      <c r="AE476" s="61">
        <f>SUMIFS([1]инфо!$D$15:$D$28,[1]инфо!$A$15:$A$28,F476)</f>
        <v/>
      </c>
      <c r="AF476" s="62">
        <f>IF(H476=0,0,N476/H476)</f>
        <v/>
      </c>
      <c r="AG476" s="63">
        <f>AF476-AE476</f>
        <v/>
      </c>
      <c r="AH476" s="61">
        <f>SUMIFS([1]инфо!$E$15:$E$28,[1]инфо!$A$15:$A$28,F476)</f>
        <v/>
      </c>
      <c r="AI476" s="64">
        <f>IF(H476=0,0,S476/H476)</f>
        <v/>
      </c>
      <c r="AJ476" s="63">
        <f>AI476-AH476</f>
        <v/>
      </c>
      <c r="AK476" s="61">
        <f>SUMIFS([1]инфо!$F$15:$F$28,[1]инфо!$A$15:$A$28,F476)</f>
        <v/>
      </c>
      <c r="AL476" s="64">
        <f>IF(H476=0,0,Y476/H476)</f>
        <v/>
      </c>
      <c r="AM476" s="63">
        <f>AL476-AK476</f>
        <v/>
      </c>
      <c r="AN476" s="61">
        <f>SUMIFS([1]инфо!$G$15:$G$28,[1]инфо!$A$15:$A$28,F476)</f>
        <v/>
      </c>
      <c r="AO476" s="64">
        <f>IF(H476=0,0,AA476/H476)</f>
        <v/>
      </c>
      <c r="AP476" s="63">
        <f>AO476-AN476</f>
        <v/>
      </c>
      <c r="AQ476" s="61">
        <f>SUMIFS([1]инфо!$H$15:$H$28,[1]инфо!$A$15:$A$28,F476)</f>
        <v/>
      </c>
      <c r="AR476" s="62">
        <f>IF(H475=0,0,AC476/H475)</f>
        <v/>
      </c>
      <c r="AS476" s="63">
        <f>AR476-AQ476</f>
        <v/>
      </c>
      <c r="AT476" s="61">
        <f>SUMIFS([1]инфо!$I$15:$I$28,[1]инфо!$A$15:$A$28,F476)</f>
        <v/>
      </c>
      <c r="AU476" s="62">
        <f>IF(H476=0,0,AD476/H476)</f>
        <v/>
      </c>
      <c r="AV476" s="63">
        <f>AU476-AT476</f>
        <v/>
      </c>
      <c r="AX476" s="59">
        <f>SUMIFS([1]инфо!$C$15:$C$28,[1]инфо!$A$15:$A$28,F476)*H475</f>
        <v/>
      </c>
    </row>
    <row r="477">
      <c r="A477" s="71">
        <f>A475+1</f>
        <v/>
      </c>
      <c r="B477" s="51" t="n"/>
      <c r="C477" s="52" t="n"/>
      <c r="D477" s="53" t="n"/>
      <c r="E477" s="66" t="n"/>
      <c r="F477" s="67" t="n"/>
      <c r="G477" s="58" t="n"/>
      <c r="H477" s="56" t="n"/>
      <c r="I477" s="57">
        <f>IFERROR(H477*VLOOKUP(F477,[1]инфо!$A$15:$C$28,3,FALSE)/1000,0)</f>
        <v/>
      </c>
      <c r="J477" s="55" t="n"/>
      <c r="K477" s="55" t="n"/>
      <c r="L477" s="55" t="n"/>
      <c r="M477" s="55" t="n"/>
      <c r="N477" s="55" t="n"/>
      <c r="O477" s="58" t="n"/>
      <c r="P477" s="58" t="n"/>
      <c r="Q477" s="58" t="n"/>
      <c r="R477" s="58" t="n"/>
      <c r="S477" s="59">
        <f>SUM(O477:R477)</f>
        <v/>
      </c>
      <c r="T477" s="52" t="n"/>
      <c r="U477" s="53" t="n"/>
      <c r="V477" s="58" t="n"/>
      <c r="W477" s="68" t="n"/>
      <c r="X477" s="58" t="n"/>
      <c r="Y477" s="52" t="n"/>
      <c r="Z477" s="58" t="n"/>
      <c r="AA477" s="58" t="n"/>
      <c r="AB477" s="58" t="n"/>
      <c r="AC477" s="68" t="n"/>
      <c r="AD477" s="53" t="n"/>
      <c r="AE477" s="61">
        <f>SUMIFS([1]инфо!$D$15:$D$28,[1]инфо!$A$15:$A$28,F477)</f>
        <v/>
      </c>
      <c r="AF477" s="62">
        <f>IF(H477=0,0,N477/H477)</f>
        <v/>
      </c>
      <c r="AG477" s="63">
        <f>AF477-AE477</f>
        <v/>
      </c>
      <c r="AH477" s="61">
        <f>SUMIFS([1]инфо!$E$15:$E$28,[1]инфо!$A$15:$A$28,F477)</f>
        <v/>
      </c>
      <c r="AI477" s="64">
        <f>IF(H477=0,0,S477/H477)</f>
        <v/>
      </c>
      <c r="AJ477" s="63">
        <f>AI477-AH477</f>
        <v/>
      </c>
      <c r="AK477" s="61">
        <f>SUMIFS([1]инфо!$F$15:$F$28,[1]инфо!$A$15:$A$28,F477)</f>
        <v/>
      </c>
      <c r="AL477" s="64">
        <f>IF(H477=0,0,Y477/H477)</f>
        <v/>
      </c>
      <c r="AM477" s="63">
        <f>AL477-AK477</f>
        <v/>
      </c>
      <c r="AN477" s="61">
        <f>SUMIFS([1]инфо!$G$15:$G$28,[1]инфо!$A$15:$A$28,F477)</f>
        <v/>
      </c>
      <c r="AO477" s="64">
        <f>IF(H477=0,0,AA477/H477)</f>
        <v/>
      </c>
      <c r="AP477" s="63">
        <f>AO477-AN477</f>
        <v/>
      </c>
      <c r="AQ477" s="61">
        <f>SUMIFS([1]инфо!$H$15:$H$28,[1]инфо!$A$15:$A$28,F477)</f>
        <v/>
      </c>
      <c r="AR477" s="62">
        <f>IF(H476=0,0,AC477/H476)</f>
        <v/>
      </c>
      <c r="AS477" s="63">
        <f>AR477-AQ477</f>
        <v/>
      </c>
      <c r="AT477" s="61">
        <f>SUMIFS([1]инфо!$I$15:$I$28,[1]инфо!$A$15:$A$28,F477)</f>
        <v/>
      </c>
      <c r="AU477" s="62">
        <f>IF(H477=0,0,AD477/H477)</f>
        <v/>
      </c>
      <c r="AV477" s="63">
        <f>AU477-AT477</f>
        <v/>
      </c>
      <c r="AX477" s="59">
        <f>SUMIFS([1]инфо!$C$15:$C$28,[1]инфо!$A$15:$A$28,F477)*H476</f>
        <v/>
      </c>
    </row>
    <row r="478">
      <c r="A478" s="71">
        <f>A476+1</f>
        <v/>
      </c>
      <c r="B478" s="51" t="n"/>
      <c r="C478" s="77" t="n"/>
      <c r="D478" s="78" t="n"/>
      <c r="E478" s="66" t="n"/>
      <c r="F478" s="67" t="n"/>
      <c r="G478" s="79" t="n"/>
      <c r="H478" s="67" t="n"/>
      <c r="I478" s="57">
        <f>IFERROR(H478*VLOOKUP(F478,[1]инфо!$A$15:$C$28,3,FALSE)/1000,0)</f>
        <v/>
      </c>
      <c r="J478" s="55" t="n"/>
      <c r="K478" s="55" t="n"/>
      <c r="L478" s="55" t="n"/>
      <c r="M478" s="55" t="n"/>
      <c r="N478" s="56" t="n"/>
      <c r="O478" s="79" t="n"/>
      <c r="P478" s="79" t="n"/>
      <c r="Q478" s="79" t="n"/>
      <c r="R478" s="79" t="n"/>
      <c r="S478" s="80">
        <f>SUM(O478:R478)</f>
        <v/>
      </c>
      <c r="T478" s="77" t="n"/>
      <c r="U478" s="78" t="n"/>
      <c r="V478" s="79" t="n"/>
      <c r="W478" s="68" t="n"/>
      <c r="X478" s="79" t="n"/>
      <c r="Y478" s="77" t="n"/>
      <c r="Z478" s="79" t="n"/>
      <c r="AA478" s="79" t="n"/>
      <c r="AB478" s="79" t="n"/>
      <c r="AC478" s="68" t="n"/>
      <c r="AD478" s="78" t="n"/>
      <c r="AE478" s="81">
        <f>SUMIFS([1]инфо!$D$15:$D$28,[1]инфо!$A$15:$A$28,F478)</f>
        <v/>
      </c>
      <c r="AF478" s="62">
        <f>IF(H478=0,0,N478/H478)</f>
        <v/>
      </c>
      <c r="AG478" s="82">
        <f>AF478-AE478</f>
        <v/>
      </c>
      <c r="AH478" s="81">
        <f>SUMIFS([1]инфо!$E$15:$E$28,[1]инфо!$A$15:$A$28,F478)</f>
        <v/>
      </c>
      <c r="AI478" s="64">
        <f>IF(H478=0,0,S478/H478)</f>
        <v/>
      </c>
      <c r="AJ478" s="82">
        <f>AI478-AH478</f>
        <v/>
      </c>
      <c r="AK478" s="81">
        <f>SUMIFS([1]инфо!$F$15:$F$28,[1]инфо!$A$15:$A$28,F478)</f>
        <v/>
      </c>
      <c r="AL478" s="64">
        <f>IF(H478=0,0,Y478/H478)</f>
        <v/>
      </c>
      <c r="AM478" s="82">
        <f>AL478-AK478</f>
        <v/>
      </c>
      <c r="AN478" s="81">
        <f>SUMIFS([1]инфо!$G$15:$G$28,[1]инфо!$A$15:$A$28,F478)</f>
        <v/>
      </c>
      <c r="AO478" s="64">
        <f>IF(H478=0,0,AA478/H478)</f>
        <v/>
      </c>
      <c r="AP478" s="82">
        <f>AO478-AN478</f>
        <v/>
      </c>
      <c r="AQ478" s="81">
        <f>SUMIFS([1]инфо!$H$15:$H$28,[1]инфо!$A$15:$A$28,F478)</f>
        <v/>
      </c>
      <c r="AR478" s="85">
        <f>IF(H477=0,0,AC478/H477)</f>
        <v/>
      </c>
      <c r="AS478" s="82">
        <f>AR478-AQ478</f>
        <v/>
      </c>
      <c r="AT478" s="81">
        <f>SUMIFS([1]инфо!$I$15:$I$28,[1]инфо!$A$15:$A$28,F478)</f>
        <v/>
      </c>
      <c r="AU478" s="62">
        <f>IF(H478=0,0,AD478/H478)</f>
        <v/>
      </c>
      <c r="AV478" s="82">
        <f>AU478-AT478</f>
        <v/>
      </c>
      <c r="AX478" s="80">
        <f>SUMIFS([1]инфо!$C$15:$C$28,[1]инфо!$A$15:$A$28,F478)*H477</f>
        <v/>
      </c>
    </row>
    <row r="479">
      <c r="A479" s="71">
        <f>A477+1</f>
        <v/>
      </c>
      <c r="B479" s="51" t="n"/>
      <c r="C479" s="72" t="n"/>
      <c r="D479" s="73" t="n"/>
      <c r="E479" s="66" t="n"/>
      <c r="F479" s="67" t="n"/>
      <c r="G479" s="74" t="n"/>
      <c r="H479" s="55" t="n"/>
      <c r="I479" s="57">
        <f>IFERROR(H479*VLOOKUP(F479,[1]инфо!$A$15:$C$28,3,FALSE)/1000,0)</f>
        <v/>
      </c>
      <c r="J479" s="55" t="n"/>
      <c r="K479" s="55" t="n"/>
      <c r="L479" s="55" t="n"/>
      <c r="M479" s="55" t="n"/>
      <c r="N479" s="67" t="n"/>
      <c r="O479" s="74" t="n"/>
      <c r="P479" s="74" t="n"/>
      <c r="Q479" s="74" t="n"/>
      <c r="R479" s="74" t="n"/>
      <c r="S479" s="70">
        <f>SUM(O479:R479)</f>
        <v/>
      </c>
      <c r="T479" s="72" t="n"/>
      <c r="U479" s="73" t="n"/>
      <c r="V479" s="74" t="n"/>
      <c r="W479" s="68" t="n"/>
      <c r="X479" s="74" t="n"/>
      <c r="Y479" s="72" t="n"/>
      <c r="Z479" s="74" t="n"/>
      <c r="AA479" s="74" t="n"/>
      <c r="AB479" s="74" t="n"/>
      <c r="AC479" s="68" t="n"/>
      <c r="AD479" s="73" t="n"/>
      <c r="AE479" s="75">
        <f>SUMIFS([1]инфо!$D$15:$D$28,[1]инфо!$A$15:$A$28,F479)</f>
        <v/>
      </c>
      <c r="AF479" s="62">
        <f>IF(H479=0,0,N479/H479)</f>
        <v/>
      </c>
      <c r="AG479" s="76">
        <f>AF479-AE479</f>
        <v/>
      </c>
      <c r="AH479" s="75">
        <f>SUMIFS([1]инфо!$E$15:$E$28,[1]инфо!$A$15:$A$28,F479)</f>
        <v/>
      </c>
      <c r="AI479" s="64">
        <f>IF(H479=0,0,S479/H479)</f>
        <v/>
      </c>
      <c r="AJ479" s="76">
        <f>AI479-AH479</f>
        <v/>
      </c>
      <c r="AK479" s="75">
        <f>SUMIFS([1]инфо!$F$15:$F$28,[1]инфо!$A$15:$A$28,F479)</f>
        <v/>
      </c>
      <c r="AL479" s="64">
        <f>IF(H479=0,0,Y479/H479)</f>
        <v/>
      </c>
      <c r="AM479" s="76">
        <f>AL479-AK479</f>
        <v/>
      </c>
      <c r="AN479" s="75">
        <f>SUMIFS([1]инфо!$G$15:$G$28,[1]инфо!$A$15:$A$28,F479)</f>
        <v/>
      </c>
      <c r="AO479" s="64">
        <f>IF(H479=0,0,AA479/H479)</f>
        <v/>
      </c>
      <c r="AP479" s="76">
        <f>AO479-AN479</f>
        <v/>
      </c>
      <c r="AQ479" s="75">
        <f>SUMIFS([1]инфо!$H$15:$H$28,[1]инфо!$A$15:$A$28,F479)</f>
        <v/>
      </c>
      <c r="AR479" s="64">
        <f>IF(H478=0,0,AC479/H478)</f>
        <v/>
      </c>
      <c r="AS479" s="76">
        <f>AR479-AQ479</f>
        <v/>
      </c>
      <c r="AT479" s="75">
        <f>SUMIFS([1]инфо!$I$15:$I$28,[1]инфо!$A$15:$A$28,F479)</f>
        <v/>
      </c>
      <c r="AU479" s="62">
        <f>IF(H479=0,0,AD479/H479)</f>
        <v/>
      </c>
      <c r="AV479" s="76">
        <f>AU479-AT479</f>
        <v/>
      </c>
      <c r="AX479" s="70">
        <f>SUMIFS([1]инфо!$C$15:$C$28,[1]инфо!$A$15:$A$28,F479)*H478</f>
        <v/>
      </c>
    </row>
    <row r="480">
      <c r="A480" s="71">
        <f>A478+1</f>
        <v/>
      </c>
      <c r="B480" s="51" t="n"/>
      <c r="C480" s="52" t="n"/>
      <c r="D480" s="53" t="n"/>
      <c r="E480" s="66" t="n"/>
      <c r="F480" s="67" t="n"/>
      <c r="G480" s="58" t="n"/>
      <c r="H480" s="55" t="n"/>
      <c r="I480" s="57">
        <f>IFERROR(H480*VLOOKUP(F480,[1]инфо!$A$15:$C$28,3,FALSE)/1000,0)</f>
        <v/>
      </c>
      <c r="J480" s="55" t="n"/>
      <c r="K480" s="55" t="n"/>
      <c r="L480" s="55" t="n"/>
      <c r="M480" s="55" t="n"/>
      <c r="N480" s="55" t="n"/>
      <c r="O480" s="58" t="n"/>
      <c r="P480" s="58" t="n"/>
      <c r="Q480" s="58" t="n"/>
      <c r="R480" s="58" t="n"/>
      <c r="S480" s="59">
        <f>SUM(O480:R480)</f>
        <v/>
      </c>
      <c r="T480" s="52" t="n"/>
      <c r="U480" s="53" t="n"/>
      <c r="V480" s="58" t="n"/>
      <c r="W480" s="68" t="n"/>
      <c r="X480" s="58" t="n"/>
      <c r="Y480" s="52" t="n"/>
      <c r="Z480" s="58" t="n"/>
      <c r="AA480" s="58" t="n"/>
      <c r="AB480" s="58" t="n"/>
      <c r="AC480" s="68" t="n"/>
      <c r="AD480" s="53" t="n"/>
      <c r="AE480" s="61">
        <f>SUMIFS([1]инфо!$D$15:$D$28,[1]инфо!$A$15:$A$28,F480)</f>
        <v/>
      </c>
      <c r="AF480" s="62">
        <f>IF(H480=0,0,N480/H480)</f>
        <v/>
      </c>
      <c r="AG480" s="63">
        <f>AF480-AE480</f>
        <v/>
      </c>
      <c r="AH480" s="61">
        <f>SUMIFS([1]инфо!$E$15:$E$28,[1]инфо!$A$15:$A$28,F480)</f>
        <v/>
      </c>
      <c r="AI480" s="64">
        <f>IF(H480=0,0,S480/H480)</f>
        <v/>
      </c>
      <c r="AJ480" s="63">
        <f>AI480-AH480</f>
        <v/>
      </c>
      <c r="AK480" s="61">
        <f>SUMIFS([1]инфо!$F$15:$F$28,[1]инфо!$A$15:$A$28,F480)</f>
        <v/>
      </c>
      <c r="AL480" s="64">
        <f>IF(H480=0,0,Y480/H480)</f>
        <v/>
      </c>
      <c r="AM480" s="63">
        <f>AL480-AK480</f>
        <v/>
      </c>
      <c r="AN480" s="61">
        <f>SUMIFS([1]инфо!$G$15:$G$28,[1]инфо!$A$15:$A$28,F480)</f>
        <v/>
      </c>
      <c r="AO480" s="64">
        <f>IF(H480=0,0,AA480/H480)</f>
        <v/>
      </c>
      <c r="AP480" s="63">
        <f>AO480-AN480</f>
        <v/>
      </c>
      <c r="AQ480" s="61">
        <f>SUMIFS([1]инфо!$H$15:$H$28,[1]инфо!$A$15:$A$28,F480)</f>
        <v/>
      </c>
      <c r="AR480" s="62">
        <f>IF(H479=0,0,AC480/H479)</f>
        <v/>
      </c>
      <c r="AS480" s="63">
        <f>AR480-AQ480</f>
        <v/>
      </c>
      <c r="AT480" s="61">
        <f>SUMIFS([1]инфо!$I$15:$I$28,[1]инфо!$A$15:$A$28,F480)</f>
        <v/>
      </c>
      <c r="AU480" s="62">
        <f>IF(H480=0,0,AD480/H480)</f>
        <v/>
      </c>
      <c r="AV480" s="63">
        <f>AU480-AT480</f>
        <v/>
      </c>
      <c r="AX480" s="59">
        <f>SUMIFS([1]инфо!$C$15:$C$28,[1]инфо!$A$15:$A$28,F480)*H479</f>
        <v/>
      </c>
    </row>
    <row r="481">
      <c r="A481" s="71">
        <f>A479+1</f>
        <v/>
      </c>
      <c r="B481" s="51" t="n"/>
      <c r="C481" s="52" t="n"/>
      <c r="D481" s="53" t="n"/>
      <c r="E481" s="66" t="n"/>
      <c r="F481" s="67" t="n"/>
      <c r="G481" s="58" t="n"/>
      <c r="H481" s="56" t="n"/>
      <c r="I481" s="57">
        <f>IFERROR(H481*VLOOKUP(F481,[1]инфо!$A$15:$C$28,3,FALSE)/1000,0)</f>
        <v/>
      </c>
      <c r="J481" s="55" t="n"/>
      <c r="K481" s="55" t="n"/>
      <c r="L481" s="55" t="n"/>
      <c r="M481" s="55" t="n"/>
      <c r="N481" s="55" t="n"/>
      <c r="O481" s="58" t="n"/>
      <c r="P481" s="58" t="n"/>
      <c r="Q481" s="58" t="n"/>
      <c r="R481" s="58" t="n"/>
      <c r="S481" s="59">
        <f>SUM(O481:R481)</f>
        <v/>
      </c>
      <c r="T481" s="52" t="n"/>
      <c r="U481" s="53" t="n"/>
      <c r="V481" s="58" t="n"/>
      <c r="W481" s="68" t="n"/>
      <c r="X481" s="58" t="n"/>
      <c r="Y481" s="52" t="n"/>
      <c r="Z481" s="58" t="n"/>
      <c r="AA481" s="58" t="n"/>
      <c r="AB481" s="58" t="n"/>
      <c r="AC481" s="68" t="n"/>
      <c r="AD481" s="53" t="n"/>
      <c r="AE481" s="61">
        <f>SUMIFS([1]инфо!$D$15:$D$28,[1]инфо!$A$15:$A$28,F481)</f>
        <v/>
      </c>
      <c r="AF481" s="62">
        <f>IF(H481=0,0,N481/H481)</f>
        <v/>
      </c>
      <c r="AG481" s="63">
        <f>AF481-AE481</f>
        <v/>
      </c>
      <c r="AH481" s="61">
        <f>SUMIFS([1]инфо!$E$15:$E$28,[1]инфо!$A$15:$A$28,F481)</f>
        <v/>
      </c>
      <c r="AI481" s="64">
        <f>IF(H481=0,0,S481/H481)</f>
        <v/>
      </c>
      <c r="AJ481" s="63">
        <f>AI481-AH481</f>
        <v/>
      </c>
      <c r="AK481" s="61">
        <f>SUMIFS([1]инфо!$F$15:$F$28,[1]инфо!$A$15:$A$28,F481)</f>
        <v/>
      </c>
      <c r="AL481" s="64">
        <f>IF(H481=0,0,Y481/H481)</f>
        <v/>
      </c>
      <c r="AM481" s="63">
        <f>AL481-AK481</f>
        <v/>
      </c>
      <c r="AN481" s="61">
        <f>SUMIFS([1]инфо!$G$15:$G$28,[1]инфо!$A$15:$A$28,F481)</f>
        <v/>
      </c>
      <c r="AO481" s="64">
        <f>IF(H481=0,0,AA481/H481)</f>
        <v/>
      </c>
      <c r="AP481" s="63">
        <f>AO481-AN481</f>
        <v/>
      </c>
      <c r="AQ481" s="61">
        <f>SUMIFS([1]инфо!$H$15:$H$28,[1]инфо!$A$15:$A$28,F481)</f>
        <v/>
      </c>
      <c r="AR481" s="62">
        <f>IF(H480=0,0,AC481/H480)</f>
        <v/>
      </c>
      <c r="AS481" s="63">
        <f>AR481-AQ481</f>
        <v/>
      </c>
      <c r="AT481" s="61">
        <f>SUMIFS([1]инфо!$I$15:$I$28,[1]инфо!$A$15:$A$28,F481)</f>
        <v/>
      </c>
      <c r="AU481" s="62">
        <f>IF(H481=0,0,AD481/H481)</f>
        <v/>
      </c>
      <c r="AV481" s="63">
        <f>AU481-AT481</f>
        <v/>
      </c>
      <c r="AX481" s="59">
        <f>SUMIFS([1]инфо!$C$15:$C$28,[1]инфо!$A$15:$A$28,F481)*H480</f>
        <v/>
      </c>
    </row>
    <row r="482">
      <c r="A482" s="71">
        <f>A480+1</f>
        <v/>
      </c>
      <c r="B482" s="51" t="n"/>
      <c r="C482" s="77" t="n"/>
      <c r="D482" s="78" t="n"/>
      <c r="E482" s="66" t="n"/>
      <c r="F482" s="67" t="n"/>
      <c r="G482" s="79" t="n"/>
      <c r="H482" s="67" t="n"/>
      <c r="I482" s="57">
        <f>IFERROR(H482*VLOOKUP(F482,[1]инфо!$A$15:$C$28,3,FALSE)/1000,0)</f>
        <v/>
      </c>
      <c r="J482" s="55" t="n"/>
      <c r="K482" s="55" t="n"/>
      <c r="L482" s="55" t="n"/>
      <c r="M482" s="55" t="n"/>
      <c r="N482" s="56" t="n"/>
      <c r="O482" s="79" t="n"/>
      <c r="P482" s="79" t="n"/>
      <c r="Q482" s="79" t="n"/>
      <c r="R482" s="79" t="n"/>
      <c r="S482" s="80">
        <f>SUM(O482:R482)</f>
        <v/>
      </c>
      <c r="T482" s="77" t="n"/>
      <c r="U482" s="78" t="n"/>
      <c r="V482" s="79" t="n"/>
      <c r="W482" s="68" t="n"/>
      <c r="X482" s="79" t="n"/>
      <c r="Y482" s="77" t="n"/>
      <c r="Z482" s="79" t="n"/>
      <c r="AA482" s="79" t="n"/>
      <c r="AB482" s="79" t="n"/>
      <c r="AC482" s="68" t="n"/>
      <c r="AD482" s="78" t="n"/>
      <c r="AE482" s="81">
        <f>SUMIFS([1]инфо!$D$15:$D$28,[1]инфо!$A$15:$A$28,F482)</f>
        <v/>
      </c>
      <c r="AF482" s="62">
        <f>IF(H482=0,0,N482/H482)</f>
        <v/>
      </c>
      <c r="AG482" s="82">
        <f>AF482-AE482</f>
        <v/>
      </c>
      <c r="AH482" s="81">
        <f>SUMIFS([1]инфо!$E$15:$E$28,[1]инфо!$A$15:$A$28,F482)</f>
        <v/>
      </c>
      <c r="AI482" s="64">
        <f>IF(H482=0,0,S482/H482)</f>
        <v/>
      </c>
      <c r="AJ482" s="82">
        <f>AI482-AH482</f>
        <v/>
      </c>
      <c r="AK482" s="81">
        <f>SUMIFS([1]инфо!$F$15:$F$28,[1]инфо!$A$15:$A$28,F482)</f>
        <v/>
      </c>
      <c r="AL482" s="64">
        <f>IF(H482=0,0,Y482/H482)</f>
        <v/>
      </c>
      <c r="AM482" s="82">
        <f>AL482-AK482</f>
        <v/>
      </c>
      <c r="AN482" s="81">
        <f>SUMIFS([1]инфо!$G$15:$G$28,[1]инфо!$A$15:$A$28,F482)</f>
        <v/>
      </c>
      <c r="AO482" s="64">
        <f>IF(H482=0,0,AA482/H482)</f>
        <v/>
      </c>
      <c r="AP482" s="82">
        <f>AO482-AN482</f>
        <v/>
      </c>
      <c r="AQ482" s="81">
        <f>SUMIFS([1]инфо!$H$15:$H$28,[1]инфо!$A$15:$A$28,F482)</f>
        <v/>
      </c>
      <c r="AR482" s="85">
        <f>IF(H481=0,0,AC482/H481)</f>
        <v/>
      </c>
      <c r="AS482" s="82">
        <f>AR482-AQ482</f>
        <v/>
      </c>
      <c r="AT482" s="81">
        <f>SUMIFS([1]инфо!$I$15:$I$28,[1]инфо!$A$15:$A$28,F482)</f>
        <v/>
      </c>
      <c r="AU482" s="62">
        <f>IF(H482=0,0,AD482/H482)</f>
        <v/>
      </c>
      <c r="AV482" s="82">
        <f>AU482-AT482</f>
        <v/>
      </c>
      <c r="AX482" s="80">
        <f>SUMIFS([1]инфо!$C$15:$C$28,[1]инфо!$A$15:$A$28,F482)*H481</f>
        <v/>
      </c>
    </row>
    <row r="483">
      <c r="A483" s="71">
        <f>A481+1</f>
        <v/>
      </c>
      <c r="B483" s="51" t="n"/>
      <c r="C483" s="72" t="n"/>
      <c r="D483" s="73" t="n"/>
      <c r="E483" s="66" t="n"/>
      <c r="F483" s="67" t="n"/>
      <c r="G483" s="74" t="n"/>
      <c r="H483" s="55" t="n"/>
      <c r="I483" s="57">
        <f>IFERROR(H483*VLOOKUP(F483,[1]инфо!$A$15:$C$28,3,FALSE)/1000,0)</f>
        <v/>
      </c>
      <c r="J483" s="55" t="n"/>
      <c r="K483" s="55" t="n"/>
      <c r="L483" s="55" t="n"/>
      <c r="M483" s="55" t="n"/>
      <c r="N483" s="67" t="n"/>
      <c r="O483" s="74" t="n"/>
      <c r="P483" s="74" t="n"/>
      <c r="Q483" s="74" t="n"/>
      <c r="R483" s="74" t="n"/>
      <c r="S483" s="70">
        <f>SUM(O483:R483)</f>
        <v/>
      </c>
      <c r="T483" s="72" t="n"/>
      <c r="U483" s="73" t="n"/>
      <c r="V483" s="74" t="n"/>
      <c r="W483" s="68" t="n"/>
      <c r="X483" s="74" t="n"/>
      <c r="Y483" s="72" t="n"/>
      <c r="Z483" s="74" t="n"/>
      <c r="AA483" s="74" t="n"/>
      <c r="AB483" s="74" t="n"/>
      <c r="AC483" s="68" t="n"/>
      <c r="AD483" s="73" t="n"/>
      <c r="AE483" s="75">
        <f>SUMIFS([1]инфо!$D$15:$D$28,[1]инфо!$A$15:$A$28,F483)</f>
        <v/>
      </c>
      <c r="AF483" s="62">
        <f>IF(H483=0,0,N483/H483)</f>
        <v/>
      </c>
      <c r="AG483" s="76">
        <f>AF483-AE483</f>
        <v/>
      </c>
      <c r="AH483" s="75">
        <f>SUMIFS([1]инфо!$E$15:$E$28,[1]инфо!$A$15:$A$28,F483)</f>
        <v/>
      </c>
      <c r="AI483" s="64">
        <f>IF(H483=0,0,S483/H483)</f>
        <v/>
      </c>
      <c r="AJ483" s="76">
        <f>AI483-AH483</f>
        <v/>
      </c>
      <c r="AK483" s="75">
        <f>SUMIFS([1]инфо!$F$15:$F$28,[1]инфо!$A$15:$A$28,F483)</f>
        <v/>
      </c>
      <c r="AL483" s="64">
        <f>IF(H483=0,0,Y483/H483)</f>
        <v/>
      </c>
      <c r="AM483" s="76">
        <f>AL483-AK483</f>
        <v/>
      </c>
      <c r="AN483" s="75">
        <f>SUMIFS([1]инфо!$G$15:$G$28,[1]инфо!$A$15:$A$28,F483)</f>
        <v/>
      </c>
      <c r="AO483" s="64">
        <f>IF(H483=0,0,AA483/H483)</f>
        <v/>
      </c>
      <c r="AP483" s="76">
        <f>AO483-AN483</f>
        <v/>
      </c>
      <c r="AQ483" s="75">
        <f>SUMIFS([1]инфо!$H$15:$H$28,[1]инфо!$A$15:$A$28,F483)</f>
        <v/>
      </c>
      <c r="AR483" s="64">
        <f>IF(H482=0,0,AC483/H482)</f>
        <v/>
      </c>
      <c r="AS483" s="76">
        <f>AR483-AQ483</f>
        <v/>
      </c>
      <c r="AT483" s="75">
        <f>SUMIFS([1]инфо!$I$15:$I$28,[1]инфо!$A$15:$A$28,F483)</f>
        <v/>
      </c>
      <c r="AU483" s="62">
        <f>IF(H483=0,0,AD483/H483)</f>
        <v/>
      </c>
      <c r="AV483" s="76">
        <f>AU483-AT483</f>
        <v/>
      </c>
      <c r="AX483" s="70">
        <f>SUMIFS([1]инфо!$C$15:$C$28,[1]инфо!$A$15:$A$28,F483)*H482</f>
        <v/>
      </c>
    </row>
    <row r="484">
      <c r="A484" s="71">
        <f>A482+1</f>
        <v/>
      </c>
      <c r="B484" s="51" t="n"/>
      <c r="C484" s="52" t="n"/>
      <c r="D484" s="53" t="n"/>
      <c r="E484" s="66" t="n"/>
      <c r="F484" s="67" t="n"/>
      <c r="G484" s="58" t="n"/>
      <c r="H484" s="55" t="n"/>
      <c r="I484" s="57">
        <f>IFERROR(H484*VLOOKUP(F484,[1]инфо!$A$15:$C$28,3,FALSE)/1000,0)</f>
        <v/>
      </c>
      <c r="J484" s="55" t="n"/>
      <c r="K484" s="55" t="n"/>
      <c r="L484" s="55" t="n"/>
      <c r="M484" s="55" t="n"/>
      <c r="N484" s="55" t="n"/>
      <c r="O484" s="58" t="n"/>
      <c r="P484" s="58" t="n"/>
      <c r="Q484" s="58" t="n"/>
      <c r="R484" s="58" t="n"/>
      <c r="S484" s="59">
        <f>SUM(O484:R484)</f>
        <v/>
      </c>
      <c r="T484" s="52" t="n"/>
      <c r="U484" s="53" t="n"/>
      <c r="V484" s="58" t="n"/>
      <c r="W484" s="68" t="n"/>
      <c r="X484" s="58" t="n"/>
      <c r="Y484" s="52" t="n"/>
      <c r="Z484" s="58" t="n"/>
      <c r="AA484" s="58" t="n"/>
      <c r="AB484" s="58" t="n"/>
      <c r="AC484" s="68" t="n"/>
      <c r="AD484" s="53" t="n"/>
      <c r="AE484" s="61">
        <f>SUMIFS([1]инфо!$D$15:$D$28,[1]инфо!$A$15:$A$28,F484)</f>
        <v/>
      </c>
      <c r="AF484" s="62">
        <f>IF(H484=0,0,N484/H484)</f>
        <v/>
      </c>
      <c r="AG484" s="63">
        <f>AF484-AE484</f>
        <v/>
      </c>
      <c r="AH484" s="61">
        <f>SUMIFS([1]инфо!$E$15:$E$28,[1]инфо!$A$15:$A$28,F484)</f>
        <v/>
      </c>
      <c r="AI484" s="64">
        <f>IF(H484=0,0,S484/H484)</f>
        <v/>
      </c>
      <c r="AJ484" s="63">
        <f>AI484-AH484</f>
        <v/>
      </c>
      <c r="AK484" s="61">
        <f>SUMIFS([1]инфо!$F$15:$F$28,[1]инфо!$A$15:$A$28,F484)</f>
        <v/>
      </c>
      <c r="AL484" s="64">
        <f>IF(H484=0,0,Y484/H484)</f>
        <v/>
      </c>
      <c r="AM484" s="63">
        <f>AL484-AK484</f>
        <v/>
      </c>
      <c r="AN484" s="61">
        <f>SUMIFS([1]инфо!$G$15:$G$28,[1]инфо!$A$15:$A$28,F484)</f>
        <v/>
      </c>
      <c r="AO484" s="64">
        <f>IF(H484=0,0,AA484/H484)</f>
        <v/>
      </c>
      <c r="AP484" s="63">
        <f>AO484-AN484</f>
        <v/>
      </c>
      <c r="AQ484" s="61">
        <f>SUMIFS([1]инфо!$H$15:$H$28,[1]инфо!$A$15:$A$28,F484)</f>
        <v/>
      </c>
      <c r="AR484" s="62">
        <f>IF(H483=0,0,AC484/H483)</f>
        <v/>
      </c>
      <c r="AS484" s="63">
        <f>AR484-AQ484</f>
        <v/>
      </c>
      <c r="AT484" s="61">
        <f>SUMIFS([1]инфо!$I$15:$I$28,[1]инфо!$A$15:$A$28,F484)</f>
        <v/>
      </c>
      <c r="AU484" s="62">
        <f>IF(H484=0,0,AD484/H484)</f>
        <v/>
      </c>
      <c r="AV484" s="63">
        <f>AU484-AT484</f>
        <v/>
      </c>
      <c r="AX484" s="59">
        <f>SUMIFS([1]инфо!$C$15:$C$28,[1]инфо!$A$15:$A$28,F484)*H483</f>
        <v/>
      </c>
    </row>
    <row r="485">
      <c r="A485" s="71">
        <f>A483+1</f>
        <v/>
      </c>
      <c r="B485" s="51" t="n"/>
      <c r="C485" s="52" t="n"/>
      <c r="D485" s="53" t="n"/>
      <c r="E485" s="66" t="n"/>
      <c r="F485" s="67" t="n"/>
      <c r="G485" s="58" t="n"/>
      <c r="H485" s="56" t="n"/>
      <c r="I485" s="57">
        <f>IFERROR(H485*VLOOKUP(F485,[1]инфо!$A$15:$C$28,3,FALSE)/1000,0)</f>
        <v/>
      </c>
      <c r="J485" s="55" t="n"/>
      <c r="K485" s="55" t="n"/>
      <c r="L485" s="55" t="n"/>
      <c r="M485" s="55" t="n"/>
      <c r="N485" s="55" t="n"/>
      <c r="O485" s="58" t="n"/>
      <c r="P485" s="58" t="n"/>
      <c r="Q485" s="58" t="n"/>
      <c r="R485" s="58" t="n"/>
      <c r="S485" s="59">
        <f>SUM(O485:R485)</f>
        <v/>
      </c>
      <c r="T485" s="52" t="n"/>
      <c r="U485" s="53" t="n"/>
      <c r="V485" s="58" t="n"/>
      <c r="W485" s="68" t="n"/>
      <c r="X485" s="58" t="n"/>
      <c r="Y485" s="52" t="n"/>
      <c r="Z485" s="58" t="n"/>
      <c r="AA485" s="58" t="n"/>
      <c r="AB485" s="58" t="n"/>
      <c r="AC485" s="68" t="n"/>
      <c r="AD485" s="53" t="n"/>
      <c r="AE485" s="61">
        <f>SUMIFS([1]инфо!$D$15:$D$28,[1]инфо!$A$15:$A$28,F485)</f>
        <v/>
      </c>
      <c r="AF485" s="62">
        <f>IF(H485=0,0,N485/H485)</f>
        <v/>
      </c>
      <c r="AG485" s="63">
        <f>AF485-AE485</f>
        <v/>
      </c>
      <c r="AH485" s="61">
        <f>SUMIFS([1]инфо!$E$15:$E$28,[1]инфо!$A$15:$A$28,F485)</f>
        <v/>
      </c>
      <c r="AI485" s="64">
        <f>IF(H485=0,0,S485/H485)</f>
        <v/>
      </c>
      <c r="AJ485" s="63">
        <f>AI485-AH485</f>
        <v/>
      </c>
      <c r="AK485" s="61">
        <f>SUMIFS([1]инфо!$F$15:$F$28,[1]инфо!$A$15:$A$28,F485)</f>
        <v/>
      </c>
      <c r="AL485" s="64">
        <f>IF(H485=0,0,Y485/H485)</f>
        <v/>
      </c>
      <c r="AM485" s="63">
        <f>AL485-AK485</f>
        <v/>
      </c>
      <c r="AN485" s="61">
        <f>SUMIFS([1]инфо!$G$15:$G$28,[1]инфо!$A$15:$A$28,F485)</f>
        <v/>
      </c>
      <c r="AO485" s="64">
        <f>IF(H485=0,0,AA485/H485)</f>
        <v/>
      </c>
      <c r="AP485" s="63">
        <f>AO485-AN485</f>
        <v/>
      </c>
      <c r="AQ485" s="61">
        <f>SUMIFS([1]инфо!$H$15:$H$28,[1]инфо!$A$15:$A$28,F485)</f>
        <v/>
      </c>
      <c r="AR485" s="62">
        <f>IF(H484=0,0,AC485/H484)</f>
        <v/>
      </c>
      <c r="AS485" s="63">
        <f>AR485-AQ485</f>
        <v/>
      </c>
      <c r="AT485" s="61">
        <f>SUMIFS([1]инфо!$I$15:$I$28,[1]инфо!$A$15:$A$28,F485)</f>
        <v/>
      </c>
      <c r="AU485" s="62">
        <f>IF(H485=0,0,AD485/H485)</f>
        <v/>
      </c>
      <c r="AV485" s="63">
        <f>AU485-AT485</f>
        <v/>
      </c>
      <c r="AX485" s="59">
        <f>SUMIFS([1]инфо!$C$15:$C$28,[1]инфо!$A$15:$A$28,F485)*H484</f>
        <v/>
      </c>
    </row>
    <row r="486">
      <c r="A486" s="71">
        <f>A484+1</f>
        <v/>
      </c>
      <c r="B486" s="51" t="n"/>
      <c r="C486" s="77" t="n"/>
      <c r="D486" s="78" t="n"/>
      <c r="E486" s="66" t="n"/>
      <c r="F486" s="67" t="n"/>
      <c r="G486" s="79" t="n"/>
      <c r="H486" s="67" t="n"/>
      <c r="I486" s="57">
        <f>IFERROR(H486*VLOOKUP(F486,[1]инфо!$A$15:$C$28,3,FALSE)/1000,0)</f>
        <v/>
      </c>
      <c r="J486" s="55" t="n"/>
      <c r="K486" s="55" t="n"/>
      <c r="L486" s="55" t="n"/>
      <c r="M486" s="55" t="n"/>
      <c r="N486" s="56" t="n"/>
      <c r="O486" s="79" t="n"/>
      <c r="P486" s="79" t="n"/>
      <c r="Q486" s="79" t="n"/>
      <c r="R486" s="79" t="n"/>
      <c r="S486" s="80">
        <f>SUM(O486:R486)</f>
        <v/>
      </c>
      <c r="T486" s="77" t="n"/>
      <c r="U486" s="78" t="n"/>
      <c r="V486" s="79" t="n"/>
      <c r="W486" s="68" t="n"/>
      <c r="X486" s="79" t="n"/>
      <c r="Y486" s="77" t="n"/>
      <c r="Z486" s="79" t="n"/>
      <c r="AA486" s="79" t="n"/>
      <c r="AB486" s="79" t="n"/>
      <c r="AC486" s="68" t="n"/>
      <c r="AD486" s="78" t="n"/>
      <c r="AE486" s="81">
        <f>SUMIFS([1]инфо!$D$15:$D$28,[1]инфо!$A$15:$A$28,F486)</f>
        <v/>
      </c>
      <c r="AF486" s="62">
        <f>IF(H486=0,0,N486/H486)</f>
        <v/>
      </c>
      <c r="AG486" s="82">
        <f>AF486-AE486</f>
        <v/>
      </c>
      <c r="AH486" s="81">
        <f>SUMIFS([1]инфо!$E$15:$E$28,[1]инфо!$A$15:$A$28,F486)</f>
        <v/>
      </c>
      <c r="AI486" s="64">
        <f>IF(H486=0,0,S486/H486)</f>
        <v/>
      </c>
      <c r="AJ486" s="82">
        <f>AI486-AH486</f>
        <v/>
      </c>
      <c r="AK486" s="81">
        <f>SUMIFS([1]инфо!$F$15:$F$28,[1]инфо!$A$15:$A$28,F486)</f>
        <v/>
      </c>
      <c r="AL486" s="64">
        <f>IF(H486=0,0,Y486/H486)</f>
        <v/>
      </c>
      <c r="AM486" s="82">
        <f>AL486-AK486</f>
        <v/>
      </c>
      <c r="AN486" s="81">
        <f>SUMIFS([1]инфо!$G$15:$G$28,[1]инфо!$A$15:$A$28,F486)</f>
        <v/>
      </c>
      <c r="AO486" s="64">
        <f>IF(H486=0,0,AA486/H486)</f>
        <v/>
      </c>
      <c r="AP486" s="82">
        <f>AO486-AN486</f>
        <v/>
      </c>
      <c r="AQ486" s="81">
        <f>SUMIFS([1]инфо!$H$15:$H$28,[1]инфо!$A$15:$A$28,F486)</f>
        <v/>
      </c>
      <c r="AR486" s="85">
        <f>IF(H485=0,0,AC486/H485)</f>
        <v/>
      </c>
      <c r="AS486" s="82">
        <f>AR486-AQ486</f>
        <v/>
      </c>
      <c r="AT486" s="81">
        <f>SUMIFS([1]инфо!$I$15:$I$28,[1]инфо!$A$15:$A$28,F486)</f>
        <v/>
      </c>
      <c r="AU486" s="62">
        <f>IF(H486=0,0,AD486/H486)</f>
        <v/>
      </c>
      <c r="AV486" s="82">
        <f>AU486-AT486</f>
        <v/>
      </c>
      <c r="AX486" s="80">
        <f>SUMIFS([1]инфо!$C$15:$C$28,[1]инфо!$A$15:$A$28,F486)*H485</f>
        <v/>
      </c>
    </row>
    <row r="487">
      <c r="A487" s="71">
        <f>A485+1</f>
        <v/>
      </c>
      <c r="B487" s="51" t="n"/>
      <c r="C487" s="72" t="n"/>
      <c r="D487" s="73" t="n"/>
      <c r="E487" s="66" t="n"/>
      <c r="F487" s="67" t="n"/>
      <c r="G487" s="74" t="n"/>
      <c r="H487" s="55" t="n"/>
      <c r="I487" s="57">
        <f>IFERROR(H487*VLOOKUP(F487,[1]инфо!$A$15:$C$28,3,FALSE)/1000,0)</f>
        <v/>
      </c>
      <c r="J487" s="55" t="n"/>
      <c r="K487" s="55" t="n"/>
      <c r="L487" s="55" t="n"/>
      <c r="M487" s="55" t="n"/>
      <c r="N487" s="67" t="n"/>
      <c r="O487" s="74" t="n"/>
      <c r="P487" s="74" t="n"/>
      <c r="Q487" s="74" t="n"/>
      <c r="R487" s="74" t="n"/>
      <c r="S487" s="70">
        <f>SUM(O487:R487)</f>
        <v/>
      </c>
      <c r="T487" s="72" t="n"/>
      <c r="U487" s="73" t="n"/>
      <c r="V487" s="74" t="n"/>
      <c r="W487" s="68" t="n"/>
      <c r="X487" s="74" t="n"/>
      <c r="Y487" s="72" t="n"/>
      <c r="Z487" s="74" t="n"/>
      <c r="AA487" s="74" t="n"/>
      <c r="AB487" s="74" t="n"/>
      <c r="AC487" s="68" t="n"/>
      <c r="AD487" s="73" t="n"/>
      <c r="AE487" s="75">
        <f>SUMIFS([1]инфо!$D$15:$D$28,[1]инфо!$A$15:$A$28,F487)</f>
        <v/>
      </c>
      <c r="AF487" s="62">
        <f>IF(H487=0,0,N487/H487)</f>
        <v/>
      </c>
      <c r="AG487" s="76">
        <f>AF487-AE487</f>
        <v/>
      </c>
      <c r="AH487" s="75">
        <f>SUMIFS([1]инфо!$E$15:$E$28,[1]инфо!$A$15:$A$28,F487)</f>
        <v/>
      </c>
      <c r="AI487" s="64">
        <f>IF(H487=0,0,S487/H487)</f>
        <v/>
      </c>
      <c r="AJ487" s="76">
        <f>AI487-AH487</f>
        <v/>
      </c>
      <c r="AK487" s="75">
        <f>SUMIFS([1]инфо!$F$15:$F$28,[1]инфо!$A$15:$A$28,F487)</f>
        <v/>
      </c>
      <c r="AL487" s="64">
        <f>IF(H487=0,0,Y487/H487)</f>
        <v/>
      </c>
      <c r="AM487" s="76">
        <f>AL487-AK487</f>
        <v/>
      </c>
      <c r="AN487" s="75">
        <f>SUMIFS([1]инфо!$G$15:$G$28,[1]инфо!$A$15:$A$28,F487)</f>
        <v/>
      </c>
      <c r="AO487" s="64">
        <f>IF(H487=0,0,AA487/H487)</f>
        <v/>
      </c>
      <c r="AP487" s="76">
        <f>AO487-AN487</f>
        <v/>
      </c>
      <c r="AQ487" s="75">
        <f>SUMIFS([1]инфо!$H$15:$H$28,[1]инфо!$A$15:$A$28,F487)</f>
        <v/>
      </c>
      <c r="AR487" s="64">
        <f>IF(H486=0,0,AC487/H486)</f>
        <v/>
      </c>
      <c r="AS487" s="76">
        <f>AR487-AQ487</f>
        <v/>
      </c>
      <c r="AT487" s="75">
        <f>SUMIFS([1]инфо!$I$15:$I$28,[1]инфо!$A$15:$A$28,F487)</f>
        <v/>
      </c>
      <c r="AU487" s="62">
        <f>IF(H487=0,0,AD487/H487)</f>
        <v/>
      </c>
      <c r="AV487" s="76">
        <f>AU487-AT487</f>
        <v/>
      </c>
      <c r="AX487" s="70">
        <f>SUMIFS([1]инфо!$C$15:$C$28,[1]инфо!$A$15:$A$28,F487)*H486</f>
        <v/>
      </c>
    </row>
    <row r="488">
      <c r="A488" s="71">
        <f>A486+1</f>
        <v/>
      </c>
      <c r="B488" s="51" t="n"/>
      <c r="C488" s="52" t="n"/>
      <c r="D488" s="53" t="n"/>
      <c r="E488" s="66" t="n"/>
      <c r="F488" s="67" t="n"/>
      <c r="G488" s="58" t="n"/>
      <c r="H488" s="55" t="n"/>
      <c r="I488" s="57">
        <f>IFERROR(H488*VLOOKUP(F488,[1]инфо!$A$15:$C$28,3,FALSE)/1000,0)</f>
        <v/>
      </c>
      <c r="J488" s="55" t="n"/>
      <c r="K488" s="55" t="n"/>
      <c r="L488" s="55" t="n"/>
      <c r="M488" s="55" t="n"/>
      <c r="N488" s="55" t="n"/>
      <c r="O488" s="58" t="n"/>
      <c r="P488" s="58" t="n"/>
      <c r="Q488" s="58" t="n"/>
      <c r="R488" s="58" t="n"/>
      <c r="S488" s="59">
        <f>SUM(O488:R488)</f>
        <v/>
      </c>
      <c r="T488" s="52" t="n"/>
      <c r="U488" s="53" t="n"/>
      <c r="V488" s="58" t="n"/>
      <c r="W488" s="68" t="n"/>
      <c r="X488" s="58" t="n"/>
      <c r="Y488" s="52" t="n"/>
      <c r="Z488" s="58" t="n"/>
      <c r="AA488" s="58" t="n"/>
      <c r="AB488" s="58" t="n"/>
      <c r="AC488" s="68" t="n"/>
      <c r="AD488" s="53" t="n"/>
      <c r="AE488" s="61">
        <f>SUMIFS([1]инфо!$D$15:$D$28,[1]инфо!$A$15:$A$28,F488)</f>
        <v/>
      </c>
      <c r="AF488" s="62">
        <f>IF(H488=0,0,N488/H488)</f>
        <v/>
      </c>
      <c r="AG488" s="63">
        <f>AF488-AE488</f>
        <v/>
      </c>
      <c r="AH488" s="61">
        <f>SUMIFS([1]инфо!$E$15:$E$28,[1]инфо!$A$15:$A$28,F488)</f>
        <v/>
      </c>
      <c r="AI488" s="64">
        <f>IF(H488=0,0,S488/H488)</f>
        <v/>
      </c>
      <c r="AJ488" s="63">
        <f>AI488-AH488</f>
        <v/>
      </c>
      <c r="AK488" s="61">
        <f>SUMIFS([1]инфо!$F$15:$F$28,[1]инфо!$A$15:$A$28,F488)</f>
        <v/>
      </c>
      <c r="AL488" s="64">
        <f>IF(H488=0,0,Y488/H488)</f>
        <v/>
      </c>
      <c r="AM488" s="63">
        <f>AL488-AK488</f>
        <v/>
      </c>
      <c r="AN488" s="61">
        <f>SUMIFS([1]инфо!$G$15:$G$28,[1]инфо!$A$15:$A$28,F488)</f>
        <v/>
      </c>
      <c r="AO488" s="64">
        <f>IF(H488=0,0,AA488/H488)</f>
        <v/>
      </c>
      <c r="AP488" s="63">
        <f>AO488-AN488</f>
        <v/>
      </c>
      <c r="AQ488" s="61">
        <f>SUMIFS([1]инфо!$H$15:$H$28,[1]инфо!$A$15:$A$28,F488)</f>
        <v/>
      </c>
      <c r="AR488" s="62">
        <f>IF(H487=0,0,AC488/H487)</f>
        <v/>
      </c>
      <c r="AS488" s="63">
        <f>AR488-AQ488</f>
        <v/>
      </c>
      <c r="AT488" s="61">
        <f>SUMIFS([1]инфо!$I$15:$I$28,[1]инфо!$A$15:$A$28,F488)</f>
        <v/>
      </c>
      <c r="AU488" s="62">
        <f>IF(H488=0,0,AD488/H488)</f>
        <v/>
      </c>
      <c r="AV488" s="63">
        <f>AU488-AT488</f>
        <v/>
      </c>
      <c r="AX488" s="59">
        <f>SUMIFS([1]инфо!$C$15:$C$28,[1]инфо!$A$15:$A$28,F488)*H487</f>
        <v/>
      </c>
    </row>
    <row r="489">
      <c r="A489" s="71">
        <f>A487+1</f>
        <v/>
      </c>
      <c r="B489" s="51" t="n"/>
      <c r="C489" s="52" t="n"/>
      <c r="D489" s="53" t="n"/>
      <c r="E489" s="66" t="n"/>
      <c r="F489" s="67" t="n"/>
      <c r="G489" s="58" t="n"/>
      <c r="H489" s="56" t="n"/>
      <c r="I489" s="57">
        <f>IFERROR(H489*VLOOKUP(F489,[1]инфо!$A$15:$C$28,3,FALSE)/1000,0)</f>
        <v/>
      </c>
      <c r="J489" s="55" t="n"/>
      <c r="K489" s="55" t="n"/>
      <c r="L489" s="55" t="n"/>
      <c r="M489" s="55" t="n"/>
      <c r="N489" s="55" t="n"/>
      <c r="O489" s="58" t="n"/>
      <c r="P489" s="58" t="n"/>
      <c r="Q489" s="58" t="n"/>
      <c r="R489" s="58" t="n"/>
      <c r="S489" s="59">
        <f>SUM(O489:R489)</f>
        <v/>
      </c>
      <c r="T489" s="52" t="n"/>
      <c r="U489" s="53" t="n"/>
      <c r="V489" s="58" t="n"/>
      <c r="W489" s="68" t="n"/>
      <c r="X489" s="58" t="n"/>
      <c r="Y489" s="52" t="n"/>
      <c r="Z489" s="58" t="n"/>
      <c r="AA489" s="58" t="n"/>
      <c r="AB489" s="58" t="n"/>
      <c r="AC489" s="68" t="n"/>
      <c r="AD489" s="53" t="n"/>
      <c r="AE489" s="61">
        <f>SUMIFS([1]инфо!$D$15:$D$28,[1]инфо!$A$15:$A$28,F489)</f>
        <v/>
      </c>
      <c r="AF489" s="62">
        <f>IF(H489=0,0,N489/H489)</f>
        <v/>
      </c>
      <c r="AG489" s="63">
        <f>AF489-AE489</f>
        <v/>
      </c>
      <c r="AH489" s="61">
        <f>SUMIFS([1]инфо!$E$15:$E$28,[1]инфо!$A$15:$A$28,F489)</f>
        <v/>
      </c>
      <c r="AI489" s="64">
        <f>IF(H489=0,0,S489/H489)</f>
        <v/>
      </c>
      <c r="AJ489" s="63">
        <f>AI489-AH489</f>
        <v/>
      </c>
      <c r="AK489" s="61">
        <f>SUMIFS([1]инфо!$F$15:$F$28,[1]инфо!$A$15:$A$28,F489)</f>
        <v/>
      </c>
      <c r="AL489" s="64">
        <f>IF(H489=0,0,Y489/H489)</f>
        <v/>
      </c>
      <c r="AM489" s="63">
        <f>AL489-AK489</f>
        <v/>
      </c>
      <c r="AN489" s="61">
        <f>SUMIFS([1]инфо!$G$15:$G$28,[1]инфо!$A$15:$A$28,F489)</f>
        <v/>
      </c>
      <c r="AO489" s="64">
        <f>IF(H489=0,0,AA489/H489)</f>
        <v/>
      </c>
      <c r="AP489" s="63">
        <f>AO489-AN489</f>
        <v/>
      </c>
      <c r="AQ489" s="61">
        <f>SUMIFS([1]инфо!$H$15:$H$28,[1]инфо!$A$15:$A$28,F489)</f>
        <v/>
      </c>
      <c r="AR489" s="62">
        <f>IF(H488=0,0,AC489/H488)</f>
        <v/>
      </c>
      <c r="AS489" s="63">
        <f>AR489-AQ489</f>
        <v/>
      </c>
      <c r="AT489" s="61">
        <f>SUMIFS([1]инфо!$I$15:$I$28,[1]инфо!$A$15:$A$28,F489)</f>
        <v/>
      </c>
      <c r="AU489" s="62">
        <f>IF(H489=0,0,AD489/H489)</f>
        <v/>
      </c>
      <c r="AV489" s="63">
        <f>AU489-AT489</f>
        <v/>
      </c>
      <c r="AX489" s="59">
        <f>SUMIFS([1]инфо!$C$15:$C$28,[1]инфо!$A$15:$A$28,F489)*H488</f>
        <v/>
      </c>
    </row>
    <row r="490">
      <c r="A490" s="71">
        <f>A488+1</f>
        <v/>
      </c>
      <c r="B490" s="51" t="n"/>
      <c r="C490" s="77" t="n"/>
      <c r="D490" s="78" t="n"/>
      <c r="E490" s="66" t="n"/>
      <c r="F490" s="67" t="n"/>
      <c r="G490" s="79" t="n"/>
      <c r="H490" s="67" t="n"/>
      <c r="I490" s="57">
        <f>IFERROR(H490*VLOOKUP(F490,[1]инфо!$A$15:$C$28,3,FALSE)/1000,0)</f>
        <v/>
      </c>
      <c r="J490" s="55" t="n"/>
      <c r="K490" s="55" t="n"/>
      <c r="L490" s="55" t="n"/>
      <c r="M490" s="55" t="n"/>
      <c r="N490" s="56" t="n"/>
      <c r="O490" s="79" t="n"/>
      <c r="P490" s="79" t="n"/>
      <c r="Q490" s="79" t="n"/>
      <c r="R490" s="79" t="n"/>
      <c r="S490" s="80">
        <f>SUM(O490:R490)</f>
        <v/>
      </c>
      <c r="T490" s="77" t="n"/>
      <c r="U490" s="78" t="n"/>
      <c r="V490" s="79" t="n"/>
      <c r="W490" s="68" t="n"/>
      <c r="X490" s="79" t="n"/>
      <c r="Y490" s="77" t="n"/>
      <c r="Z490" s="79" t="n"/>
      <c r="AA490" s="79" t="n"/>
      <c r="AB490" s="79" t="n"/>
      <c r="AC490" s="68" t="n"/>
      <c r="AD490" s="78" t="n"/>
      <c r="AE490" s="81">
        <f>SUMIFS([1]инфо!$D$15:$D$28,[1]инфо!$A$15:$A$28,F490)</f>
        <v/>
      </c>
      <c r="AF490" s="62">
        <f>IF(H490=0,0,N490/H490)</f>
        <v/>
      </c>
      <c r="AG490" s="82">
        <f>AF490-AE490</f>
        <v/>
      </c>
      <c r="AH490" s="81">
        <f>SUMIFS([1]инфо!$E$15:$E$28,[1]инфо!$A$15:$A$28,F490)</f>
        <v/>
      </c>
      <c r="AI490" s="64">
        <f>IF(H490=0,0,S490/H490)</f>
        <v/>
      </c>
      <c r="AJ490" s="82">
        <f>AI490-AH490</f>
        <v/>
      </c>
      <c r="AK490" s="81">
        <f>SUMIFS([1]инфо!$F$15:$F$28,[1]инфо!$A$15:$A$28,F490)</f>
        <v/>
      </c>
      <c r="AL490" s="64">
        <f>IF(H490=0,0,Y490/H490)</f>
        <v/>
      </c>
      <c r="AM490" s="82">
        <f>AL490-AK490</f>
        <v/>
      </c>
      <c r="AN490" s="81">
        <f>SUMIFS([1]инфо!$G$15:$G$28,[1]инфо!$A$15:$A$28,F490)</f>
        <v/>
      </c>
      <c r="AO490" s="64">
        <f>IF(H490=0,0,AA490/H490)</f>
        <v/>
      </c>
      <c r="AP490" s="82">
        <f>AO490-AN490</f>
        <v/>
      </c>
      <c r="AQ490" s="81">
        <f>SUMIFS([1]инфо!$H$15:$H$28,[1]инфо!$A$15:$A$28,F490)</f>
        <v/>
      </c>
      <c r="AR490" s="85">
        <f>IF(H489=0,0,AC490/H489)</f>
        <v/>
      </c>
      <c r="AS490" s="82">
        <f>AR490-AQ490</f>
        <v/>
      </c>
      <c r="AT490" s="81">
        <f>SUMIFS([1]инфо!$I$15:$I$28,[1]инфо!$A$15:$A$28,F490)</f>
        <v/>
      </c>
      <c r="AU490" s="62">
        <f>IF(H490=0,0,AD490/H490)</f>
        <v/>
      </c>
      <c r="AV490" s="82">
        <f>AU490-AT490</f>
        <v/>
      </c>
      <c r="AX490" s="80">
        <f>SUMIFS([1]инфо!$C$15:$C$28,[1]инфо!$A$15:$A$28,F490)*H489</f>
        <v/>
      </c>
    </row>
    <row r="491">
      <c r="A491" s="71">
        <f>A489+1</f>
        <v/>
      </c>
      <c r="B491" s="51" t="n"/>
      <c r="C491" s="72" t="n"/>
      <c r="D491" s="73" t="n"/>
      <c r="E491" s="66" t="n"/>
      <c r="F491" s="67" t="n"/>
      <c r="G491" s="74" t="n"/>
      <c r="H491" s="55" t="n"/>
      <c r="I491" s="57">
        <f>IFERROR(H491*VLOOKUP(F491,[1]инфо!$A$15:$C$28,3,FALSE)/1000,0)</f>
        <v/>
      </c>
      <c r="J491" s="55" t="n"/>
      <c r="K491" s="55" t="n"/>
      <c r="L491" s="55" t="n"/>
      <c r="M491" s="55" t="n"/>
      <c r="N491" s="67" t="n"/>
      <c r="O491" s="74" t="n"/>
      <c r="P491" s="74" t="n"/>
      <c r="Q491" s="74" t="n"/>
      <c r="R491" s="74" t="n"/>
      <c r="S491" s="70">
        <f>SUM(O491:R491)</f>
        <v/>
      </c>
      <c r="T491" s="72" t="n"/>
      <c r="U491" s="73" t="n"/>
      <c r="V491" s="74" t="n"/>
      <c r="W491" s="68" t="n"/>
      <c r="X491" s="74" t="n"/>
      <c r="Y491" s="72" t="n"/>
      <c r="Z491" s="74" t="n"/>
      <c r="AA491" s="74" t="n"/>
      <c r="AB491" s="74" t="n"/>
      <c r="AC491" s="68" t="n"/>
      <c r="AD491" s="73" t="n"/>
      <c r="AE491" s="75">
        <f>SUMIFS([1]инфо!$D$15:$D$28,[1]инфо!$A$15:$A$28,F491)</f>
        <v/>
      </c>
      <c r="AF491" s="62">
        <f>IF(H491=0,0,N491/H491)</f>
        <v/>
      </c>
      <c r="AG491" s="76">
        <f>AF491-AE491</f>
        <v/>
      </c>
      <c r="AH491" s="75">
        <f>SUMIFS([1]инфо!$E$15:$E$28,[1]инфо!$A$15:$A$28,F491)</f>
        <v/>
      </c>
      <c r="AI491" s="64">
        <f>IF(H491=0,0,S491/H491)</f>
        <v/>
      </c>
      <c r="AJ491" s="76">
        <f>AI491-AH491</f>
        <v/>
      </c>
      <c r="AK491" s="75">
        <f>SUMIFS([1]инфо!$F$15:$F$28,[1]инфо!$A$15:$A$28,F491)</f>
        <v/>
      </c>
      <c r="AL491" s="64">
        <f>IF(H491=0,0,Y491/H491)</f>
        <v/>
      </c>
      <c r="AM491" s="76">
        <f>AL491-AK491</f>
        <v/>
      </c>
      <c r="AN491" s="75">
        <f>SUMIFS([1]инфо!$G$15:$G$28,[1]инфо!$A$15:$A$28,F491)</f>
        <v/>
      </c>
      <c r="AO491" s="64">
        <f>IF(H491=0,0,AA491/H491)</f>
        <v/>
      </c>
      <c r="AP491" s="76">
        <f>AO491-AN491</f>
        <v/>
      </c>
      <c r="AQ491" s="75">
        <f>SUMIFS([1]инфо!$H$15:$H$28,[1]инфо!$A$15:$A$28,F491)</f>
        <v/>
      </c>
      <c r="AR491" s="64">
        <f>IF(H490=0,0,AC491/H490)</f>
        <v/>
      </c>
      <c r="AS491" s="76">
        <f>AR491-AQ491</f>
        <v/>
      </c>
      <c r="AT491" s="75">
        <f>SUMIFS([1]инфо!$I$15:$I$28,[1]инфо!$A$15:$A$28,F491)</f>
        <v/>
      </c>
      <c r="AU491" s="62">
        <f>IF(H491=0,0,AD491/H491)</f>
        <v/>
      </c>
      <c r="AV491" s="76">
        <f>AU491-AT491</f>
        <v/>
      </c>
      <c r="AX491" s="70">
        <f>SUMIFS([1]инфо!$C$15:$C$28,[1]инфо!$A$15:$A$28,F491)*H490</f>
        <v/>
      </c>
    </row>
    <row r="492">
      <c r="A492" s="71">
        <f>A490+1</f>
        <v/>
      </c>
      <c r="B492" s="51" t="n"/>
      <c r="C492" s="52" t="n"/>
      <c r="D492" s="53" t="n"/>
      <c r="E492" s="66" t="n"/>
      <c r="F492" s="67" t="n"/>
      <c r="G492" s="58" t="n"/>
      <c r="H492" s="55" t="n"/>
      <c r="I492" s="57">
        <f>IFERROR(H492*VLOOKUP(F492,[1]инфо!$A$15:$C$28,3,FALSE)/1000,0)</f>
        <v/>
      </c>
      <c r="J492" s="55" t="n"/>
      <c r="K492" s="55" t="n"/>
      <c r="L492" s="55" t="n"/>
      <c r="M492" s="55" t="n"/>
      <c r="N492" s="55" t="n"/>
      <c r="O492" s="58" t="n"/>
      <c r="P492" s="58" t="n"/>
      <c r="Q492" s="58" t="n"/>
      <c r="R492" s="58" t="n"/>
      <c r="S492" s="59">
        <f>SUM(O492:R492)</f>
        <v/>
      </c>
      <c r="T492" s="52" t="n"/>
      <c r="U492" s="53" t="n"/>
      <c r="V492" s="58" t="n"/>
      <c r="W492" s="68" t="n"/>
      <c r="X492" s="58" t="n"/>
      <c r="Y492" s="52" t="n"/>
      <c r="Z492" s="58" t="n"/>
      <c r="AA492" s="58" t="n"/>
      <c r="AB492" s="58" t="n"/>
      <c r="AC492" s="68" t="n"/>
      <c r="AD492" s="53" t="n"/>
      <c r="AE492" s="61">
        <f>SUMIFS([1]инфо!$D$15:$D$28,[1]инфо!$A$15:$A$28,F492)</f>
        <v/>
      </c>
      <c r="AF492" s="62">
        <f>IF(H492=0,0,N492/H492)</f>
        <v/>
      </c>
      <c r="AG492" s="63">
        <f>AF492-AE492</f>
        <v/>
      </c>
      <c r="AH492" s="61">
        <f>SUMIFS([1]инфо!$E$15:$E$28,[1]инфо!$A$15:$A$28,F492)</f>
        <v/>
      </c>
      <c r="AI492" s="64">
        <f>IF(H492=0,0,S492/H492)</f>
        <v/>
      </c>
      <c r="AJ492" s="63">
        <f>AI492-AH492</f>
        <v/>
      </c>
      <c r="AK492" s="61">
        <f>SUMIFS([1]инфо!$F$15:$F$28,[1]инфо!$A$15:$A$28,F492)</f>
        <v/>
      </c>
      <c r="AL492" s="64">
        <f>IF(H492=0,0,Y492/H492)</f>
        <v/>
      </c>
      <c r="AM492" s="63">
        <f>AL492-AK492</f>
        <v/>
      </c>
      <c r="AN492" s="61">
        <f>SUMIFS([1]инфо!$G$15:$G$28,[1]инфо!$A$15:$A$28,F492)</f>
        <v/>
      </c>
      <c r="AO492" s="64">
        <f>IF(H492=0,0,AA492/H492)</f>
        <v/>
      </c>
      <c r="AP492" s="63">
        <f>AO492-AN492</f>
        <v/>
      </c>
      <c r="AQ492" s="61">
        <f>SUMIFS([1]инфо!$H$15:$H$28,[1]инфо!$A$15:$A$28,F492)</f>
        <v/>
      </c>
      <c r="AR492" s="62">
        <f>IF(H491=0,0,AC492/H491)</f>
        <v/>
      </c>
      <c r="AS492" s="63">
        <f>AR492-AQ492</f>
        <v/>
      </c>
      <c r="AT492" s="61">
        <f>SUMIFS([1]инфо!$I$15:$I$28,[1]инфо!$A$15:$A$28,F492)</f>
        <v/>
      </c>
      <c r="AU492" s="62">
        <f>IF(H492=0,0,AD492/H492)</f>
        <v/>
      </c>
      <c r="AV492" s="63">
        <f>AU492-AT492</f>
        <v/>
      </c>
      <c r="AX492" s="59">
        <f>SUMIFS([1]инфо!$C$15:$C$28,[1]инфо!$A$15:$A$28,F492)*H491</f>
        <v/>
      </c>
    </row>
    <row r="493">
      <c r="A493" s="71">
        <f>A491+1</f>
        <v/>
      </c>
      <c r="B493" s="51" t="n"/>
      <c r="C493" s="52" t="n"/>
      <c r="D493" s="53" t="n"/>
      <c r="E493" s="66" t="n"/>
      <c r="F493" s="67" t="n"/>
      <c r="G493" s="58" t="n"/>
      <c r="H493" s="56" t="n"/>
      <c r="I493" s="57">
        <f>IFERROR(H493*VLOOKUP(F493,[1]инфо!$A$15:$C$28,3,FALSE)/1000,0)</f>
        <v/>
      </c>
      <c r="J493" s="55" t="n"/>
      <c r="K493" s="55" t="n"/>
      <c r="L493" s="55" t="n"/>
      <c r="M493" s="55" t="n"/>
      <c r="N493" s="55" t="n"/>
      <c r="O493" s="58" t="n"/>
      <c r="P493" s="58" t="n"/>
      <c r="Q493" s="58" t="n"/>
      <c r="R493" s="58" t="n"/>
      <c r="S493" s="59">
        <f>SUM(O493:R493)</f>
        <v/>
      </c>
      <c r="T493" s="52" t="n"/>
      <c r="U493" s="53" t="n"/>
      <c r="V493" s="58" t="n"/>
      <c r="W493" s="68" t="n"/>
      <c r="X493" s="58" t="n"/>
      <c r="Y493" s="52" t="n"/>
      <c r="Z493" s="58" t="n"/>
      <c r="AA493" s="58" t="n"/>
      <c r="AB493" s="58" t="n"/>
      <c r="AC493" s="68" t="n"/>
      <c r="AD493" s="53" t="n"/>
      <c r="AE493" s="61">
        <f>SUMIFS([1]инфо!$D$15:$D$28,[1]инфо!$A$15:$A$28,F493)</f>
        <v/>
      </c>
      <c r="AF493" s="62">
        <f>IF(H493=0,0,N493/H493)</f>
        <v/>
      </c>
      <c r="AG493" s="63">
        <f>AF493-AE493</f>
        <v/>
      </c>
      <c r="AH493" s="61">
        <f>SUMIFS([1]инфо!$E$15:$E$28,[1]инфо!$A$15:$A$28,F493)</f>
        <v/>
      </c>
      <c r="AI493" s="64">
        <f>IF(H493=0,0,S493/H493)</f>
        <v/>
      </c>
      <c r="AJ493" s="63">
        <f>AI493-AH493</f>
        <v/>
      </c>
      <c r="AK493" s="61">
        <f>SUMIFS([1]инфо!$F$15:$F$28,[1]инфо!$A$15:$A$28,F493)</f>
        <v/>
      </c>
      <c r="AL493" s="64">
        <f>IF(H493=0,0,Y493/H493)</f>
        <v/>
      </c>
      <c r="AM493" s="63">
        <f>AL493-AK493</f>
        <v/>
      </c>
      <c r="AN493" s="61">
        <f>SUMIFS([1]инфо!$G$15:$G$28,[1]инфо!$A$15:$A$28,F493)</f>
        <v/>
      </c>
      <c r="AO493" s="64">
        <f>IF(H493=0,0,AA493/H493)</f>
        <v/>
      </c>
      <c r="AP493" s="63">
        <f>AO493-AN493</f>
        <v/>
      </c>
      <c r="AQ493" s="61">
        <f>SUMIFS([1]инфо!$H$15:$H$28,[1]инфо!$A$15:$A$28,F493)</f>
        <v/>
      </c>
      <c r="AR493" s="62">
        <f>IF(H492=0,0,AC493/H492)</f>
        <v/>
      </c>
      <c r="AS493" s="63">
        <f>AR493-AQ493</f>
        <v/>
      </c>
      <c r="AT493" s="61">
        <f>SUMIFS([1]инфо!$I$15:$I$28,[1]инфо!$A$15:$A$28,F493)</f>
        <v/>
      </c>
      <c r="AU493" s="62">
        <f>IF(H493=0,0,AD493/H493)</f>
        <v/>
      </c>
      <c r="AV493" s="63">
        <f>AU493-AT493</f>
        <v/>
      </c>
      <c r="AX493" s="59">
        <f>SUMIFS([1]инфо!$C$15:$C$28,[1]инфо!$A$15:$A$28,F493)*H492</f>
        <v/>
      </c>
    </row>
    <row r="494">
      <c r="A494" s="71">
        <f>A492+1</f>
        <v/>
      </c>
      <c r="B494" s="51" t="n"/>
      <c r="C494" s="77" t="n"/>
      <c r="D494" s="78" t="n"/>
      <c r="E494" s="66" t="n"/>
      <c r="F494" s="67" t="n"/>
      <c r="G494" s="79" t="n"/>
      <c r="H494" s="67" t="n"/>
      <c r="I494" s="57">
        <f>IFERROR(H494*VLOOKUP(F494,[1]инфо!$A$15:$C$28,3,FALSE)/1000,0)</f>
        <v/>
      </c>
      <c r="J494" s="55" t="n"/>
      <c r="K494" s="55" t="n"/>
      <c r="L494" s="55" t="n"/>
      <c r="M494" s="55" t="n"/>
      <c r="N494" s="56" t="n"/>
      <c r="O494" s="79" t="n"/>
      <c r="P494" s="79" t="n"/>
      <c r="Q494" s="79" t="n"/>
      <c r="R494" s="79" t="n"/>
      <c r="S494" s="80">
        <f>SUM(O494:R494)</f>
        <v/>
      </c>
      <c r="T494" s="77" t="n"/>
      <c r="U494" s="78" t="n"/>
      <c r="V494" s="79" t="n"/>
      <c r="W494" s="68" t="n"/>
      <c r="X494" s="79" t="n"/>
      <c r="Y494" s="77" t="n"/>
      <c r="Z494" s="79" t="n"/>
      <c r="AA494" s="79" t="n"/>
      <c r="AB494" s="79" t="n"/>
      <c r="AC494" s="68" t="n"/>
      <c r="AD494" s="78" t="n"/>
      <c r="AE494" s="81">
        <f>SUMIFS([1]инфо!$D$15:$D$28,[1]инфо!$A$15:$A$28,F494)</f>
        <v/>
      </c>
      <c r="AF494" s="62">
        <f>IF(H494=0,0,N494/H494)</f>
        <v/>
      </c>
      <c r="AG494" s="82">
        <f>AF494-AE494</f>
        <v/>
      </c>
      <c r="AH494" s="81">
        <f>SUMIFS([1]инфо!$E$15:$E$28,[1]инфо!$A$15:$A$28,F494)</f>
        <v/>
      </c>
      <c r="AI494" s="64">
        <f>IF(H494=0,0,S494/H494)</f>
        <v/>
      </c>
      <c r="AJ494" s="82">
        <f>AI494-AH494</f>
        <v/>
      </c>
      <c r="AK494" s="81">
        <f>SUMIFS([1]инфо!$F$15:$F$28,[1]инфо!$A$15:$A$28,F494)</f>
        <v/>
      </c>
      <c r="AL494" s="64">
        <f>IF(H494=0,0,Y494/H494)</f>
        <v/>
      </c>
      <c r="AM494" s="82">
        <f>AL494-AK494</f>
        <v/>
      </c>
      <c r="AN494" s="81">
        <f>SUMIFS([1]инфо!$G$15:$G$28,[1]инфо!$A$15:$A$28,F494)</f>
        <v/>
      </c>
      <c r="AO494" s="64">
        <f>IF(H494=0,0,AA494/H494)</f>
        <v/>
      </c>
      <c r="AP494" s="82">
        <f>AO494-AN494</f>
        <v/>
      </c>
      <c r="AQ494" s="81">
        <f>SUMIFS([1]инфо!$H$15:$H$28,[1]инфо!$A$15:$A$28,F494)</f>
        <v/>
      </c>
      <c r="AR494" s="85">
        <f>IF(H493=0,0,AC494/H493)</f>
        <v/>
      </c>
      <c r="AS494" s="82">
        <f>AR494-AQ494</f>
        <v/>
      </c>
      <c r="AT494" s="81">
        <f>SUMIFS([1]инфо!$I$15:$I$28,[1]инфо!$A$15:$A$28,F494)</f>
        <v/>
      </c>
      <c r="AU494" s="62">
        <f>IF(H494=0,0,AD494/H494)</f>
        <v/>
      </c>
      <c r="AV494" s="82">
        <f>AU494-AT494</f>
        <v/>
      </c>
      <c r="AX494" s="80">
        <f>SUMIFS([1]инфо!$C$15:$C$28,[1]инфо!$A$15:$A$28,F494)*H493</f>
        <v/>
      </c>
    </row>
    <row r="495">
      <c r="A495" s="71">
        <f>A493+1</f>
        <v/>
      </c>
      <c r="B495" s="51" t="n"/>
      <c r="C495" s="72" t="n"/>
      <c r="D495" s="73" t="n"/>
      <c r="E495" s="66" t="n"/>
      <c r="F495" s="67" t="n"/>
      <c r="G495" s="74" t="n"/>
      <c r="H495" s="55" t="n"/>
      <c r="I495" s="57">
        <f>IFERROR(H495*VLOOKUP(F495,[1]инфо!$A$15:$C$28,3,FALSE)/1000,0)</f>
        <v/>
      </c>
      <c r="J495" s="55" t="n"/>
      <c r="K495" s="55" t="n"/>
      <c r="L495" s="55" t="n"/>
      <c r="M495" s="55" t="n"/>
      <c r="N495" s="67" t="n"/>
      <c r="O495" s="74" t="n"/>
      <c r="P495" s="74" t="n"/>
      <c r="Q495" s="74" t="n"/>
      <c r="R495" s="74" t="n"/>
      <c r="S495" s="70">
        <f>SUM(O495:R495)</f>
        <v/>
      </c>
      <c r="T495" s="72" t="n"/>
      <c r="U495" s="73" t="n"/>
      <c r="V495" s="74" t="n"/>
      <c r="W495" s="68" t="n"/>
      <c r="X495" s="74" t="n"/>
      <c r="Y495" s="72" t="n"/>
      <c r="Z495" s="74" t="n"/>
      <c r="AA495" s="74" t="n"/>
      <c r="AB495" s="74" t="n"/>
      <c r="AC495" s="68" t="n"/>
      <c r="AD495" s="73" t="n"/>
      <c r="AE495" s="75">
        <f>SUMIFS([1]инфо!$D$15:$D$28,[1]инфо!$A$15:$A$28,F495)</f>
        <v/>
      </c>
      <c r="AF495" s="62">
        <f>IF(H495=0,0,N495/H495)</f>
        <v/>
      </c>
      <c r="AG495" s="76">
        <f>AF495-AE495</f>
        <v/>
      </c>
      <c r="AH495" s="75">
        <f>SUMIFS([1]инфо!$E$15:$E$28,[1]инфо!$A$15:$A$28,F495)</f>
        <v/>
      </c>
      <c r="AI495" s="64">
        <f>IF(H495=0,0,S495/H495)</f>
        <v/>
      </c>
      <c r="AJ495" s="76">
        <f>AI495-AH495</f>
        <v/>
      </c>
      <c r="AK495" s="75">
        <f>SUMIFS([1]инфо!$F$15:$F$28,[1]инфо!$A$15:$A$28,F495)</f>
        <v/>
      </c>
      <c r="AL495" s="64">
        <f>IF(H495=0,0,Y495/H495)</f>
        <v/>
      </c>
      <c r="AM495" s="76">
        <f>AL495-AK495</f>
        <v/>
      </c>
      <c r="AN495" s="75">
        <f>SUMIFS([1]инфо!$G$15:$G$28,[1]инфо!$A$15:$A$28,F495)</f>
        <v/>
      </c>
      <c r="AO495" s="64">
        <f>IF(H495=0,0,AA495/H495)</f>
        <v/>
      </c>
      <c r="AP495" s="76">
        <f>AO495-AN495</f>
        <v/>
      </c>
      <c r="AQ495" s="75">
        <f>SUMIFS([1]инфо!$H$15:$H$28,[1]инфо!$A$15:$A$28,F495)</f>
        <v/>
      </c>
      <c r="AR495" s="64">
        <f>IF(H494=0,0,AC495/H494)</f>
        <v/>
      </c>
      <c r="AS495" s="76">
        <f>AR495-AQ495</f>
        <v/>
      </c>
      <c r="AT495" s="75">
        <f>SUMIFS([1]инфо!$I$15:$I$28,[1]инфо!$A$15:$A$28,F495)</f>
        <v/>
      </c>
      <c r="AU495" s="62">
        <f>IF(H495=0,0,AD495/H495)</f>
        <v/>
      </c>
      <c r="AV495" s="76">
        <f>AU495-AT495</f>
        <v/>
      </c>
      <c r="AX495" s="70">
        <f>SUMIFS([1]инфо!$C$15:$C$28,[1]инфо!$A$15:$A$28,F495)*H494</f>
        <v/>
      </c>
    </row>
    <row r="496">
      <c r="A496" s="71">
        <f>A494+1</f>
        <v/>
      </c>
      <c r="B496" s="51" t="n"/>
      <c r="C496" s="52" t="n"/>
      <c r="D496" s="53" t="n"/>
      <c r="E496" s="66" t="n"/>
      <c r="F496" s="67" t="n"/>
      <c r="G496" s="58" t="n"/>
      <c r="H496" s="55" t="n"/>
      <c r="I496" s="57">
        <f>IFERROR(H496*VLOOKUP(F496,[1]инфо!$A$15:$C$28,3,FALSE)/1000,0)</f>
        <v/>
      </c>
      <c r="J496" s="55" t="n"/>
      <c r="K496" s="55" t="n"/>
      <c r="L496" s="55" t="n"/>
      <c r="M496" s="55" t="n"/>
      <c r="N496" s="55" t="n"/>
      <c r="O496" s="58" t="n"/>
      <c r="P496" s="58" t="n"/>
      <c r="Q496" s="58" t="n"/>
      <c r="R496" s="58" t="n"/>
      <c r="S496" s="59">
        <f>SUM(O496:R496)</f>
        <v/>
      </c>
      <c r="T496" s="52" t="n"/>
      <c r="U496" s="53" t="n"/>
      <c r="V496" s="58" t="n"/>
      <c r="W496" s="68" t="n"/>
      <c r="X496" s="58" t="n"/>
      <c r="Y496" s="52" t="n"/>
      <c r="Z496" s="58" t="n"/>
      <c r="AA496" s="58" t="n"/>
      <c r="AB496" s="58" t="n"/>
      <c r="AC496" s="68" t="n"/>
      <c r="AD496" s="53" t="n"/>
      <c r="AE496" s="61">
        <f>SUMIFS([1]инфо!$D$15:$D$28,[1]инфо!$A$15:$A$28,F496)</f>
        <v/>
      </c>
      <c r="AF496" s="62">
        <f>IF(H496=0,0,N496/H496)</f>
        <v/>
      </c>
      <c r="AG496" s="63">
        <f>AF496-AE496</f>
        <v/>
      </c>
      <c r="AH496" s="61">
        <f>SUMIFS([1]инфо!$E$15:$E$28,[1]инфо!$A$15:$A$28,F496)</f>
        <v/>
      </c>
      <c r="AI496" s="64">
        <f>IF(H496=0,0,S496/H496)</f>
        <v/>
      </c>
      <c r="AJ496" s="63">
        <f>AI496-AH496</f>
        <v/>
      </c>
      <c r="AK496" s="61">
        <f>SUMIFS([1]инфо!$F$15:$F$28,[1]инфо!$A$15:$A$28,F496)</f>
        <v/>
      </c>
      <c r="AL496" s="64">
        <f>IF(H496=0,0,Y496/H496)</f>
        <v/>
      </c>
      <c r="AM496" s="63">
        <f>AL496-AK496</f>
        <v/>
      </c>
      <c r="AN496" s="61">
        <f>SUMIFS([1]инфо!$G$15:$G$28,[1]инфо!$A$15:$A$28,F496)</f>
        <v/>
      </c>
      <c r="AO496" s="64">
        <f>IF(H496=0,0,AA496/H496)</f>
        <v/>
      </c>
      <c r="AP496" s="63">
        <f>AO496-AN496</f>
        <v/>
      </c>
      <c r="AQ496" s="61">
        <f>SUMIFS([1]инфо!$H$15:$H$28,[1]инфо!$A$15:$A$28,F496)</f>
        <v/>
      </c>
      <c r="AR496" s="62">
        <f>IF(H495=0,0,AC496/H495)</f>
        <v/>
      </c>
      <c r="AS496" s="63">
        <f>AR496-AQ496</f>
        <v/>
      </c>
      <c r="AT496" s="61">
        <f>SUMIFS([1]инфо!$I$15:$I$28,[1]инфо!$A$15:$A$28,F496)</f>
        <v/>
      </c>
      <c r="AU496" s="62">
        <f>IF(H496=0,0,AD496/H496)</f>
        <v/>
      </c>
      <c r="AV496" s="63">
        <f>AU496-AT496</f>
        <v/>
      </c>
      <c r="AX496" s="59">
        <f>SUMIFS([1]инфо!$C$15:$C$28,[1]инфо!$A$15:$A$28,F496)*H495</f>
        <v/>
      </c>
    </row>
    <row r="497">
      <c r="A497" s="71">
        <f>A495+1</f>
        <v/>
      </c>
      <c r="B497" s="51" t="n"/>
      <c r="C497" s="52" t="n"/>
      <c r="D497" s="53" t="n"/>
      <c r="E497" s="66" t="n"/>
      <c r="F497" s="67" t="n"/>
      <c r="G497" s="58" t="n"/>
      <c r="H497" s="56" t="n"/>
      <c r="I497" s="57">
        <f>IFERROR(H497*VLOOKUP(F497,[1]инфо!$A$15:$C$28,3,FALSE)/1000,0)</f>
        <v/>
      </c>
      <c r="J497" s="55" t="n"/>
      <c r="K497" s="55" t="n"/>
      <c r="L497" s="55" t="n"/>
      <c r="M497" s="55" t="n"/>
      <c r="N497" s="55" t="n"/>
      <c r="O497" s="58" t="n"/>
      <c r="P497" s="58" t="n"/>
      <c r="Q497" s="58" t="n"/>
      <c r="R497" s="58" t="n"/>
      <c r="S497" s="59">
        <f>SUM(O497:R497)</f>
        <v/>
      </c>
      <c r="T497" s="52" t="n"/>
      <c r="U497" s="53" t="n"/>
      <c r="V497" s="58" t="n"/>
      <c r="W497" s="68" t="n"/>
      <c r="X497" s="58" t="n"/>
      <c r="Y497" s="52" t="n"/>
      <c r="Z497" s="58" t="n"/>
      <c r="AA497" s="58" t="n"/>
      <c r="AB497" s="58" t="n"/>
      <c r="AC497" s="68" t="n"/>
      <c r="AD497" s="53" t="n"/>
      <c r="AE497" s="61">
        <f>SUMIFS([1]инфо!$D$15:$D$28,[1]инфо!$A$15:$A$28,F497)</f>
        <v/>
      </c>
      <c r="AF497" s="62">
        <f>IF(H497=0,0,N497/H497)</f>
        <v/>
      </c>
      <c r="AG497" s="63">
        <f>AF497-AE497</f>
        <v/>
      </c>
      <c r="AH497" s="61">
        <f>SUMIFS([1]инфо!$E$15:$E$28,[1]инфо!$A$15:$A$28,F497)</f>
        <v/>
      </c>
      <c r="AI497" s="64">
        <f>IF(H497=0,0,S497/H497)</f>
        <v/>
      </c>
      <c r="AJ497" s="63">
        <f>AI497-AH497</f>
        <v/>
      </c>
      <c r="AK497" s="61">
        <f>SUMIFS([1]инфо!$F$15:$F$28,[1]инфо!$A$15:$A$28,F497)</f>
        <v/>
      </c>
      <c r="AL497" s="64">
        <f>IF(H497=0,0,Y497/H497)</f>
        <v/>
      </c>
      <c r="AM497" s="63">
        <f>AL497-AK497</f>
        <v/>
      </c>
      <c r="AN497" s="61">
        <f>SUMIFS([1]инфо!$G$15:$G$28,[1]инфо!$A$15:$A$28,F497)</f>
        <v/>
      </c>
      <c r="AO497" s="64">
        <f>IF(H497=0,0,AA497/H497)</f>
        <v/>
      </c>
      <c r="AP497" s="63">
        <f>AO497-AN497</f>
        <v/>
      </c>
      <c r="AQ497" s="61">
        <f>SUMIFS([1]инфо!$H$15:$H$28,[1]инфо!$A$15:$A$28,F497)</f>
        <v/>
      </c>
      <c r="AR497" s="62">
        <f>IF(H496=0,0,AC497/H496)</f>
        <v/>
      </c>
      <c r="AS497" s="63">
        <f>AR497-AQ497</f>
        <v/>
      </c>
      <c r="AT497" s="61">
        <f>SUMIFS([1]инфо!$I$15:$I$28,[1]инфо!$A$15:$A$28,F497)</f>
        <v/>
      </c>
      <c r="AU497" s="62">
        <f>IF(H497=0,0,AD497/H497)</f>
        <v/>
      </c>
      <c r="AV497" s="63">
        <f>AU497-AT497</f>
        <v/>
      </c>
      <c r="AX497" s="59">
        <f>SUMIFS([1]инфо!$C$15:$C$28,[1]инфо!$A$15:$A$28,F497)*H496</f>
        <v/>
      </c>
    </row>
    <row r="498">
      <c r="A498" s="71">
        <f>A496+1</f>
        <v/>
      </c>
      <c r="B498" s="51" t="n"/>
      <c r="C498" s="77" t="n"/>
      <c r="D498" s="78" t="n"/>
      <c r="E498" s="66" t="n"/>
      <c r="F498" s="67" t="n"/>
      <c r="G498" s="79" t="n"/>
      <c r="H498" s="67" t="n"/>
      <c r="I498" s="57">
        <f>IFERROR(H498*VLOOKUP(F498,[1]инфо!$A$15:$C$28,3,FALSE)/1000,0)</f>
        <v/>
      </c>
      <c r="J498" s="55" t="n"/>
      <c r="K498" s="55" t="n"/>
      <c r="L498" s="55" t="n"/>
      <c r="M498" s="55" t="n"/>
      <c r="N498" s="56" t="n"/>
      <c r="O498" s="79" t="n"/>
      <c r="P498" s="79" t="n"/>
      <c r="Q498" s="79" t="n"/>
      <c r="R498" s="79" t="n"/>
      <c r="S498" s="80">
        <f>SUM(O498:R498)</f>
        <v/>
      </c>
      <c r="T498" s="77" t="n"/>
      <c r="U498" s="78" t="n"/>
      <c r="V498" s="79" t="n"/>
      <c r="W498" s="68" t="n"/>
      <c r="X498" s="79" t="n"/>
      <c r="Y498" s="77" t="n"/>
      <c r="Z498" s="79" t="n"/>
      <c r="AA498" s="79" t="n"/>
      <c r="AB498" s="79" t="n"/>
      <c r="AC498" s="68" t="n"/>
      <c r="AD498" s="78" t="n"/>
      <c r="AE498" s="81">
        <f>SUMIFS([1]инфо!$D$15:$D$28,[1]инфо!$A$15:$A$28,F498)</f>
        <v/>
      </c>
      <c r="AF498" s="62">
        <f>IF(H498=0,0,N498/H498)</f>
        <v/>
      </c>
      <c r="AG498" s="82">
        <f>AF498-AE498</f>
        <v/>
      </c>
      <c r="AH498" s="81">
        <f>SUMIFS([1]инфо!$E$15:$E$28,[1]инфо!$A$15:$A$28,F498)</f>
        <v/>
      </c>
      <c r="AI498" s="64">
        <f>IF(H498=0,0,S498/H498)</f>
        <v/>
      </c>
      <c r="AJ498" s="82">
        <f>AI498-AH498</f>
        <v/>
      </c>
      <c r="AK498" s="81">
        <f>SUMIFS([1]инфо!$F$15:$F$28,[1]инфо!$A$15:$A$28,F498)</f>
        <v/>
      </c>
      <c r="AL498" s="64">
        <f>IF(H498=0,0,Y498/H498)</f>
        <v/>
      </c>
      <c r="AM498" s="82">
        <f>AL498-AK498</f>
        <v/>
      </c>
      <c r="AN498" s="81">
        <f>SUMIFS([1]инфо!$G$15:$G$28,[1]инфо!$A$15:$A$28,F498)</f>
        <v/>
      </c>
      <c r="AO498" s="64">
        <f>IF(H498=0,0,AA498/H498)</f>
        <v/>
      </c>
      <c r="AP498" s="82">
        <f>AO498-AN498</f>
        <v/>
      </c>
      <c r="AQ498" s="81">
        <f>SUMIFS([1]инфо!$H$15:$H$28,[1]инфо!$A$15:$A$28,F498)</f>
        <v/>
      </c>
      <c r="AR498" s="85">
        <f>IF(H497=0,0,AC498/H497)</f>
        <v/>
      </c>
      <c r="AS498" s="82">
        <f>AR498-AQ498</f>
        <v/>
      </c>
      <c r="AT498" s="81">
        <f>SUMIFS([1]инфо!$I$15:$I$28,[1]инфо!$A$15:$A$28,F498)</f>
        <v/>
      </c>
      <c r="AU498" s="62">
        <f>IF(H498=0,0,AD498/H498)</f>
        <v/>
      </c>
      <c r="AV498" s="82">
        <f>AU498-AT498</f>
        <v/>
      </c>
      <c r="AX498" s="80">
        <f>SUMIFS([1]инфо!$C$15:$C$28,[1]инфо!$A$15:$A$28,F498)*H497</f>
        <v/>
      </c>
    </row>
    <row r="499">
      <c r="A499" s="71">
        <f>A497+1</f>
        <v/>
      </c>
      <c r="B499" s="51" t="n"/>
      <c r="C499" s="72" t="n"/>
      <c r="D499" s="73" t="n"/>
      <c r="E499" s="66" t="n"/>
      <c r="F499" s="67" t="n"/>
      <c r="G499" s="74" t="n"/>
      <c r="H499" s="55" t="n"/>
      <c r="I499" s="57">
        <f>IFERROR(H499*VLOOKUP(F499,[1]инфо!$A$15:$C$28,3,FALSE)/1000,0)</f>
        <v/>
      </c>
      <c r="J499" s="55" t="n"/>
      <c r="K499" s="55" t="n"/>
      <c r="L499" s="55" t="n"/>
      <c r="M499" s="55" t="n"/>
      <c r="N499" s="67" t="n"/>
      <c r="O499" s="74" t="n"/>
      <c r="P499" s="74" t="n"/>
      <c r="Q499" s="74" t="n"/>
      <c r="R499" s="74" t="n"/>
      <c r="S499" s="70">
        <f>SUM(O499:R499)</f>
        <v/>
      </c>
      <c r="T499" s="72" t="n"/>
      <c r="U499" s="73" t="n"/>
      <c r="V499" s="74" t="n"/>
      <c r="W499" s="68" t="n"/>
      <c r="X499" s="74" t="n"/>
      <c r="Y499" s="72" t="n"/>
      <c r="Z499" s="74" t="n"/>
      <c r="AA499" s="74" t="n"/>
      <c r="AB499" s="74" t="n"/>
      <c r="AC499" s="68" t="n"/>
      <c r="AD499" s="73" t="n"/>
      <c r="AE499" s="75">
        <f>SUMIFS([1]инфо!$D$15:$D$28,[1]инфо!$A$15:$A$28,F499)</f>
        <v/>
      </c>
      <c r="AF499" s="62">
        <f>IF(H499=0,0,N499/H499)</f>
        <v/>
      </c>
      <c r="AG499" s="76">
        <f>AF499-AE499</f>
        <v/>
      </c>
      <c r="AH499" s="75">
        <f>SUMIFS([1]инфо!$E$15:$E$28,[1]инфо!$A$15:$A$28,F499)</f>
        <v/>
      </c>
      <c r="AI499" s="64">
        <f>IF(H499=0,0,S499/H499)</f>
        <v/>
      </c>
      <c r="AJ499" s="76">
        <f>AI499-AH499</f>
        <v/>
      </c>
      <c r="AK499" s="75">
        <f>SUMIFS([1]инфо!$F$15:$F$28,[1]инфо!$A$15:$A$28,F499)</f>
        <v/>
      </c>
      <c r="AL499" s="64">
        <f>IF(H499=0,0,Y499/H499)</f>
        <v/>
      </c>
      <c r="AM499" s="76">
        <f>AL499-AK499</f>
        <v/>
      </c>
      <c r="AN499" s="75">
        <f>SUMIFS([1]инфо!$G$15:$G$28,[1]инфо!$A$15:$A$28,F499)</f>
        <v/>
      </c>
      <c r="AO499" s="64">
        <f>IF(H499=0,0,AA499/H499)</f>
        <v/>
      </c>
      <c r="AP499" s="76">
        <f>AO499-AN499</f>
        <v/>
      </c>
      <c r="AQ499" s="75">
        <f>SUMIFS([1]инфо!$H$15:$H$28,[1]инфо!$A$15:$A$28,F499)</f>
        <v/>
      </c>
      <c r="AR499" s="64">
        <f>IF(H498=0,0,AC499/H498)</f>
        <v/>
      </c>
      <c r="AS499" s="76">
        <f>AR499-AQ499</f>
        <v/>
      </c>
      <c r="AT499" s="75">
        <f>SUMIFS([1]инфо!$I$15:$I$28,[1]инфо!$A$15:$A$28,F499)</f>
        <v/>
      </c>
      <c r="AU499" s="62">
        <f>IF(H499=0,0,AD499/H499)</f>
        <v/>
      </c>
      <c r="AV499" s="76">
        <f>AU499-AT499</f>
        <v/>
      </c>
      <c r="AX499" s="70">
        <f>SUMIFS([1]инфо!$C$15:$C$28,[1]инфо!$A$15:$A$28,F499)*H498</f>
        <v/>
      </c>
    </row>
    <row r="500">
      <c r="A500" s="71">
        <f>A498+1</f>
        <v/>
      </c>
      <c r="B500" s="51" t="n"/>
      <c r="C500" s="52" t="n"/>
      <c r="D500" s="53" t="n"/>
      <c r="E500" s="66" t="n"/>
      <c r="F500" s="67" t="n"/>
      <c r="G500" s="58" t="n"/>
      <c r="H500" s="55" t="n"/>
      <c r="I500" s="57">
        <f>IFERROR(H500*VLOOKUP(F500,[1]инфо!$A$15:$C$28,3,FALSE)/1000,0)</f>
        <v/>
      </c>
      <c r="J500" s="55" t="n"/>
      <c r="K500" s="55" t="n"/>
      <c r="L500" s="55" t="n"/>
      <c r="M500" s="55" t="n"/>
      <c r="N500" s="55" t="n"/>
      <c r="O500" s="58" t="n"/>
      <c r="P500" s="58" t="n"/>
      <c r="Q500" s="58" t="n"/>
      <c r="R500" s="58" t="n"/>
      <c r="S500" s="59">
        <f>SUM(O500:R500)</f>
        <v/>
      </c>
      <c r="T500" s="52" t="n"/>
      <c r="U500" s="53" t="n"/>
      <c r="V500" s="58" t="n"/>
      <c r="W500" s="68" t="n"/>
      <c r="X500" s="58" t="n"/>
      <c r="Y500" s="52" t="n"/>
      <c r="Z500" s="58" t="n"/>
      <c r="AA500" s="58" t="n"/>
      <c r="AB500" s="58" t="n"/>
      <c r="AC500" s="68" t="n"/>
      <c r="AD500" s="53" t="n"/>
      <c r="AE500" s="61">
        <f>SUMIFS([1]инфо!$D$15:$D$28,[1]инфо!$A$15:$A$28,F500)</f>
        <v/>
      </c>
      <c r="AF500" s="62">
        <f>IF(H500=0,0,N500/H500)</f>
        <v/>
      </c>
      <c r="AG500" s="63">
        <f>AF500-AE500</f>
        <v/>
      </c>
      <c r="AH500" s="61">
        <f>SUMIFS([1]инфо!$E$15:$E$28,[1]инфо!$A$15:$A$28,F500)</f>
        <v/>
      </c>
      <c r="AI500" s="64">
        <f>IF(H500=0,0,S500/H500)</f>
        <v/>
      </c>
      <c r="AJ500" s="63">
        <f>AI500-AH500</f>
        <v/>
      </c>
      <c r="AK500" s="61">
        <f>SUMIFS([1]инфо!$F$15:$F$28,[1]инфо!$A$15:$A$28,F500)</f>
        <v/>
      </c>
      <c r="AL500" s="64">
        <f>IF(H500=0,0,Y500/H500)</f>
        <v/>
      </c>
      <c r="AM500" s="63">
        <f>AL500-AK500</f>
        <v/>
      </c>
      <c r="AN500" s="61">
        <f>SUMIFS([1]инфо!$G$15:$G$28,[1]инфо!$A$15:$A$28,F500)</f>
        <v/>
      </c>
      <c r="AO500" s="64">
        <f>IF(H500=0,0,AA500/H500)</f>
        <v/>
      </c>
      <c r="AP500" s="63">
        <f>AO500-AN500</f>
        <v/>
      </c>
      <c r="AQ500" s="61">
        <f>SUMIFS([1]инфо!$H$15:$H$28,[1]инфо!$A$15:$A$28,F500)</f>
        <v/>
      </c>
      <c r="AR500" s="62">
        <f>IF(H499=0,0,AC500/H499)</f>
        <v/>
      </c>
      <c r="AS500" s="63">
        <f>AR500-AQ500</f>
        <v/>
      </c>
      <c r="AT500" s="61">
        <f>SUMIFS([1]инфо!$I$15:$I$28,[1]инфо!$A$15:$A$28,F500)</f>
        <v/>
      </c>
      <c r="AU500" s="62">
        <f>IF(H500=0,0,AD500/H500)</f>
        <v/>
      </c>
      <c r="AV500" s="63">
        <f>AU500-AT500</f>
        <v/>
      </c>
      <c r="AX500" s="59">
        <f>SUMIFS([1]инфо!$C$15:$C$28,[1]инфо!$A$15:$A$28,F500)*H499</f>
        <v/>
      </c>
    </row>
    <row r="501">
      <c r="A501" s="71">
        <f>A499+1</f>
        <v/>
      </c>
      <c r="B501" s="51" t="n"/>
      <c r="C501" s="52" t="n"/>
      <c r="D501" s="53" t="n"/>
      <c r="E501" s="66" t="n"/>
      <c r="F501" s="67" t="n"/>
      <c r="G501" s="58" t="n"/>
      <c r="H501" s="56" t="n"/>
      <c r="I501" s="57">
        <f>IFERROR(H501*VLOOKUP(F501,[1]инфо!$A$15:$C$28,3,FALSE)/1000,0)</f>
        <v/>
      </c>
      <c r="J501" s="55" t="n"/>
      <c r="K501" s="55" t="n"/>
      <c r="L501" s="55" t="n"/>
      <c r="M501" s="55" t="n"/>
      <c r="N501" s="55" t="n"/>
      <c r="O501" s="58" t="n"/>
      <c r="P501" s="58" t="n"/>
      <c r="Q501" s="58" t="n"/>
      <c r="R501" s="58" t="n"/>
      <c r="S501" s="59">
        <f>SUM(O501:R501)</f>
        <v/>
      </c>
      <c r="T501" s="52" t="n"/>
      <c r="U501" s="53" t="n"/>
      <c r="V501" s="58" t="n"/>
      <c r="W501" s="68" t="n"/>
      <c r="X501" s="58" t="n"/>
      <c r="Y501" s="52" t="n"/>
      <c r="Z501" s="58" t="n"/>
      <c r="AA501" s="58" t="n"/>
      <c r="AB501" s="58" t="n"/>
      <c r="AC501" s="68" t="n"/>
      <c r="AD501" s="53" t="n"/>
      <c r="AE501" s="61">
        <f>SUMIFS([1]инфо!$D$15:$D$28,[1]инфо!$A$15:$A$28,F501)</f>
        <v/>
      </c>
      <c r="AF501" s="62">
        <f>IF(H501=0,0,N501/H501)</f>
        <v/>
      </c>
      <c r="AG501" s="63">
        <f>AF501-AE501</f>
        <v/>
      </c>
      <c r="AH501" s="61">
        <f>SUMIFS([1]инфо!$E$15:$E$28,[1]инфо!$A$15:$A$28,F501)</f>
        <v/>
      </c>
      <c r="AI501" s="64">
        <f>IF(H501=0,0,S501/H501)</f>
        <v/>
      </c>
      <c r="AJ501" s="63">
        <f>AI501-AH501</f>
        <v/>
      </c>
      <c r="AK501" s="61">
        <f>SUMIFS([1]инфо!$F$15:$F$28,[1]инфо!$A$15:$A$28,F501)</f>
        <v/>
      </c>
      <c r="AL501" s="64">
        <f>IF(H501=0,0,Y501/H501)</f>
        <v/>
      </c>
      <c r="AM501" s="63">
        <f>AL501-AK501</f>
        <v/>
      </c>
      <c r="AN501" s="61">
        <f>SUMIFS([1]инфо!$G$15:$G$28,[1]инфо!$A$15:$A$28,F501)</f>
        <v/>
      </c>
      <c r="AO501" s="64">
        <f>IF(H501=0,0,AA501/H501)</f>
        <v/>
      </c>
      <c r="AP501" s="63">
        <f>AO501-AN501</f>
        <v/>
      </c>
      <c r="AQ501" s="61">
        <f>SUMIFS([1]инфо!$H$15:$H$28,[1]инфо!$A$15:$A$28,F501)</f>
        <v/>
      </c>
      <c r="AR501" s="62">
        <f>IF(H500=0,0,AC501/H500)</f>
        <v/>
      </c>
      <c r="AS501" s="63">
        <f>AR501-AQ501</f>
        <v/>
      </c>
      <c r="AT501" s="61">
        <f>SUMIFS([1]инфо!$I$15:$I$28,[1]инфо!$A$15:$A$28,F501)</f>
        <v/>
      </c>
      <c r="AU501" s="62">
        <f>IF(H501=0,0,AD501/H501)</f>
        <v/>
      </c>
      <c r="AV501" s="63">
        <f>AU501-AT501</f>
        <v/>
      </c>
      <c r="AX501" s="59">
        <f>SUMIFS([1]инфо!$C$15:$C$28,[1]инфо!$A$15:$A$28,F501)*H500</f>
        <v/>
      </c>
    </row>
    <row r="502">
      <c r="A502" s="71">
        <f>A500+1</f>
        <v/>
      </c>
      <c r="B502" s="51" t="n"/>
      <c r="C502" s="77" t="n"/>
      <c r="D502" s="78" t="n"/>
      <c r="E502" s="66" t="n"/>
      <c r="F502" s="67" t="n"/>
      <c r="G502" s="79" t="n"/>
      <c r="H502" s="67" t="n"/>
      <c r="I502" s="57">
        <f>IFERROR(H502*VLOOKUP(F502,[1]инфо!$A$15:$C$28,3,FALSE)/1000,0)</f>
        <v/>
      </c>
      <c r="J502" s="55" t="n"/>
      <c r="K502" s="55" t="n"/>
      <c r="L502" s="55" t="n"/>
      <c r="M502" s="55" t="n"/>
      <c r="N502" s="56" t="n"/>
      <c r="O502" s="79" t="n"/>
      <c r="P502" s="79" t="n"/>
      <c r="Q502" s="79" t="n"/>
      <c r="R502" s="79" t="n"/>
      <c r="S502" s="80">
        <f>SUM(O502:R502)</f>
        <v/>
      </c>
      <c r="T502" s="77" t="n"/>
      <c r="U502" s="78" t="n"/>
      <c r="V502" s="79" t="n"/>
      <c r="W502" s="68" t="n"/>
      <c r="X502" s="79" t="n"/>
      <c r="Y502" s="77" t="n"/>
      <c r="Z502" s="79" t="n"/>
      <c r="AA502" s="79" t="n"/>
      <c r="AB502" s="79" t="n"/>
      <c r="AC502" s="68" t="n"/>
      <c r="AD502" s="78" t="n"/>
      <c r="AE502" s="81">
        <f>SUMIFS([1]инфо!$D$15:$D$28,[1]инфо!$A$15:$A$28,F502)</f>
        <v/>
      </c>
      <c r="AF502" s="62">
        <f>IF(H502=0,0,N502/H502)</f>
        <v/>
      </c>
      <c r="AG502" s="82">
        <f>AF502-AE502</f>
        <v/>
      </c>
      <c r="AH502" s="81">
        <f>SUMIFS([1]инфо!$E$15:$E$28,[1]инфо!$A$15:$A$28,F502)</f>
        <v/>
      </c>
      <c r="AI502" s="64">
        <f>IF(H502=0,0,S502/H502)</f>
        <v/>
      </c>
      <c r="AJ502" s="82">
        <f>AI502-AH502</f>
        <v/>
      </c>
      <c r="AK502" s="81">
        <f>SUMIFS([1]инфо!$F$15:$F$28,[1]инфо!$A$15:$A$28,F502)</f>
        <v/>
      </c>
      <c r="AL502" s="64">
        <f>IF(H502=0,0,Y502/H502)</f>
        <v/>
      </c>
      <c r="AM502" s="82">
        <f>AL502-AK502</f>
        <v/>
      </c>
      <c r="AN502" s="81">
        <f>SUMIFS([1]инфо!$G$15:$G$28,[1]инфо!$A$15:$A$28,F502)</f>
        <v/>
      </c>
      <c r="AO502" s="64">
        <f>IF(H502=0,0,AA502/H502)</f>
        <v/>
      </c>
      <c r="AP502" s="82">
        <f>AO502-AN502</f>
        <v/>
      </c>
      <c r="AQ502" s="81">
        <f>SUMIFS([1]инфо!$H$15:$H$28,[1]инфо!$A$15:$A$28,F502)</f>
        <v/>
      </c>
      <c r="AR502" s="85">
        <f>IF(H501=0,0,AC502/H501)</f>
        <v/>
      </c>
      <c r="AS502" s="82">
        <f>AR502-AQ502</f>
        <v/>
      </c>
      <c r="AT502" s="81">
        <f>SUMIFS([1]инфо!$I$15:$I$28,[1]инфо!$A$15:$A$28,F502)</f>
        <v/>
      </c>
      <c r="AU502" s="62">
        <f>IF(H502=0,0,AD502/H502)</f>
        <v/>
      </c>
      <c r="AV502" s="82">
        <f>AU502-AT502</f>
        <v/>
      </c>
      <c r="AX502" s="80">
        <f>SUMIFS([1]инфо!$C$15:$C$28,[1]инфо!$A$15:$A$28,F502)*H501</f>
        <v/>
      </c>
    </row>
    <row r="503">
      <c r="A503" s="71">
        <f>A501+1</f>
        <v/>
      </c>
      <c r="B503" s="51" t="n"/>
      <c r="C503" s="72" t="n"/>
      <c r="D503" s="73" t="n"/>
      <c r="E503" s="66" t="n"/>
      <c r="F503" s="67" t="n"/>
      <c r="G503" s="74" t="n"/>
      <c r="H503" s="55" t="n"/>
      <c r="I503" s="57">
        <f>IFERROR(H503*VLOOKUP(F503,[1]инфо!$A$15:$C$28,3,FALSE)/1000,0)</f>
        <v/>
      </c>
      <c r="J503" s="55" t="n"/>
      <c r="K503" s="55" t="n"/>
      <c r="L503" s="55" t="n"/>
      <c r="M503" s="55" t="n"/>
      <c r="N503" s="67" t="n"/>
      <c r="O503" s="74" t="n"/>
      <c r="P503" s="74" t="n"/>
      <c r="Q503" s="74" t="n"/>
      <c r="R503" s="74" t="n"/>
      <c r="S503" s="70">
        <f>SUM(O503:R503)</f>
        <v/>
      </c>
      <c r="T503" s="72" t="n"/>
      <c r="U503" s="73" t="n"/>
      <c r="V503" s="74" t="n"/>
      <c r="W503" s="68" t="n"/>
      <c r="X503" s="74" t="n"/>
      <c r="Y503" s="72" t="n"/>
      <c r="Z503" s="74" t="n"/>
      <c r="AA503" s="74" t="n"/>
      <c r="AB503" s="74" t="n"/>
      <c r="AC503" s="68" t="n"/>
      <c r="AD503" s="73" t="n"/>
      <c r="AE503" s="75">
        <f>SUMIFS([1]инфо!$D$15:$D$28,[1]инфо!$A$15:$A$28,F503)</f>
        <v/>
      </c>
      <c r="AF503" s="62">
        <f>IF(H503=0,0,N503/H503)</f>
        <v/>
      </c>
      <c r="AG503" s="76">
        <f>AF503-AE503</f>
        <v/>
      </c>
      <c r="AH503" s="75">
        <f>SUMIFS([1]инфо!$E$15:$E$28,[1]инфо!$A$15:$A$28,F503)</f>
        <v/>
      </c>
      <c r="AI503" s="64">
        <f>IF(H503=0,0,S503/H503)</f>
        <v/>
      </c>
      <c r="AJ503" s="76">
        <f>AI503-AH503</f>
        <v/>
      </c>
      <c r="AK503" s="75">
        <f>SUMIFS([1]инфо!$F$15:$F$28,[1]инфо!$A$15:$A$28,F503)</f>
        <v/>
      </c>
      <c r="AL503" s="64">
        <f>IF(H503=0,0,Y503/H503)</f>
        <v/>
      </c>
      <c r="AM503" s="76">
        <f>AL503-AK503</f>
        <v/>
      </c>
      <c r="AN503" s="75">
        <f>SUMIFS([1]инфо!$G$15:$G$28,[1]инфо!$A$15:$A$28,F503)</f>
        <v/>
      </c>
      <c r="AO503" s="64">
        <f>IF(H503=0,0,AA503/H503)</f>
        <v/>
      </c>
      <c r="AP503" s="76">
        <f>AO503-AN503</f>
        <v/>
      </c>
      <c r="AQ503" s="75">
        <f>SUMIFS([1]инфо!$H$15:$H$28,[1]инфо!$A$15:$A$28,F503)</f>
        <v/>
      </c>
      <c r="AR503" s="64">
        <f>IF(H502=0,0,AC503/H502)</f>
        <v/>
      </c>
      <c r="AS503" s="76">
        <f>AR503-AQ503</f>
        <v/>
      </c>
      <c r="AT503" s="75">
        <f>SUMIFS([1]инфо!$I$15:$I$28,[1]инфо!$A$15:$A$28,F503)</f>
        <v/>
      </c>
      <c r="AU503" s="62">
        <f>IF(H503=0,0,AD503/H503)</f>
        <v/>
      </c>
      <c r="AV503" s="76">
        <f>AU503-AT503</f>
        <v/>
      </c>
      <c r="AX503" s="70">
        <f>SUMIFS([1]инфо!$C$15:$C$28,[1]инфо!$A$15:$A$28,F503)*H502</f>
        <v/>
      </c>
    </row>
    <row r="504">
      <c r="A504" s="71">
        <f>A502+1</f>
        <v/>
      </c>
      <c r="B504" s="51" t="n"/>
      <c r="C504" s="52" t="n"/>
      <c r="D504" s="53" t="n"/>
      <c r="E504" s="66" t="n"/>
      <c r="F504" s="67" t="n"/>
      <c r="G504" s="58" t="n"/>
      <c r="H504" s="55" t="n"/>
      <c r="I504" s="57">
        <f>IFERROR(H504*VLOOKUP(F504,[1]инфо!$A$15:$C$28,3,FALSE)/1000,0)</f>
        <v/>
      </c>
      <c r="J504" s="55" t="n"/>
      <c r="K504" s="55" t="n"/>
      <c r="L504" s="55" t="n"/>
      <c r="M504" s="55" t="n"/>
      <c r="N504" s="55" t="n"/>
      <c r="O504" s="58" t="n"/>
      <c r="P504" s="58" t="n"/>
      <c r="Q504" s="58" t="n"/>
      <c r="R504" s="58" t="n"/>
      <c r="S504" s="59">
        <f>SUM(O504:R504)</f>
        <v/>
      </c>
      <c r="T504" s="52" t="n"/>
      <c r="U504" s="53" t="n"/>
      <c r="V504" s="58" t="n"/>
      <c r="W504" s="68" t="n"/>
      <c r="X504" s="58" t="n"/>
      <c r="Y504" s="52" t="n"/>
      <c r="Z504" s="58" t="n"/>
      <c r="AA504" s="58" t="n"/>
      <c r="AB504" s="58" t="n"/>
      <c r="AC504" s="68" t="n"/>
      <c r="AD504" s="53" t="n"/>
      <c r="AE504" s="61">
        <f>SUMIFS([1]инфо!$D$15:$D$28,[1]инфо!$A$15:$A$28,F504)</f>
        <v/>
      </c>
      <c r="AF504" s="62">
        <f>IF(H504=0,0,N504/H504)</f>
        <v/>
      </c>
      <c r="AG504" s="63">
        <f>AF504-AE504</f>
        <v/>
      </c>
      <c r="AH504" s="61">
        <f>SUMIFS([1]инфо!$E$15:$E$28,[1]инфо!$A$15:$A$28,F504)</f>
        <v/>
      </c>
      <c r="AI504" s="64">
        <f>IF(H504=0,0,S504/H504)</f>
        <v/>
      </c>
      <c r="AJ504" s="63">
        <f>AI504-AH504</f>
        <v/>
      </c>
      <c r="AK504" s="61">
        <f>SUMIFS([1]инфо!$F$15:$F$28,[1]инфо!$A$15:$A$28,F504)</f>
        <v/>
      </c>
      <c r="AL504" s="64">
        <f>IF(H504=0,0,Y504/H504)</f>
        <v/>
      </c>
      <c r="AM504" s="63">
        <f>AL504-AK504</f>
        <v/>
      </c>
      <c r="AN504" s="61">
        <f>SUMIFS([1]инфо!$G$15:$G$28,[1]инфо!$A$15:$A$28,F504)</f>
        <v/>
      </c>
      <c r="AO504" s="64">
        <f>IF(H504=0,0,AA504/H504)</f>
        <v/>
      </c>
      <c r="AP504" s="63">
        <f>AO504-AN504</f>
        <v/>
      </c>
      <c r="AQ504" s="61">
        <f>SUMIFS([1]инфо!$H$15:$H$28,[1]инфо!$A$15:$A$28,F504)</f>
        <v/>
      </c>
      <c r="AR504" s="62">
        <f>IF(H503=0,0,AC504/H503)</f>
        <v/>
      </c>
      <c r="AS504" s="63">
        <f>AR504-AQ504</f>
        <v/>
      </c>
      <c r="AT504" s="61">
        <f>SUMIFS([1]инфо!$I$15:$I$28,[1]инфо!$A$15:$A$28,F504)</f>
        <v/>
      </c>
      <c r="AU504" s="62">
        <f>IF(H504=0,0,AD504/H504)</f>
        <v/>
      </c>
      <c r="AV504" s="63">
        <f>AU504-AT504</f>
        <v/>
      </c>
      <c r="AX504" s="59">
        <f>SUMIFS([1]инфо!$C$15:$C$28,[1]инфо!$A$15:$A$28,F504)*H503</f>
        <v/>
      </c>
    </row>
    <row r="505">
      <c r="A505" s="71">
        <f>A503+1</f>
        <v/>
      </c>
      <c r="B505" s="51" t="n"/>
      <c r="C505" s="52" t="n"/>
      <c r="D505" s="53" t="n"/>
      <c r="E505" s="66" t="n"/>
      <c r="F505" s="67" t="n"/>
      <c r="G505" s="58" t="n"/>
      <c r="H505" s="56" t="n"/>
      <c r="I505" s="57">
        <f>IFERROR(H505*VLOOKUP(F505,[1]инфо!$A$15:$C$28,3,FALSE)/1000,0)</f>
        <v/>
      </c>
      <c r="J505" s="55" t="n"/>
      <c r="K505" s="55" t="n"/>
      <c r="L505" s="55" t="n"/>
      <c r="M505" s="55" t="n"/>
      <c r="N505" s="55" t="n"/>
      <c r="O505" s="58" t="n"/>
      <c r="P505" s="58" t="n"/>
      <c r="Q505" s="58" t="n"/>
      <c r="R505" s="58" t="n"/>
      <c r="S505" s="59">
        <f>SUM(O505:R505)</f>
        <v/>
      </c>
      <c r="T505" s="52" t="n"/>
      <c r="U505" s="53" t="n"/>
      <c r="V505" s="58" t="n"/>
      <c r="W505" s="68" t="n"/>
      <c r="X505" s="58" t="n"/>
      <c r="Y505" s="52" t="n"/>
      <c r="Z505" s="58" t="n"/>
      <c r="AA505" s="58" t="n"/>
      <c r="AB505" s="58" t="n"/>
      <c r="AC505" s="68" t="n"/>
      <c r="AD505" s="53" t="n"/>
      <c r="AE505" s="61">
        <f>SUMIFS([1]инфо!$D$15:$D$28,[1]инфо!$A$15:$A$28,F505)</f>
        <v/>
      </c>
      <c r="AF505" s="62">
        <f>IF(H505=0,0,N505/H505)</f>
        <v/>
      </c>
      <c r="AG505" s="63">
        <f>AF505-AE505</f>
        <v/>
      </c>
      <c r="AH505" s="61">
        <f>SUMIFS([1]инфо!$E$15:$E$28,[1]инфо!$A$15:$A$28,F505)</f>
        <v/>
      </c>
      <c r="AI505" s="64">
        <f>IF(H505=0,0,S505/H505)</f>
        <v/>
      </c>
      <c r="AJ505" s="63">
        <f>AI505-AH505</f>
        <v/>
      </c>
      <c r="AK505" s="61">
        <f>SUMIFS([1]инфо!$F$15:$F$28,[1]инфо!$A$15:$A$28,F505)</f>
        <v/>
      </c>
      <c r="AL505" s="64">
        <f>IF(H505=0,0,Y505/H505)</f>
        <v/>
      </c>
      <c r="AM505" s="63">
        <f>AL505-AK505</f>
        <v/>
      </c>
      <c r="AN505" s="61">
        <f>SUMIFS([1]инфо!$G$15:$G$28,[1]инфо!$A$15:$A$28,F505)</f>
        <v/>
      </c>
      <c r="AO505" s="64">
        <f>IF(H505=0,0,AA505/H505)</f>
        <v/>
      </c>
      <c r="AP505" s="63">
        <f>AO505-AN505</f>
        <v/>
      </c>
      <c r="AQ505" s="61">
        <f>SUMIFS([1]инфо!$H$15:$H$28,[1]инфо!$A$15:$A$28,F505)</f>
        <v/>
      </c>
      <c r="AR505" s="62">
        <f>IF(H504=0,0,AC505/H504)</f>
        <v/>
      </c>
      <c r="AS505" s="63">
        <f>AR505-AQ505</f>
        <v/>
      </c>
      <c r="AT505" s="61">
        <f>SUMIFS([1]инфо!$I$15:$I$28,[1]инфо!$A$15:$A$28,F505)</f>
        <v/>
      </c>
      <c r="AU505" s="62">
        <f>IF(H505=0,0,AD505/H505)</f>
        <v/>
      </c>
      <c r="AV505" s="63">
        <f>AU505-AT505</f>
        <v/>
      </c>
      <c r="AX505" s="59">
        <f>SUMIFS([1]инфо!$C$15:$C$28,[1]инфо!$A$15:$A$28,F505)*H504</f>
        <v/>
      </c>
    </row>
    <row r="506">
      <c r="A506" s="71">
        <f>A504+1</f>
        <v/>
      </c>
      <c r="B506" s="51" t="n"/>
      <c r="C506" s="77" t="n"/>
      <c r="D506" s="78" t="n"/>
      <c r="E506" s="66" t="n"/>
      <c r="F506" s="67" t="n"/>
      <c r="G506" s="79" t="n"/>
      <c r="H506" s="67" t="n"/>
      <c r="I506" s="57">
        <f>IFERROR(H506*VLOOKUP(F506,[1]инфо!$A$15:$C$28,3,FALSE)/1000,0)</f>
        <v/>
      </c>
      <c r="J506" s="55" t="n"/>
      <c r="K506" s="55" t="n"/>
      <c r="L506" s="55" t="n"/>
      <c r="M506" s="55" t="n"/>
      <c r="N506" s="56" t="n"/>
      <c r="O506" s="79" t="n"/>
      <c r="P506" s="79" t="n"/>
      <c r="Q506" s="79" t="n"/>
      <c r="R506" s="79" t="n"/>
      <c r="S506" s="80">
        <f>SUM(O506:R506)</f>
        <v/>
      </c>
      <c r="T506" s="77" t="n"/>
      <c r="U506" s="78" t="n"/>
      <c r="V506" s="79" t="n"/>
      <c r="W506" s="68" t="n"/>
      <c r="X506" s="79" t="n"/>
      <c r="Y506" s="77" t="n"/>
      <c r="Z506" s="79" t="n"/>
      <c r="AA506" s="79" t="n"/>
      <c r="AB506" s="79" t="n"/>
      <c r="AC506" s="68" t="n"/>
      <c r="AD506" s="78" t="n"/>
      <c r="AE506" s="81">
        <f>SUMIFS([1]инфо!$D$15:$D$28,[1]инфо!$A$15:$A$28,F506)</f>
        <v/>
      </c>
      <c r="AF506" s="62">
        <f>IF(H506=0,0,N506/H506)</f>
        <v/>
      </c>
      <c r="AG506" s="82">
        <f>AF506-AE506</f>
        <v/>
      </c>
      <c r="AH506" s="81">
        <f>SUMIFS([1]инфо!$E$15:$E$28,[1]инфо!$A$15:$A$28,F506)</f>
        <v/>
      </c>
      <c r="AI506" s="64">
        <f>IF(H506=0,0,S506/H506)</f>
        <v/>
      </c>
      <c r="AJ506" s="82">
        <f>AI506-AH506</f>
        <v/>
      </c>
      <c r="AK506" s="81">
        <f>SUMIFS([1]инфо!$F$15:$F$28,[1]инфо!$A$15:$A$28,F506)</f>
        <v/>
      </c>
      <c r="AL506" s="64">
        <f>IF(H506=0,0,Y506/H506)</f>
        <v/>
      </c>
      <c r="AM506" s="82">
        <f>AL506-AK506</f>
        <v/>
      </c>
      <c r="AN506" s="81">
        <f>SUMIFS([1]инфо!$G$15:$G$28,[1]инфо!$A$15:$A$28,F506)</f>
        <v/>
      </c>
      <c r="AO506" s="64">
        <f>IF(H506=0,0,AA506/H506)</f>
        <v/>
      </c>
      <c r="AP506" s="82">
        <f>AO506-AN506</f>
        <v/>
      </c>
      <c r="AQ506" s="81">
        <f>SUMIFS([1]инфо!$H$15:$H$28,[1]инфо!$A$15:$A$28,F506)</f>
        <v/>
      </c>
      <c r="AR506" s="85">
        <f>IF(H505=0,0,AC506/H505)</f>
        <v/>
      </c>
      <c r="AS506" s="82">
        <f>AR506-AQ506</f>
        <v/>
      </c>
      <c r="AT506" s="81">
        <f>SUMIFS([1]инфо!$I$15:$I$28,[1]инфо!$A$15:$A$28,F506)</f>
        <v/>
      </c>
      <c r="AU506" s="62">
        <f>IF(H506=0,0,AD506/H506)</f>
        <v/>
      </c>
      <c r="AV506" s="82">
        <f>AU506-AT506</f>
        <v/>
      </c>
      <c r="AX506" s="80">
        <f>SUMIFS([1]инфо!$C$15:$C$28,[1]инфо!$A$15:$A$28,F506)*H505</f>
        <v/>
      </c>
    </row>
    <row r="507">
      <c r="A507" s="71">
        <f>A505+1</f>
        <v/>
      </c>
      <c r="B507" s="51" t="n"/>
      <c r="C507" s="72" t="n"/>
      <c r="D507" s="73" t="n"/>
      <c r="E507" s="66" t="n"/>
      <c r="F507" s="67" t="n"/>
      <c r="G507" s="74" t="n"/>
      <c r="H507" s="55" t="n"/>
      <c r="I507" s="57">
        <f>IFERROR(H507*VLOOKUP(F507,[1]инфо!$A$15:$C$28,3,FALSE)/1000,0)</f>
        <v/>
      </c>
      <c r="J507" s="55" t="n"/>
      <c r="K507" s="55" t="n"/>
      <c r="L507" s="55" t="n"/>
      <c r="M507" s="55" t="n"/>
      <c r="N507" s="67" t="n"/>
      <c r="O507" s="74" t="n"/>
      <c r="P507" s="74" t="n"/>
      <c r="Q507" s="74" t="n"/>
      <c r="R507" s="74" t="n"/>
      <c r="S507" s="70">
        <f>SUM(O507:R507)</f>
        <v/>
      </c>
      <c r="T507" s="72" t="n"/>
      <c r="U507" s="73" t="n"/>
      <c r="V507" s="74" t="n"/>
      <c r="W507" s="68" t="n"/>
      <c r="X507" s="74" t="n"/>
      <c r="Y507" s="72" t="n"/>
      <c r="Z507" s="74" t="n"/>
      <c r="AA507" s="74" t="n"/>
      <c r="AB507" s="74" t="n"/>
      <c r="AC507" s="68" t="n"/>
      <c r="AD507" s="73" t="n"/>
      <c r="AE507" s="75">
        <f>SUMIFS([1]инфо!$D$15:$D$28,[1]инфо!$A$15:$A$28,F507)</f>
        <v/>
      </c>
      <c r="AF507" s="62">
        <f>IF(H507=0,0,N507/H507)</f>
        <v/>
      </c>
      <c r="AG507" s="76">
        <f>AF507-AE507</f>
        <v/>
      </c>
      <c r="AH507" s="75">
        <f>SUMIFS([1]инфо!$E$15:$E$28,[1]инфо!$A$15:$A$28,F507)</f>
        <v/>
      </c>
      <c r="AI507" s="64">
        <f>IF(H507=0,0,S507/H507)</f>
        <v/>
      </c>
      <c r="AJ507" s="76">
        <f>AI507-AH507</f>
        <v/>
      </c>
      <c r="AK507" s="75">
        <f>SUMIFS([1]инфо!$F$15:$F$28,[1]инфо!$A$15:$A$28,F507)</f>
        <v/>
      </c>
      <c r="AL507" s="64">
        <f>IF(H507=0,0,Y507/H507)</f>
        <v/>
      </c>
      <c r="AM507" s="76">
        <f>AL507-AK507</f>
        <v/>
      </c>
      <c r="AN507" s="75">
        <f>SUMIFS([1]инфо!$G$15:$G$28,[1]инфо!$A$15:$A$28,F507)</f>
        <v/>
      </c>
      <c r="AO507" s="64">
        <f>IF(H507=0,0,AA507/H507)</f>
        <v/>
      </c>
      <c r="AP507" s="76">
        <f>AO507-AN507</f>
        <v/>
      </c>
      <c r="AQ507" s="75">
        <f>SUMIFS([1]инфо!$H$15:$H$28,[1]инфо!$A$15:$A$28,F507)</f>
        <v/>
      </c>
      <c r="AR507" s="64">
        <f>IF(H506=0,0,AC507/H506)</f>
        <v/>
      </c>
      <c r="AS507" s="76">
        <f>AR507-AQ507</f>
        <v/>
      </c>
      <c r="AT507" s="75">
        <f>SUMIFS([1]инфо!$I$15:$I$28,[1]инфо!$A$15:$A$28,F507)</f>
        <v/>
      </c>
      <c r="AU507" s="62">
        <f>IF(H507=0,0,AD507/H507)</f>
        <v/>
      </c>
      <c r="AV507" s="76">
        <f>AU507-AT507</f>
        <v/>
      </c>
      <c r="AX507" s="70">
        <f>SUMIFS([1]инфо!$C$15:$C$28,[1]инфо!$A$15:$A$28,F507)*H506</f>
        <v/>
      </c>
    </row>
    <row r="508">
      <c r="A508" s="71">
        <f>A506+1</f>
        <v/>
      </c>
      <c r="B508" s="51" t="n"/>
      <c r="C508" s="52" t="n"/>
      <c r="D508" s="53" t="n"/>
      <c r="E508" s="66" t="n"/>
      <c r="F508" s="67" t="n"/>
      <c r="G508" s="58" t="n"/>
      <c r="H508" s="55" t="n"/>
      <c r="I508" s="57">
        <f>IFERROR(H508*VLOOKUP(F508,[1]инфо!$A$15:$C$28,3,FALSE)/1000,0)</f>
        <v/>
      </c>
      <c r="J508" s="55" t="n"/>
      <c r="K508" s="55" t="n"/>
      <c r="L508" s="55" t="n"/>
      <c r="M508" s="55" t="n"/>
      <c r="N508" s="55" t="n"/>
      <c r="O508" s="58" t="n"/>
      <c r="P508" s="58" t="n"/>
      <c r="Q508" s="58" t="n"/>
      <c r="R508" s="58" t="n"/>
      <c r="S508" s="59">
        <f>SUM(O508:R508)</f>
        <v/>
      </c>
      <c r="T508" s="52" t="n"/>
      <c r="U508" s="53" t="n"/>
      <c r="V508" s="58" t="n"/>
      <c r="W508" s="68" t="n"/>
      <c r="X508" s="58" t="n"/>
      <c r="Y508" s="52" t="n"/>
      <c r="Z508" s="58" t="n"/>
      <c r="AA508" s="58" t="n"/>
      <c r="AB508" s="58" t="n"/>
      <c r="AC508" s="68" t="n"/>
      <c r="AD508" s="53" t="n"/>
      <c r="AE508" s="61">
        <f>SUMIFS([1]инфо!$D$15:$D$28,[1]инфо!$A$15:$A$28,F508)</f>
        <v/>
      </c>
      <c r="AF508" s="62">
        <f>IF(H508=0,0,N508/H508)</f>
        <v/>
      </c>
      <c r="AG508" s="63">
        <f>AF508-AE508</f>
        <v/>
      </c>
      <c r="AH508" s="61">
        <f>SUMIFS([1]инфо!$E$15:$E$28,[1]инфо!$A$15:$A$28,F508)</f>
        <v/>
      </c>
      <c r="AI508" s="64">
        <f>IF(H508=0,0,S508/H508)</f>
        <v/>
      </c>
      <c r="AJ508" s="63">
        <f>AI508-AH508</f>
        <v/>
      </c>
      <c r="AK508" s="61">
        <f>SUMIFS([1]инфо!$F$15:$F$28,[1]инфо!$A$15:$A$28,F508)</f>
        <v/>
      </c>
      <c r="AL508" s="64">
        <f>IF(H508=0,0,Y508/H508)</f>
        <v/>
      </c>
      <c r="AM508" s="63">
        <f>AL508-AK508</f>
        <v/>
      </c>
      <c r="AN508" s="61">
        <f>SUMIFS([1]инфо!$G$15:$G$28,[1]инфо!$A$15:$A$28,F508)</f>
        <v/>
      </c>
      <c r="AO508" s="64">
        <f>IF(H508=0,0,AA508/H508)</f>
        <v/>
      </c>
      <c r="AP508" s="63">
        <f>AO508-AN508</f>
        <v/>
      </c>
      <c r="AQ508" s="61">
        <f>SUMIFS([1]инфо!$H$15:$H$28,[1]инфо!$A$15:$A$28,F508)</f>
        <v/>
      </c>
      <c r="AR508" s="62">
        <f>IF(H507=0,0,AC508/H507)</f>
        <v/>
      </c>
      <c r="AS508" s="63">
        <f>AR508-AQ508</f>
        <v/>
      </c>
      <c r="AT508" s="61">
        <f>SUMIFS([1]инфо!$I$15:$I$28,[1]инфо!$A$15:$A$28,F508)</f>
        <v/>
      </c>
      <c r="AU508" s="62">
        <f>IF(H508=0,0,AD508/H508)</f>
        <v/>
      </c>
      <c r="AV508" s="63">
        <f>AU508-AT508</f>
        <v/>
      </c>
      <c r="AX508" s="59">
        <f>SUMIFS([1]инфо!$C$15:$C$28,[1]инфо!$A$15:$A$28,F508)*H507</f>
        <v/>
      </c>
    </row>
    <row r="509">
      <c r="A509" s="71">
        <f>A507+1</f>
        <v/>
      </c>
      <c r="B509" s="51" t="n"/>
      <c r="C509" s="52" t="n"/>
      <c r="D509" s="53" t="n"/>
      <c r="E509" s="66" t="n"/>
      <c r="F509" s="67" t="n"/>
      <c r="G509" s="58" t="n"/>
      <c r="H509" s="56" t="n"/>
      <c r="I509" s="57">
        <f>IFERROR(H509*VLOOKUP(F509,[1]инфо!$A$15:$C$28,3,FALSE)/1000,0)</f>
        <v/>
      </c>
      <c r="J509" s="55" t="n"/>
      <c r="K509" s="55" t="n"/>
      <c r="L509" s="55" t="n"/>
      <c r="M509" s="55" t="n"/>
      <c r="N509" s="55" t="n"/>
      <c r="O509" s="58" t="n"/>
      <c r="P509" s="58" t="n"/>
      <c r="Q509" s="58" t="n"/>
      <c r="R509" s="58" t="n"/>
      <c r="S509" s="59">
        <f>SUM(O509:R509)</f>
        <v/>
      </c>
      <c r="T509" s="52" t="n"/>
      <c r="U509" s="53" t="n"/>
      <c r="V509" s="58" t="n"/>
      <c r="W509" s="68" t="n"/>
      <c r="X509" s="58" t="n"/>
      <c r="Y509" s="52" t="n"/>
      <c r="Z509" s="58" t="n"/>
      <c r="AA509" s="58" t="n"/>
      <c r="AB509" s="58" t="n"/>
      <c r="AC509" s="68" t="n"/>
      <c r="AD509" s="53" t="n"/>
      <c r="AE509" s="61">
        <f>SUMIFS([1]инфо!$D$15:$D$28,[1]инфо!$A$15:$A$28,F509)</f>
        <v/>
      </c>
      <c r="AF509" s="62">
        <f>IF(H509=0,0,N509/H509)</f>
        <v/>
      </c>
      <c r="AG509" s="63">
        <f>AF509-AE509</f>
        <v/>
      </c>
      <c r="AH509" s="61">
        <f>SUMIFS([1]инфо!$E$15:$E$28,[1]инфо!$A$15:$A$28,F509)</f>
        <v/>
      </c>
      <c r="AI509" s="64">
        <f>IF(H509=0,0,S509/H509)</f>
        <v/>
      </c>
      <c r="AJ509" s="63">
        <f>AI509-AH509</f>
        <v/>
      </c>
      <c r="AK509" s="61">
        <f>SUMIFS([1]инфо!$F$15:$F$28,[1]инфо!$A$15:$A$28,F509)</f>
        <v/>
      </c>
      <c r="AL509" s="64">
        <f>IF(H509=0,0,Y509/H509)</f>
        <v/>
      </c>
      <c r="AM509" s="63">
        <f>AL509-AK509</f>
        <v/>
      </c>
      <c r="AN509" s="61">
        <f>SUMIFS([1]инфо!$G$15:$G$28,[1]инфо!$A$15:$A$28,F509)</f>
        <v/>
      </c>
      <c r="AO509" s="64">
        <f>IF(H509=0,0,AA509/H509)</f>
        <v/>
      </c>
      <c r="AP509" s="63">
        <f>AO509-AN509</f>
        <v/>
      </c>
      <c r="AQ509" s="61">
        <f>SUMIFS([1]инфо!$H$15:$H$28,[1]инфо!$A$15:$A$28,F509)</f>
        <v/>
      </c>
      <c r="AR509" s="62">
        <f>IF(H508=0,0,AC509/H508)</f>
        <v/>
      </c>
      <c r="AS509" s="63">
        <f>AR509-AQ509</f>
        <v/>
      </c>
      <c r="AT509" s="61">
        <f>SUMIFS([1]инфо!$I$15:$I$28,[1]инфо!$A$15:$A$28,F509)</f>
        <v/>
      </c>
      <c r="AU509" s="62">
        <f>IF(H509=0,0,AD509/H509)</f>
        <v/>
      </c>
      <c r="AV509" s="63">
        <f>AU509-AT509</f>
        <v/>
      </c>
      <c r="AX509" s="59">
        <f>SUMIFS([1]инфо!$C$15:$C$28,[1]инфо!$A$15:$A$28,F509)*H508</f>
        <v/>
      </c>
    </row>
    <row r="510">
      <c r="A510" s="71">
        <f>A508+1</f>
        <v/>
      </c>
      <c r="B510" s="51" t="n"/>
      <c r="C510" s="77" t="n"/>
      <c r="D510" s="78" t="n"/>
      <c r="E510" s="66" t="n"/>
      <c r="F510" s="67" t="n"/>
      <c r="G510" s="79" t="n"/>
      <c r="H510" s="67" t="n"/>
      <c r="I510" s="57">
        <f>IFERROR(H510*VLOOKUP(F510,[1]инфо!$A$15:$C$28,3,FALSE)/1000,0)</f>
        <v/>
      </c>
      <c r="J510" s="55" t="n"/>
      <c r="K510" s="55" t="n"/>
      <c r="L510" s="55" t="n"/>
      <c r="M510" s="55" t="n"/>
      <c r="N510" s="56" t="n"/>
      <c r="O510" s="79" t="n"/>
      <c r="P510" s="79" t="n"/>
      <c r="Q510" s="79" t="n"/>
      <c r="R510" s="79" t="n"/>
      <c r="S510" s="80">
        <f>SUM(O510:R510)</f>
        <v/>
      </c>
      <c r="T510" s="77" t="n"/>
      <c r="U510" s="78" t="n"/>
      <c r="V510" s="79" t="n"/>
      <c r="W510" s="68" t="n"/>
      <c r="X510" s="79" t="n"/>
      <c r="Y510" s="77" t="n"/>
      <c r="Z510" s="79" t="n"/>
      <c r="AA510" s="79" t="n"/>
      <c r="AB510" s="79" t="n"/>
      <c r="AC510" s="68" t="n"/>
      <c r="AD510" s="78" t="n"/>
      <c r="AE510" s="81">
        <f>SUMIFS([1]инфо!$D$15:$D$28,[1]инфо!$A$15:$A$28,F510)</f>
        <v/>
      </c>
      <c r="AF510" s="62">
        <f>IF(H510=0,0,N510/H510)</f>
        <v/>
      </c>
      <c r="AG510" s="82">
        <f>AF510-AE510</f>
        <v/>
      </c>
      <c r="AH510" s="81">
        <f>SUMIFS([1]инфо!$E$15:$E$28,[1]инфо!$A$15:$A$28,F510)</f>
        <v/>
      </c>
      <c r="AI510" s="64">
        <f>IF(H510=0,0,S510/H510)</f>
        <v/>
      </c>
      <c r="AJ510" s="82">
        <f>AI510-AH510</f>
        <v/>
      </c>
      <c r="AK510" s="81">
        <f>SUMIFS([1]инфо!$F$15:$F$28,[1]инфо!$A$15:$A$28,F510)</f>
        <v/>
      </c>
      <c r="AL510" s="64">
        <f>IF(H510=0,0,Y510/H510)</f>
        <v/>
      </c>
      <c r="AM510" s="82">
        <f>AL510-AK510</f>
        <v/>
      </c>
      <c r="AN510" s="81">
        <f>SUMIFS([1]инфо!$G$15:$G$28,[1]инфо!$A$15:$A$28,F510)</f>
        <v/>
      </c>
      <c r="AO510" s="64">
        <f>IF(H510=0,0,AA510/H510)</f>
        <v/>
      </c>
      <c r="AP510" s="82">
        <f>AO510-AN510</f>
        <v/>
      </c>
      <c r="AQ510" s="81">
        <f>SUMIFS([1]инфо!$H$15:$H$28,[1]инфо!$A$15:$A$28,F510)</f>
        <v/>
      </c>
      <c r="AR510" s="85">
        <f>IF(H509=0,0,AC510/H509)</f>
        <v/>
      </c>
      <c r="AS510" s="82">
        <f>AR510-AQ510</f>
        <v/>
      </c>
      <c r="AT510" s="81">
        <f>SUMIFS([1]инфо!$I$15:$I$28,[1]инфо!$A$15:$A$28,F510)</f>
        <v/>
      </c>
      <c r="AU510" s="62">
        <f>IF(H510=0,0,AD510/H510)</f>
        <v/>
      </c>
      <c r="AV510" s="82">
        <f>AU510-AT510</f>
        <v/>
      </c>
      <c r="AX510" s="80">
        <f>SUMIFS([1]инфо!$C$15:$C$28,[1]инфо!$A$15:$A$28,F510)*H509</f>
        <v/>
      </c>
    </row>
    <row r="511">
      <c r="A511" s="71">
        <f>A509+1</f>
        <v/>
      </c>
      <c r="B511" s="51" t="n"/>
      <c r="C511" s="72" t="n"/>
      <c r="D511" s="73" t="n"/>
      <c r="E511" s="66" t="n"/>
      <c r="F511" s="67" t="n"/>
      <c r="G511" s="74" t="n"/>
      <c r="H511" s="55" t="n"/>
      <c r="I511" s="57">
        <f>IFERROR(H511*VLOOKUP(F511,[1]инфо!$A$15:$C$28,3,FALSE)/1000,0)</f>
        <v/>
      </c>
      <c r="J511" s="55" t="n"/>
      <c r="K511" s="55" t="n"/>
      <c r="L511" s="55" t="n"/>
      <c r="M511" s="55" t="n"/>
      <c r="N511" s="67" t="n"/>
      <c r="O511" s="74" t="n"/>
      <c r="P511" s="74" t="n"/>
      <c r="Q511" s="74" t="n"/>
      <c r="R511" s="74" t="n"/>
      <c r="S511" s="70">
        <f>SUM(O511:R511)</f>
        <v/>
      </c>
      <c r="T511" s="72" t="n"/>
      <c r="U511" s="73" t="n"/>
      <c r="V511" s="74" t="n"/>
      <c r="W511" s="68" t="n"/>
      <c r="X511" s="74" t="n"/>
      <c r="Y511" s="72" t="n"/>
      <c r="Z511" s="74" t="n"/>
      <c r="AA511" s="74" t="n"/>
      <c r="AB511" s="74" t="n"/>
      <c r="AC511" s="68" t="n"/>
      <c r="AD511" s="73" t="n"/>
      <c r="AE511" s="75">
        <f>SUMIFS([1]инфо!$D$15:$D$28,[1]инфо!$A$15:$A$28,F511)</f>
        <v/>
      </c>
      <c r="AF511" s="62">
        <f>IF(H511=0,0,N511/H511)</f>
        <v/>
      </c>
      <c r="AG511" s="76">
        <f>AF511-AE511</f>
        <v/>
      </c>
      <c r="AH511" s="75">
        <f>SUMIFS([1]инфо!$E$15:$E$28,[1]инфо!$A$15:$A$28,F511)</f>
        <v/>
      </c>
      <c r="AI511" s="64">
        <f>IF(H511=0,0,S511/H511)</f>
        <v/>
      </c>
      <c r="AJ511" s="76">
        <f>AI511-AH511</f>
        <v/>
      </c>
      <c r="AK511" s="75">
        <f>SUMIFS([1]инфо!$F$15:$F$28,[1]инфо!$A$15:$A$28,F511)</f>
        <v/>
      </c>
      <c r="AL511" s="64">
        <f>IF(H511=0,0,Y511/H511)</f>
        <v/>
      </c>
      <c r="AM511" s="76">
        <f>AL511-AK511</f>
        <v/>
      </c>
      <c r="AN511" s="75">
        <f>SUMIFS([1]инфо!$G$15:$G$28,[1]инфо!$A$15:$A$28,F511)</f>
        <v/>
      </c>
      <c r="AO511" s="64">
        <f>IF(H511=0,0,AA511/H511)</f>
        <v/>
      </c>
      <c r="AP511" s="76">
        <f>AO511-AN511</f>
        <v/>
      </c>
      <c r="AQ511" s="75">
        <f>SUMIFS([1]инфо!$H$15:$H$28,[1]инфо!$A$15:$A$28,F511)</f>
        <v/>
      </c>
      <c r="AR511" s="64">
        <f>IF(H510=0,0,AC511/H510)</f>
        <v/>
      </c>
      <c r="AS511" s="76">
        <f>AR511-AQ511</f>
        <v/>
      </c>
      <c r="AT511" s="75">
        <f>SUMIFS([1]инфо!$I$15:$I$28,[1]инфо!$A$15:$A$28,F511)</f>
        <v/>
      </c>
      <c r="AU511" s="62">
        <f>IF(H511=0,0,AD511/H511)</f>
        <v/>
      </c>
      <c r="AV511" s="76">
        <f>AU511-AT511</f>
        <v/>
      </c>
      <c r="AX511" s="70">
        <f>SUMIFS([1]инфо!$C$15:$C$28,[1]инфо!$A$15:$A$28,F511)*H510</f>
        <v/>
      </c>
    </row>
    <row r="512">
      <c r="A512" s="71">
        <f>A510+1</f>
        <v/>
      </c>
      <c r="B512" s="51" t="n"/>
      <c r="C512" s="52" t="n"/>
      <c r="D512" s="53" t="n"/>
      <c r="E512" s="66" t="n"/>
      <c r="F512" s="67" t="n"/>
      <c r="G512" s="58" t="n"/>
      <c r="H512" s="55" t="n"/>
      <c r="I512" s="57">
        <f>IFERROR(H512*VLOOKUP(F512,[1]инфо!$A$15:$C$28,3,FALSE)/1000,0)</f>
        <v/>
      </c>
      <c r="J512" s="55" t="n"/>
      <c r="K512" s="55" t="n"/>
      <c r="L512" s="55" t="n"/>
      <c r="M512" s="55" t="n"/>
      <c r="N512" s="55" t="n"/>
      <c r="O512" s="58" t="n"/>
      <c r="P512" s="58" t="n"/>
      <c r="Q512" s="58" t="n"/>
      <c r="R512" s="58" t="n"/>
      <c r="S512" s="59">
        <f>SUM(O512:R512)</f>
        <v/>
      </c>
      <c r="T512" s="52" t="n"/>
      <c r="U512" s="53" t="n"/>
      <c r="V512" s="58" t="n"/>
      <c r="W512" s="68" t="n"/>
      <c r="X512" s="58" t="n"/>
      <c r="Y512" s="52" t="n"/>
      <c r="Z512" s="58" t="n"/>
      <c r="AA512" s="58" t="n"/>
      <c r="AB512" s="58" t="n"/>
      <c r="AC512" s="68" t="n"/>
      <c r="AD512" s="53" t="n"/>
      <c r="AE512" s="61">
        <f>SUMIFS([1]инфо!$D$15:$D$28,[1]инфо!$A$15:$A$28,F512)</f>
        <v/>
      </c>
      <c r="AF512" s="62">
        <f>IF(H512=0,0,N512/H512)</f>
        <v/>
      </c>
      <c r="AG512" s="63">
        <f>AF512-AE512</f>
        <v/>
      </c>
      <c r="AH512" s="61">
        <f>SUMIFS([1]инфо!$E$15:$E$28,[1]инфо!$A$15:$A$28,F512)</f>
        <v/>
      </c>
      <c r="AI512" s="64">
        <f>IF(H512=0,0,S512/H512)</f>
        <v/>
      </c>
      <c r="AJ512" s="63">
        <f>AI512-AH512</f>
        <v/>
      </c>
      <c r="AK512" s="61">
        <f>SUMIFS([1]инфо!$F$15:$F$28,[1]инфо!$A$15:$A$28,F512)</f>
        <v/>
      </c>
      <c r="AL512" s="64">
        <f>IF(H512=0,0,Y512/H512)</f>
        <v/>
      </c>
      <c r="AM512" s="63">
        <f>AL512-AK512</f>
        <v/>
      </c>
      <c r="AN512" s="61">
        <f>SUMIFS([1]инфо!$G$15:$G$28,[1]инфо!$A$15:$A$28,F512)</f>
        <v/>
      </c>
      <c r="AO512" s="64">
        <f>IF(H512=0,0,AA512/H512)</f>
        <v/>
      </c>
      <c r="AP512" s="63">
        <f>AO512-AN512</f>
        <v/>
      </c>
      <c r="AQ512" s="61">
        <f>SUMIFS([1]инфо!$H$15:$H$28,[1]инфо!$A$15:$A$28,F512)</f>
        <v/>
      </c>
      <c r="AR512" s="62">
        <f>IF(H511=0,0,AC512/H511)</f>
        <v/>
      </c>
      <c r="AS512" s="63">
        <f>AR512-AQ512</f>
        <v/>
      </c>
      <c r="AT512" s="61">
        <f>SUMIFS([1]инфо!$I$15:$I$28,[1]инфо!$A$15:$A$28,F512)</f>
        <v/>
      </c>
      <c r="AU512" s="62">
        <f>IF(H512=0,0,AD512/H512)</f>
        <v/>
      </c>
      <c r="AV512" s="63">
        <f>AU512-AT512</f>
        <v/>
      </c>
      <c r="AX512" s="59">
        <f>SUMIFS([1]инфо!$C$15:$C$28,[1]инфо!$A$15:$A$28,F512)*H511</f>
        <v/>
      </c>
    </row>
    <row r="513">
      <c r="A513" s="71">
        <f>A511+1</f>
        <v/>
      </c>
      <c r="B513" s="51" t="n"/>
      <c r="C513" s="52" t="n"/>
      <c r="D513" s="53" t="n"/>
      <c r="E513" s="66" t="n"/>
      <c r="F513" s="67" t="n"/>
      <c r="G513" s="58" t="n"/>
      <c r="H513" s="56" t="n"/>
      <c r="I513" s="57">
        <f>IFERROR(H513*VLOOKUP(F513,[1]инфо!$A$15:$C$28,3,FALSE)/1000,0)</f>
        <v/>
      </c>
      <c r="J513" s="55" t="n"/>
      <c r="K513" s="55" t="n"/>
      <c r="L513" s="55" t="n"/>
      <c r="M513" s="55" t="n"/>
      <c r="N513" s="55" t="n"/>
      <c r="O513" s="58" t="n"/>
      <c r="P513" s="58" t="n"/>
      <c r="Q513" s="58" t="n"/>
      <c r="R513" s="58" t="n"/>
      <c r="S513" s="59">
        <f>SUM(O513:R513)</f>
        <v/>
      </c>
      <c r="T513" s="52" t="n"/>
      <c r="U513" s="53" t="n"/>
      <c r="V513" s="58" t="n"/>
      <c r="W513" s="68" t="n"/>
      <c r="X513" s="58" t="n"/>
      <c r="Y513" s="52" t="n"/>
      <c r="Z513" s="58" t="n"/>
      <c r="AA513" s="58" t="n"/>
      <c r="AB513" s="58" t="n"/>
      <c r="AC513" s="68" t="n"/>
      <c r="AD513" s="53" t="n"/>
      <c r="AE513" s="61">
        <f>SUMIFS([1]инфо!$D$15:$D$28,[1]инфо!$A$15:$A$28,F513)</f>
        <v/>
      </c>
      <c r="AF513" s="62">
        <f>IF(H513=0,0,N513/H513)</f>
        <v/>
      </c>
      <c r="AG513" s="63">
        <f>AF513-AE513</f>
        <v/>
      </c>
      <c r="AH513" s="61">
        <f>SUMIFS([1]инфо!$E$15:$E$28,[1]инфо!$A$15:$A$28,F513)</f>
        <v/>
      </c>
      <c r="AI513" s="64">
        <f>IF(H513=0,0,S513/H513)</f>
        <v/>
      </c>
      <c r="AJ513" s="63">
        <f>AI513-AH513</f>
        <v/>
      </c>
      <c r="AK513" s="61">
        <f>SUMIFS([1]инфо!$F$15:$F$28,[1]инфо!$A$15:$A$28,F513)</f>
        <v/>
      </c>
      <c r="AL513" s="64">
        <f>IF(H513=0,0,Y513/H513)</f>
        <v/>
      </c>
      <c r="AM513" s="63">
        <f>AL513-AK513</f>
        <v/>
      </c>
      <c r="AN513" s="61">
        <f>SUMIFS([1]инфо!$G$15:$G$28,[1]инфо!$A$15:$A$28,F513)</f>
        <v/>
      </c>
      <c r="AO513" s="64">
        <f>IF(H513=0,0,AA513/H513)</f>
        <v/>
      </c>
      <c r="AP513" s="63">
        <f>AO513-AN513</f>
        <v/>
      </c>
      <c r="AQ513" s="61">
        <f>SUMIFS([1]инфо!$H$15:$H$28,[1]инфо!$A$15:$A$28,F513)</f>
        <v/>
      </c>
      <c r="AR513" s="62">
        <f>IF(H512=0,0,AC513/H512)</f>
        <v/>
      </c>
      <c r="AS513" s="63">
        <f>AR513-AQ513</f>
        <v/>
      </c>
      <c r="AT513" s="61">
        <f>SUMIFS([1]инфо!$I$15:$I$28,[1]инфо!$A$15:$A$28,F513)</f>
        <v/>
      </c>
      <c r="AU513" s="62">
        <f>IF(H513=0,0,AD513/H513)</f>
        <v/>
      </c>
      <c r="AV513" s="63">
        <f>AU513-AT513</f>
        <v/>
      </c>
      <c r="AX513" s="59">
        <f>SUMIFS([1]инфо!$C$15:$C$28,[1]инфо!$A$15:$A$28,F513)*H512</f>
        <v/>
      </c>
    </row>
    <row r="514">
      <c r="A514" s="71">
        <f>A512+1</f>
        <v/>
      </c>
      <c r="B514" s="88" t="n"/>
      <c r="C514" s="77" t="n"/>
      <c r="D514" s="78" t="n"/>
      <c r="E514" s="66" t="n"/>
      <c r="F514" s="67" t="n"/>
      <c r="G514" s="79" t="n"/>
      <c r="H514" s="67" t="n"/>
      <c r="I514" s="57">
        <f>IFERROR(H514*VLOOKUP(F514,[1]инфо!$A$15:$C$28,3,FALSE)/1000,0)</f>
        <v/>
      </c>
      <c r="J514" s="55" t="n"/>
      <c r="K514" s="55" t="n"/>
      <c r="L514" s="55" t="n"/>
      <c r="M514" s="55" t="n"/>
      <c r="N514" s="56" t="n"/>
      <c r="O514" s="79" t="n"/>
      <c r="P514" s="79" t="n"/>
      <c r="Q514" s="79" t="n"/>
      <c r="R514" s="79" t="n"/>
      <c r="S514" s="80">
        <f>SUM(O514:R514)</f>
        <v/>
      </c>
      <c r="T514" s="77" t="n"/>
      <c r="U514" s="78" t="n"/>
      <c r="V514" s="79" t="n"/>
      <c r="W514" s="68" t="n"/>
      <c r="X514" s="79" t="n"/>
      <c r="Y514" s="77" t="n"/>
      <c r="Z514" s="79" t="n"/>
      <c r="AA514" s="79" t="n"/>
      <c r="AB514" s="79" t="n"/>
      <c r="AC514" s="68" t="n"/>
      <c r="AD514" s="78" t="n"/>
      <c r="AE514" s="81">
        <f>SUMIFS([1]инфо!$D$15:$D$28,[1]инфо!$A$15:$A$28,F514)</f>
        <v/>
      </c>
      <c r="AF514" s="62">
        <f>IF(H514=0,0,N514/H514)</f>
        <v/>
      </c>
      <c r="AG514" s="82">
        <f>AF514-AE514</f>
        <v/>
      </c>
      <c r="AH514" s="81">
        <f>SUMIFS([1]инфо!$E$15:$E$28,[1]инфо!$A$15:$A$28,F514)</f>
        <v/>
      </c>
      <c r="AI514" s="64">
        <f>IF(H514=0,0,S514/H514)</f>
        <v/>
      </c>
      <c r="AJ514" s="82">
        <f>AI514-AH514</f>
        <v/>
      </c>
      <c r="AK514" s="81">
        <f>SUMIFS([1]инфо!$F$15:$F$28,[1]инфо!$A$15:$A$28,F514)</f>
        <v/>
      </c>
      <c r="AL514" s="64">
        <f>IF(H514=0,0,Y514/H514)</f>
        <v/>
      </c>
      <c r="AM514" s="82">
        <f>AL514-AK514</f>
        <v/>
      </c>
      <c r="AN514" s="81">
        <f>SUMIFS([1]инфо!$G$15:$G$28,[1]инфо!$A$15:$A$28,F514)</f>
        <v/>
      </c>
      <c r="AO514" s="64">
        <f>IF(H514=0,0,AA514/H514)</f>
        <v/>
      </c>
      <c r="AP514" s="82">
        <f>AO514-AN514</f>
        <v/>
      </c>
      <c r="AQ514" s="81">
        <f>SUMIFS([1]инфо!$H$15:$H$28,[1]инфо!$A$15:$A$28,F514)</f>
        <v/>
      </c>
      <c r="AR514" s="85">
        <f>IF(H513=0,0,AC514/H513)</f>
        <v/>
      </c>
      <c r="AS514" s="82">
        <f>AR514-AQ514</f>
        <v/>
      </c>
      <c r="AT514" s="81">
        <f>SUMIFS([1]инфо!$I$15:$I$28,[1]инфо!$A$15:$A$28,F514)</f>
        <v/>
      </c>
      <c r="AU514" s="62">
        <f>IF(H514=0,0,AD514/H514)</f>
        <v/>
      </c>
      <c r="AV514" s="82">
        <f>AU514-AT514</f>
        <v/>
      </c>
      <c r="AX514" s="80">
        <f>SUMIFS([1]инфо!$C$15:$C$28,[1]инфо!$A$15:$A$28,F514)*H513</f>
        <v/>
      </c>
    </row>
    <row r="515">
      <c r="A515" s="71">
        <f>A513+1</f>
        <v/>
      </c>
      <c r="B515" s="89" t="n"/>
      <c r="C515" s="72" t="n"/>
      <c r="D515" s="73" t="n"/>
      <c r="E515" s="66" t="n"/>
      <c r="F515" s="67" t="n"/>
      <c r="G515" s="74" t="n"/>
      <c r="H515" s="55" t="n"/>
      <c r="I515" s="57">
        <f>IFERROR(H515*VLOOKUP(F515,[1]инфо!$A$15:$C$28,3,FALSE)/1000,0)</f>
        <v/>
      </c>
      <c r="J515" s="55" t="n"/>
      <c r="K515" s="55" t="n"/>
      <c r="L515" s="55" t="n"/>
      <c r="M515" s="55" t="n"/>
      <c r="N515" s="67" t="n"/>
      <c r="O515" s="74" t="n"/>
      <c r="P515" s="74" t="n"/>
      <c r="Q515" s="74" t="n"/>
      <c r="R515" s="74" t="n"/>
      <c r="S515" s="70">
        <f>SUM(O515:R515)</f>
        <v/>
      </c>
      <c r="T515" s="72" t="n"/>
      <c r="U515" s="73" t="n"/>
      <c r="V515" s="74" t="n"/>
      <c r="W515" s="68" t="n"/>
      <c r="X515" s="74" t="n"/>
      <c r="Y515" s="72" t="n"/>
      <c r="Z515" s="74" t="n"/>
      <c r="AA515" s="74" t="n"/>
      <c r="AB515" s="74" t="n"/>
      <c r="AC515" s="68" t="n"/>
      <c r="AD515" s="73" t="n"/>
      <c r="AE515" s="75">
        <f>SUMIFS([1]инфо!$D$15:$D$28,[1]инфо!$A$15:$A$28,F515)</f>
        <v/>
      </c>
      <c r="AF515" s="62">
        <f>IF(H515=0,0,N515/H515)</f>
        <v/>
      </c>
      <c r="AG515" s="76">
        <f>AF515-AE515</f>
        <v/>
      </c>
      <c r="AH515" s="75">
        <f>SUMIFS([1]инфо!$E$15:$E$28,[1]инфо!$A$15:$A$28,F515)</f>
        <v/>
      </c>
      <c r="AI515" s="64">
        <f>IF(H515=0,0,S515/H515)</f>
        <v/>
      </c>
      <c r="AJ515" s="76">
        <f>AI515-AH515</f>
        <v/>
      </c>
      <c r="AK515" s="75">
        <f>SUMIFS([1]инфо!$F$15:$F$28,[1]инфо!$A$15:$A$28,F515)</f>
        <v/>
      </c>
      <c r="AL515" s="64">
        <f>IF(H515=0,0,Y515/H515)</f>
        <v/>
      </c>
      <c r="AM515" s="76">
        <f>AL515-AK515</f>
        <v/>
      </c>
      <c r="AN515" s="75">
        <f>SUMIFS([1]инфо!$G$15:$G$28,[1]инфо!$A$15:$A$28,F515)</f>
        <v/>
      </c>
      <c r="AO515" s="64">
        <f>IF(H515=0,0,AA515/H515)</f>
        <v/>
      </c>
      <c r="AP515" s="76">
        <f>AO515-AN515</f>
        <v/>
      </c>
      <c r="AQ515" s="75">
        <f>SUMIFS([1]инфо!$H$15:$H$28,[1]инфо!$A$15:$A$28,F515)</f>
        <v/>
      </c>
      <c r="AR515" s="64">
        <f>IF(H514=0,0,AC515/H514)</f>
        <v/>
      </c>
      <c r="AS515" s="76">
        <f>AR515-AQ515</f>
        <v/>
      </c>
      <c r="AT515" s="75">
        <f>SUMIFS([1]инфо!$I$15:$I$28,[1]инфо!$A$15:$A$28,F515)</f>
        <v/>
      </c>
      <c r="AU515" s="62">
        <f>IF(H515=0,0,AD515/H515)</f>
        <v/>
      </c>
      <c r="AV515" s="76">
        <f>AU515-AT515</f>
        <v/>
      </c>
      <c r="AX515" s="70">
        <f>SUMIFS([1]инфо!$C$15:$C$28,[1]инфо!$A$15:$A$28,F515)*H514</f>
        <v/>
      </c>
    </row>
    <row r="516">
      <c r="A516" s="71">
        <f>A514+1</f>
        <v/>
      </c>
      <c r="B516" s="90" t="n"/>
      <c r="C516" s="52" t="n"/>
      <c r="D516" s="53" t="n"/>
      <c r="E516" s="66" t="n"/>
      <c r="F516" s="67" t="n"/>
      <c r="G516" s="58" t="n"/>
      <c r="H516" s="55" t="n"/>
      <c r="I516" s="57">
        <f>IFERROR(H516*VLOOKUP(F516,[1]инфо!$A$15:$C$28,3,FALSE)/1000,0)</f>
        <v/>
      </c>
      <c r="J516" s="55" t="n"/>
      <c r="K516" s="55" t="n"/>
      <c r="L516" s="55" t="n"/>
      <c r="M516" s="55" t="n"/>
      <c r="N516" s="55" t="n"/>
      <c r="O516" s="58" t="n"/>
      <c r="P516" s="58" t="n"/>
      <c r="Q516" s="58" t="n"/>
      <c r="R516" s="58" t="n"/>
      <c r="S516" s="59">
        <f>SUM(O516:R516)</f>
        <v/>
      </c>
      <c r="T516" s="52" t="n"/>
      <c r="U516" s="53" t="n"/>
      <c r="V516" s="58" t="n"/>
      <c r="W516" s="68" t="n"/>
      <c r="X516" s="58" t="n"/>
      <c r="Y516" s="52" t="n"/>
      <c r="Z516" s="58" t="n"/>
      <c r="AA516" s="58" t="n"/>
      <c r="AB516" s="58" t="n"/>
      <c r="AC516" s="68" t="n"/>
      <c r="AD516" s="53" t="n"/>
      <c r="AE516" s="61">
        <f>SUMIFS([1]инфо!$D$15:$D$28,[1]инфо!$A$15:$A$28,F516)</f>
        <v/>
      </c>
      <c r="AF516" s="62">
        <f>IF(H516=0,0,N516/H516)</f>
        <v/>
      </c>
      <c r="AG516" s="63">
        <f>AF516-AE516</f>
        <v/>
      </c>
      <c r="AH516" s="61">
        <f>SUMIFS([1]инфо!$E$15:$E$28,[1]инфо!$A$15:$A$28,F516)</f>
        <v/>
      </c>
      <c r="AI516" s="64">
        <f>IF(H516=0,0,S516/H516)</f>
        <v/>
      </c>
      <c r="AJ516" s="63">
        <f>AI516-AH516</f>
        <v/>
      </c>
      <c r="AK516" s="61">
        <f>SUMIFS([1]инфо!$F$15:$F$28,[1]инфо!$A$15:$A$28,F516)</f>
        <v/>
      </c>
      <c r="AL516" s="64">
        <f>IF(H516=0,0,Y516/H516)</f>
        <v/>
      </c>
      <c r="AM516" s="63">
        <f>AL516-AK516</f>
        <v/>
      </c>
      <c r="AN516" s="61">
        <f>SUMIFS([1]инфо!$G$15:$G$28,[1]инфо!$A$15:$A$28,F516)</f>
        <v/>
      </c>
      <c r="AO516" s="64">
        <f>IF(H516=0,0,AA516/H516)</f>
        <v/>
      </c>
      <c r="AP516" s="63">
        <f>AO516-AN516</f>
        <v/>
      </c>
      <c r="AQ516" s="61">
        <f>SUMIFS([1]инфо!$H$15:$H$28,[1]инфо!$A$15:$A$28,F516)</f>
        <v/>
      </c>
      <c r="AR516" s="62">
        <f>IF(H515=0,0,AC516/H515)</f>
        <v/>
      </c>
      <c r="AS516" s="63">
        <f>AR516-AQ516</f>
        <v/>
      </c>
      <c r="AT516" s="61">
        <f>SUMIFS([1]инфо!$I$15:$I$28,[1]инфо!$A$15:$A$28,F516)</f>
        <v/>
      </c>
      <c r="AU516" s="62">
        <f>IF(H516=0,0,AD516/H516)</f>
        <v/>
      </c>
      <c r="AV516" s="63">
        <f>AU516-AT516</f>
        <v/>
      </c>
      <c r="AX516" s="59">
        <f>SUMIFS([1]инфо!$C$15:$C$28,[1]инфо!$A$15:$A$28,F516)*H515</f>
        <v/>
      </c>
    </row>
    <row r="517">
      <c r="A517" s="71">
        <f>A515+1</f>
        <v/>
      </c>
      <c r="B517" s="90" t="n"/>
      <c r="C517" s="52" t="n"/>
      <c r="D517" s="53" t="n"/>
      <c r="E517" s="66" t="n"/>
      <c r="F517" s="67" t="n"/>
      <c r="G517" s="58" t="n"/>
      <c r="H517" s="56" t="n"/>
      <c r="I517" s="57">
        <f>IFERROR(H517*VLOOKUP(F517,[1]инфо!$A$15:$C$28,3,FALSE)/1000,0)</f>
        <v/>
      </c>
      <c r="J517" s="55" t="n"/>
      <c r="K517" s="55" t="n"/>
      <c r="L517" s="55" t="n"/>
      <c r="M517" s="55" t="n"/>
      <c r="N517" s="55" t="n"/>
      <c r="O517" s="58" t="n"/>
      <c r="P517" s="58" t="n"/>
      <c r="Q517" s="58" t="n"/>
      <c r="R517" s="58" t="n"/>
      <c r="S517" s="59">
        <f>SUM(O517:R517)</f>
        <v/>
      </c>
      <c r="T517" s="52" t="n"/>
      <c r="U517" s="53" t="n"/>
      <c r="V517" s="58" t="n"/>
      <c r="W517" s="68" t="n"/>
      <c r="X517" s="58" t="n"/>
      <c r="Y517" s="52" t="n"/>
      <c r="Z517" s="58" t="n"/>
      <c r="AA517" s="58" t="n"/>
      <c r="AB517" s="58" t="n"/>
      <c r="AC517" s="68" t="n"/>
      <c r="AD517" s="53" t="n"/>
      <c r="AE517" s="61">
        <f>SUMIFS([1]инфо!$D$15:$D$28,[1]инфо!$A$15:$A$28,F517)</f>
        <v/>
      </c>
      <c r="AF517" s="62">
        <f>IF(H517=0,0,N517/H517)</f>
        <v/>
      </c>
      <c r="AG517" s="63">
        <f>AF517-AE517</f>
        <v/>
      </c>
      <c r="AH517" s="61">
        <f>SUMIFS([1]инфо!$E$15:$E$28,[1]инфо!$A$15:$A$28,F517)</f>
        <v/>
      </c>
      <c r="AI517" s="64">
        <f>IF(H517=0,0,S517/H517)</f>
        <v/>
      </c>
      <c r="AJ517" s="63">
        <f>AI517-AH517</f>
        <v/>
      </c>
      <c r="AK517" s="61">
        <f>SUMIFS([1]инфо!$F$15:$F$28,[1]инфо!$A$15:$A$28,F517)</f>
        <v/>
      </c>
      <c r="AL517" s="64">
        <f>IF(H517=0,0,Y517/H517)</f>
        <v/>
      </c>
      <c r="AM517" s="63">
        <f>AL517-AK517</f>
        <v/>
      </c>
      <c r="AN517" s="61">
        <f>SUMIFS([1]инфо!$G$15:$G$28,[1]инфо!$A$15:$A$28,F517)</f>
        <v/>
      </c>
      <c r="AO517" s="64">
        <f>IF(H517=0,0,AA517/H517)</f>
        <v/>
      </c>
      <c r="AP517" s="63">
        <f>AO517-AN517</f>
        <v/>
      </c>
      <c r="AQ517" s="61">
        <f>SUMIFS([1]инфо!$H$15:$H$28,[1]инфо!$A$15:$A$28,F517)</f>
        <v/>
      </c>
      <c r="AR517" s="62">
        <f>IF(H516=0,0,AC517/H516)</f>
        <v/>
      </c>
      <c r="AS517" s="63">
        <f>AR517-AQ517</f>
        <v/>
      </c>
      <c r="AT517" s="61">
        <f>SUMIFS([1]инфо!$I$15:$I$28,[1]инфо!$A$15:$A$28,F517)</f>
        <v/>
      </c>
      <c r="AU517" s="62">
        <f>IF(H517=0,0,AD517/H517)</f>
        <v/>
      </c>
      <c r="AV517" s="63">
        <f>AU517-AT517</f>
        <v/>
      </c>
      <c r="AX517" s="59">
        <f>SUMIFS([1]инфо!$C$15:$C$28,[1]инфо!$A$15:$A$28,F517)*H516</f>
        <v/>
      </c>
    </row>
    <row r="518">
      <c r="A518" s="71">
        <f>A516+1</f>
        <v/>
      </c>
      <c r="B518" s="88" t="n"/>
      <c r="C518" s="77" t="n"/>
      <c r="D518" s="78" t="n"/>
      <c r="E518" s="66" t="n"/>
      <c r="F518" s="67" t="n"/>
      <c r="G518" s="79" t="n"/>
      <c r="H518" s="67" t="n"/>
      <c r="I518" s="57">
        <f>IFERROR(H518*VLOOKUP(F518,[1]инфо!$A$15:$C$28,3,FALSE)/1000,0)</f>
        <v/>
      </c>
      <c r="J518" s="55" t="n"/>
      <c r="K518" s="55" t="n"/>
      <c r="L518" s="55" t="n"/>
      <c r="M518" s="55" t="n"/>
      <c r="N518" s="56" t="n"/>
      <c r="O518" s="79" t="n"/>
      <c r="P518" s="79" t="n"/>
      <c r="Q518" s="79" t="n"/>
      <c r="R518" s="79" t="n"/>
      <c r="S518" s="80">
        <f>SUM(O518:R518)</f>
        <v/>
      </c>
      <c r="T518" s="77" t="n"/>
      <c r="U518" s="78" t="n"/>
      <c r="V518" s="79" t="n"/>
      <c r="W518" s="68" t="n"/>
      <c r="X518" s="79" t="n"/>
      <c r="Y518" s="77" t="n"/>
      <c r="Z518" s="79" t="n"/>
      <c r="AA518" s="79" t="n"/>
      <c r="AB518" s="79" t="n"/>
      <c r="AC518" s="68" t="n"/>
      <c r="AD518" s="78" t="n"/>
      <c r="AE518" s="81">
        <f>SUMIFS([1]инфо!$D$15:$D$28,[1]инфо!$A$15:$A$28,F518)</f>
        <v/>
      </c>
      <c r="AF518" s="62">
        <f>IF(H518=0,0,N518/H518)</f>
        <v/>
      </c>
      <c r="AG518" s="82">
        <f>AF518-AE518</f>
        <v/>
      </c>
      <c r="AH518" s="81">
        <f>SUMIFS([1]инфо!$E$15:$E$28,[1]инфо!$A$15:$A$28,F518)</f>
        <v/>
      </c>
      <c r="AI518" s="64">
        <f>IF(H518=0,0,S518/H518)</f>
        <v/>
      </c>
      <c r="AJ518" s="82">
        <f>AI518-AH518</f>
        <v/>
      </c>
      <c r="AK518" s="81">
        <f>SUMIFS([1]инфо!$F$15:$F$28,[1]инфо!$A$15:$A$28,F518)</f>
        <v/>
      </c>
      <c r="AL518" s="64">
        <f>IF(H518=0,0,Y518/H518)</f>
        <v/>
      </c>
      <c r="AM518" s="82">
        <f>AL518-AK518</f>
        <v/>
      </c>
      <c r="AN518" s="81">
        <f>SUMIFS([1]инфо!$G$15:$G$28,[1]инфо!$A$15:$A$28,F518)</f>
        <v/>
      </c>
      <c r="AO518" s="64">
        <f>IF(H518=0,0,AA518/H518)</f>
        <v/>
      </c>
      <c r="AP518" s="82">
        <f>AO518-AN518</f>
        <v/>
      </c>
      <c r="AQ518" s="81">
        <f>SUMIFS([1]инфо!$H$15:$H$28,[1]инфо!$A$15:$A$28,F518)</f>
        <v/>
      </c>
      <c r="AR518" s="85">
        <f>IF(H517=0,0,AC518/H517)</f>
        <v/>
      </c>
      <c r="AS518" s="82">
        <f>AR518-AQ518</f>
        <v/>
      </c>
      <c r="AT518" s="81">
        <f>SUMIFS([1]инфо!$I$15:$I$28,[1]инфо!$A$15:$A$28,F518)</f>
        <v/>
      </c>
      <c r="AU518" s="62">
        <f>IF(H518=0,0,AD518/H518)</f>
        <v/>
      </c>
      <c r="AV518" s="82">
        <f>AU518-AT518</f>
        <v/>
      </c>
      <c r="AX518" s="80">
        <f>SUMIFS([1]инфо!$C$15:$C$28,[1]инфо!$A$15:$A$28,F518)*H517</f>
        <v/>
      </c>
    </row>
    <row r="519">
      <c r="A519" s="71">
        <f>A517+1</f>
        <v/>
      </c>
      <c r="B519" s="89" t="n"/>
      <c r="C519" s="72" t="n"/>
      <c r="D519" s="73" t="n"/>
      <c r="E519" s="66" t="n"/>
      <c r="F519" s="67" t="n"/>
      <c r="G519" s="74" t="n"/>
      <c r="H519" s="55" t="n"/>
      <c r="I519" s="57">
        <f>IFERROR(H519*VLOOKUP(F519,[1]инфо!$A$15:$C$28,3,FALSE)/1000,0)</f>
        <v/>
      </c>
      <c r="J519" s="55" t="n"/>
      <c r="K519" s="55" t="n"/>
      <c r="L519" s="55" t="n"/>
      <c r="M519" s="55" t="n"/>
      <c r="N519" s="67" t="n"/>
      <c r="O519" s="74" t="n"/>
      <c r="P519" s="74" t="n"/>
      <c r="Q519" s="74" t="n"/>
      <c r="R519" s="74" t="n"/>
      <c r="S519" s="70">
        <f>SUM(O519:R519)</f>
        <v/>
      </c>
      <c r="T519" s="72" t="n"/>
      <c r="U519" s="73" t="n"/>
      <c r="V519" s="74" t="n"/>
      <c r="W519" s="68" t="n"/>
      <c r="X519" s="74" t="n"/>
      <c r="Y519" s="72" t="n"/>
      <c r="Z519" s="74" t="n"/>
      <c r="AA519" s="74" t="n"/>
      <c r="AB519" s="74" t="n"/>
      <c r="AC519" s="68" t="n"/>
      <c r="AD519" s="73" t="n"/>
      <c r="AE519" s="75">
        <f>SUMIFS([1]инфо!$D$15:$D$28,[1]инфо!$A$15:$A$28,F519)</f>
        <v/>
      </c>
      <c r="AF519" s="62">
        <f>IF(H519=0,0,N519/H519)</f>
        <v/>
      </c>
      <c r="AG519" s="76">
        <f>AF519-AE519</f>
        <v/>
      </c>
      <c r="AH519" s="75">
        <f>SUMIFS([1]инфо!$E$15:$E$28,[1]инфо!$A$15:$A$28,F519)</f>
        <v/>
      </c>
      <c r="AI519" s="64">
        <f>IF(H519=0,0,S519/H519)</f>
        <v/>
      </c>
      <c r="AJ519" s="76">
        <f>AI519-AH519</f>
        <v/>
      </c>
      <c r="AK519" s="75">
        <f>SUMIFS([1]инфо!$F$15:$F$28,[1]инфо!$A$15:$A$28,F519)</f>
        <v/>
      </c>
      <c r="AL519" s="64">
        <f>IF(H519=0,0,Y519/H519)</f>
        <v/>
      </c>
      <c r="AM519" s="76">
        <f>AL519-AK519</f>
        <v/>
      </c>
      <c r="AN519" s="75">
        <f>SUMIFS([1]инфо!$G$15:$G$28,[1]инфо!$A$15:$A$28,F519)</f>
        <v/>
      </c>
      <c r="AO519" s="64">
        <f>IF(H519=0,0,AA519/H519)</f>
        <v/>
      </c>
      <c r="AP519" s="76">
        <f>AO519-AN519</f>
        <v/>
      </c>
      <c r="AQ519" s="75">
        <f>SUMIFS([1]инфо!$H$15:$H$28,[1]инфо!$A$15:$A$28,F519)</f>
        <v/>
      </c>
      <c r="AR519" s="64">
        <f>IF(H518=0,0,AC519/H518)</f>
        <v/>
      </c>
      <c r="AS519" s="76">
        <f>AR519-AQ519</f>
        <v/>
      </c>
      <c r="AT519" s="75">
        <f>SUMIFS([1]инфо!$I$15:$I$28,[1]инфо!$A$15:$A$28,F519)</f>
        <v/>
      </c>
      <c r="AU519" s="62">
        <f>IF(H519=0,0,AD519/H519)</f>
        <v/>
      </c>
      <c r="AV519" s="76">
        <f>AU519-AT519</f>
        <v/>
      </c>
      <c r="AX519" s="70">
        <f>SUMIFS([1]инфо!$C$15:$C$28,[1]инфо!$A$15:$A$28,F519)*H518</f>
        <v/>
      </c>
    </row>
    <row r="520">
      <c r="A520" s="71">
        <f>A518+1</f>
        <v/>
      </c>
      <c r="B520" s="90" t="n"/>
      <c r="C520" s="52" t="n"/>
      <c r="D520" s="53" t="n"/>
      <c r="E520" s="66" t="n"/>
      <c r="F520" s="67" t="n"/>
      <c r="G520" s="58" t="n"/>
      <c r="H520" s="55" t="n"/>
      <c r="I520" s="57">
        <f>IFERROR(H520*VLOOKUP(F520,[1]инфо!$A$15:$C$28,3,FALSE)/1000,0)</f>
        <v/>
      </c>
      <c r="J520" s="55" t="n"/>
      <c r="K520" s="55" t="n"/>
      <c r="L520" s="55" t="n"/>
      <c r="M520" s="55" t="n"/>
      <c r="N520" s="55" t="n"/>
      <c r="O520" s="58" t="n"/>
      <c r="P520" s="58" t="n"/>
      <c r="Q520" s="58" t="n"/>
      <c r="R520" s="58" t="n"/>
      <c r="S520" s="59">
        <f>SUM(O520:R520)</f>
        <v/>
      </c>
      <c r="T520" s="52" t="n"/>
      <c r="U520" s="53" t="n"/>
      <c r="V520" s="58" t="n"/>
      <c r="W520" s="68" t="n"/>
      <c r="X520" s="58" t="n"/>
      <c r="Y520" s="52" t="n"/>
      <c r="Z520" s="58" t="n"/>
      <c r="AA520" s="58" t="n"/>
      <c r="AB520" s="58" t="n"/>
      <c r="AC520" s="68" t="n"/>
      <c r="AD520" s="53" t="n"/>
      <c r="AE520" s="61">
        <f>SUMIFS([1]инфо!$D$15:$D$28,[1]инфо!$A$15:$A$28,F520)</f>
        <v/>
      </c>
      <c r="AF520" s="62">
        <f>IF(H520=0,0,N520/H520)</f>
        <v/>
      </c>
      <c r="AG520" s="63">
        <f>AF520-AE520</f>
        <v/>
      </c>
      <c r="AH520" s="61">
        <f>SUMIFS([1]инфо!$E$15:$E$28,[1]инфо!$A$15:$A$28,F520)</f>
        <v/>
      </c>
      <c r="AI520" s="64">
        <f>IF(H520=0,0,S520/H520)</f>
        <v/>
      </c>
      <c r="AJ520" s="63">
        <f>AI520-AH520</f>
        <v/>
      </c>
      <c r="AK520" s="61">
        <f>SUMIFS([1]инфо!$F$15:$F$28,[1]инфо!$A$15:$A$28,F520)</f>
        <v/>
      </c>
      <c r="AL520" s="64">
        <f>IF(H520=0,0,Y520/H520)</f>
        <v/>
      </c>
      <c r="AM520" s="63">
        <f>AL520-AK520</f>
        <v/>
      </c>
      <c r="AN520" s="61">
        <f>SUMIFS([1]инфо!$G$15:$G$28,[1]инфо!$A$15:$A$28,F520)</f>
        <v/>
      </c>
      <c r="AO520" s="64">
        <f>IF(H520=0,0,AA520/H520)</f>
        <v/>
      </c>
      <c r="AP520" s="63">
        <f>AO520-AN520</f>
        <v/>
      </c>
      <c r="AQ520" s="61">
        <f>SUMIFS([1]инфо!$H$15:$H$28,[1]инфо!$A$15:$A$28,F520)</f>
        <v/>
      </c>
      <c r="AR520" s="62">
        <f>IF(H519=0,0,AC520/H519)</f>
        <v/>
      </c>
      <c r="AS520" s="63">
        <f>AR520-AQ520</f>
        <v/>
      </c>
      <c r="AT520" s="61">
        <f>SUMIFS([1]инфо!$I$15:$I$28,[1]инфо!$A$15:$A$28,F520)</f>
        <v/>
      </c>
      <c r="AU520" s="62">
        <f>IF(H520=0,0,AD520/H520)</f>
        <v/>
      </c>
      <c r="AV520" s="63">
        <f>AU520-AT520</f>
        <v/>
      </c>
      <c r="AX520" s="59">
        <f>SUMIFS([1]инфо!$C$15:$C$28,[1]инфо!$A$15:$A$28,F520)*H519</f>
        <v/>
      </c>
    </row>
    <row r="521">
      <c r="A521" s="71">
        <f>A519+1</f>
        <v/>
      </c>
      <c r="B521" s="90" t="n"/>
      <c r="C521" s="52" t="n"/>
      <c r="D521" s="53" t="n"/>
      <c r="E521" s="66" t="n"/>
      <c r="F521" s="67" t="n"/>
      <c r="G521" s="58" t="n"/>
      <c r="H521" s="56" t="n"/>
      <c r="I521" s="57">
        <f>IFERROR(H521*VLOOKUP(F521,[1]инфо!$A$15:$C$28,3,FALSE)/1000,0)</f>
        <v/>
      </c>
      <c r="J521" s="55" t="n"/>
      <c r="K521" s="55" t="n"/>
      <c r="L521" s="55" t="n"/>
      <c r="M521" s="55" t="n"/>
      <c r="N521" s="55" t="n"/>
      <c r="O521" s="58" t="n"/>
      <c r="P521" s="58" t="n"/>
      <c r="Q521" s="58" t="n"/>
      <c r="R521" s="58" t="n"/>
      <c r="S521" s="59">
        <f>SUM(O521:R521)</f>
        <v/>
      </c>
      <c r="T521" s="52" t="n"/>
      <c r="U521" s="53" t="n"/>
      <c r="V521" s="58" t="n"/>
      <c r="W521" s="68" t="n"/>
      <c r="X521" s="58" t="n"/>
      <c r="Y521" s="52" t="n"/>
      <c r="Z521" s="58" t="n"/>
      <c r="AA521" s="58" t="n"/>
      <c r="AB521" s="58" t="n"/>
      <c r="AC521" s="68" t="n"/>
      <c r="AD521" s="53" t="n"/>
      <c r="AE521" s="61">
        <f>SUMIFS([1]инфо!$D$15:$D$28,[1]инфо!$A$15:$A$28,F521)</f>
        <v/>
      </c>
      <c r="AF521" s="62">
        <f>IF(H521=0,0,N521/H521)</f>
        <v/>
      </c>
      <c r="AG521" s="63">
        <f>AF521-AE521</f>
        <v/>
      </c>
      <c r="AH521" s="61">
        <f>SUMIFS([1]инфо!$E$15:$E$28,[1]инфо!$A$15:$A$28,F521)</f>
        <v/>
      </c>
      <c r="AI521" s="64">
        <f>IF(H521=0,0,S521/H521)</f>
        <v/>
      </c>
      <c r="AJ521" s="63">
        <f>AI521-AH521</f>
        <v/>
      </c>
      <c r="AK521" s="61">
        <f>SUMIFS([1]инфо!$F$15:$F$28,[1]инфо!$A$15:$A$28,F521)</f>
        <v/>
      </c>
      <c r="AL521" s="64">
        <f>IF(H521=0,0,Y521/H521)</f>
        <v/>
      </c>
      <c r="AM521" s="63">
        <f>AL521-AK521</f>
        <v/>
      </c>
      <c r="AN521" s="61">
        <f>SUMIFS([1]инфо!$G$15:$G$28,[1]инфо!$A$15:$A$28,F521)</f>
        <v/>
      </c>
      <c r="AO521" s="64">
        <f>IF(H521=0,0,AA521/H521)</f>
        <v/>
      </c>
      <c r="AP521" s="63">
        <f>AO521-AN521</f>
        <v/>
      </c>
      <c r="AQ521" s="61">
        <f>SUMIFS([1]инфо!$H$15:$H$28,[1]инфо!$A$15:$A$28,F521)</f>
        <v/>
      </c>
      <c r="AR521" s="62">
        <f>IF(H520=0,0,AC521/H520)</f>
        <v/>
      </c>
      <c r="AS521" s="63">
        <f>AR521-AQ521</f>
        <v/>
      </c>
      <c r="AT521" s="61">
        <f>SUMIFS([1]инфо!$I$15:$I$28,[1]инфо!$A$15:$A$28,F521)</f>
        <v/>
      </c>
      <c r="AU521" s="62">
        <f>IF(H521=0,0,AD521/H521)</f>
        <v/>
      </c>
      <c r="AV521" s="63">
        <f>AU521-AT521</f>
        <v/>
      </c>
      <c r="AX521" s="59">
        <f>SUMIFS([1]инфо!$C$15:$C$28,[1]инфо!$A$15:$A$28,F521)*H520</f>
        <v/>
      </c>
    </row>
    <row r="522">
      <c r="A522" s="71">
        <f>A520+1</f>
        <v/>
      </c>
      <c r="B522" s="88" t="n"/>
      <c r="C522" s="77" t="n"/>
      <c r="D522" s="78" t="n"/>
      <c r="E522" s="66" t="n"/>
      <c r="F522" s="67" t="n"/>
      <c r="G522" s="79" t="n"/>
      <c r="H522" s="67" t="n"/>
      <c r="I522" s="57">
        <f>IFERROR(H522*VLOOKUP(F522,[1]инфо!$A$15:$C$28,3,FALSE)/1000,0)</f>
        <v/>
      </c>
      <c r="J522" s="55" t="n"/>
      <c r="K522" s="55" t="n"/>
      <c r="L522" s="55" t="n"/>
      <c r="M522" s="55" t="n"/>
      <c r="N522" s="56" t="n"/>
      <c r="O522" s="79" t="n"/>
      <c r="P522" s="79" t="n"/>
      <c r="Q522" s="79" t="n"/>
      <c r="R522" s="79" t="n"/>
      <c r="S522" s="80">
        <f>SUM(O522:R522)</f>
        <v/>
      </c>
      <c r="T522" s="77" t="n"/>
      <c r="U522" s="78" t="n"/>
      <c r="V522" s="79" t="n"/>
      <c r="W522" s="68" t="n"/>
      <c r="X522" s="79" t="n"/>
      <c r="Y522" s="77" t="n"/>
      <c r="Z522" s="79" t="n"/>
      <c r="AA522" s="79" t="n"/>
      <c r="AB522" s="79" t="n"/>
      <c r="AC522" s="68" t="n"/>
      <c r="AD522" s="78" t="n"/>
      <c r="AE522" s="81">
        <f>SUMIFS([1]инфо!$D$15:$D$28,[1]инфо!$A$15:$A$28,F522)</f>
        <v/>
      </c>
      <c r="AF522" s="62">
        <f>IF(H522=0,0,N522/H522)</f>
        <v/>
      </c>
      <c r="AG522" s="82">
        <f>AF522-AE522</f>
        <v/>
      </c>
      <c r="AH522" s="81">
        <f>SUMIFS([1]инфо!$E$15:$E$28,[1]инфо!$A$15:$A$28,F522)</f>
        <v/>
      </c>
      <c r="AI522" s="64">
        <f>IF(H522=0,0,S522/H522)</f>
        <v/>
      </c>
      <c r="AJ522" s="82">
        <f>AI522-AH522</f>
        <v/>
      </c>
      <c r="AK522" s="81">
        <f>SUMIFS([1]инфо!$F$15:$F$28,[1]инфо!$A$15:$A$28,F522)</f>
        <v/>
      </c>
      <c r="AL522" s="64">
        <f>IF(H522=0,0,Y522/H522)</f>
        <v/>
      </c>
      <c r="AM522" s="82">
        <f>AL522-AK522</f>
        <v/>
      </c>
      <c r="AN522" s="81">
        <f>SUMIFS([1]инфо!$G$15:$G$28,[1]инфо!$A$15:$A$28,F522)</f>
        <v/>
      </c>
      <c r="AO522" s="64">
        <f>IF(H522=0,0,AA522/H522)</f>
        <v/>
      </c>
      <c r="AP522" s="82">
        <f>AO522-AN522</f>
        <v/>
      </c>
      <c r="AQ522" s="81">
        <f>SUMIFS([1]инфо!$H$15:$H$28,[1]инфо!$A$15:$A$28,F522)</f>
        <v/>
      </c>
      <c r="AR522" s="85">
        <f>IF(H521=0,0,AC522/H521)</f>
        <v/>
      </c>
      <c r="AS522" s="82">
        <f>AR522-AQ522</f>
        <v/>
      </c>
      <c r="AT522" s="81">
        <f>SUMIFS([1]инфо!$I$15:$I$28,[1]инфо!$A$15:$A$28,F522)</f>
        <v/>
      </c>
      <c r="AU522" s="62">
        <f>IF(H522=0,0,AD522/H522)</f>
        <v/>
      </c>
      <c r="AV522" s="82">
        <f>AU522-AT522</f>
        <v/>
      </c>
      <c r="AX522" s="80">
        <f>SUMIFS([1]инфо!$C$15:$C$28,[1]инфо!$A$15:$A$28,F522)*H521</f>
        <v/>
      </c>
    </row>
    <row r="523">
      <c r="A523" s="71">
        <f>A521+1</f>
        <v/>
      </c>
      <c r="B523" s="89" t="n"/>
      <c r="C523" s="72" t="n"/>
      <c r="D523" s="73" t="n"/>
      <c r="E523" s="66" t="n"/>
      <c r="F523" s="67" t="n"/>
      <c r="G523" s="74" t="n"/>
      <c r="H523" s="55" t="n"/>
      <c r="I523" s="57">
        <f>IFERROR(H523*VLOOKUP(F523,[1]инфо!$A$15:$C$28,3,FALSE)/1000,0)</f>
        <v/>
      </c>
      <c r="J523" s="55" t="n"/>
      <c r="K523" s="55" t="n"/>
      <c r="L523" s="55" t="n"/>
      <c r="M523" s="55" t="n"/>
      <c r="N523" s="67" t="n"/>
      <c r="O523" s="74" t="n"/>
      <c r="P523" s="74" t="n"/>
      <c r="Q523" s="74" t="n"/>
      <c r="R523" s="74" t="n"/>
      <c r="S523" s="70">
        <f>SUM(O523:R523)</f>
        <v/>
      </c>
      <c r="T523" s="72" t="n"/>
      <c r="U523" s="73" t="n"/>
      <c r="V523" s="74" t="n"/>
      <c r="W523" s="68" t="n"/>
      <c r="X523" s="74" t="n"/>
      <c r="Y523" s="72" t="n"/>
      <c r="Z523" s="74" t="n"/>
      <c r="AA523" s="74" t="n"/>
      <c r="AB523" s="74" t="n"/>
      <c r="AC523" s="68" t="n"/>
      <c r="AD523" s="73" t="n"/>
      <c r="AE523" s="75">
        <f>SUMIFS([1]инфо!$D$15:$D$28,[1]инфо!$A$15:$A$28,F523)</f>
        <v/>
      </c>
      <c r="AF523" s="62">
        <f>IF(H523=0,0,N523/H523)</f>
        <v/>
      </c>
      <c r="AG523" s="76">
        <f>AF523-AE523</f>
        <v/>
      </c>
      <c r="AH523" s="75">
        <f>SUMIFS([1]инфо!$E$15:$E$28,[1]инфо!$A$15:$A$28,F523)</f>
        <v/>
      </c>
      <c r="AI523" s="64">
        <f>IF(H523=0,0,S523/H523)</f>
        <v/>
      </c>
      <c r="AJ523" s="76">
        <f>AI523-AH523</f>
        <v/>
      </c>
      <c r="AK523" s="75">
        <f>SUMIFS([1]инфо!$F$15:$F$28,[1]инфо!$A$15:$A$28,F523)</f>
        <v/>
      </c>
      <c r="AL523" s="64">
        <f>IF(H523=0,0,Y523/H523)</f>
        <v/>
      </c>
      <c r="AM523" s="76">
        <f>AL523-AK523</f>
        <v/>
      </c>
      <c r="AN523" s="75">
        <f>SUMIFS([1]инфо!$G$15:$G$28,[1]инфо!$A$15:$A$28,F523)</f>
        <v/>
      </c>
      <c r="AO523" s="64">
        <f>IF(H523=0,0,AA523/H523)</f>
        <v/>
      </c>
      <c r="AP523" s="76">
        <f>AO523-AN523</f>
        <v/>
      </c>
      <c r="AQ523" s="75">
        <f>SUMIFS([1]инфо!$H$15:$H$28,[1]инфо!$A$15:$A$28,F523)</f>
        <v/>
      </c>
      <c r="AR523" s="64">
        <f>IF(H522=0,0,AC523/H522)</f>
        <v/>
      </c>
      <c r="AS523" s="76">
        <f>AR523-AQ523</f>
        <v/>
      </c>
      <c r="AT523" s="75">
        <f>SUMIFS([1]инфо!$I$15:$I$28,[1]инфо!$A$15:$A$28,F523)</f>
        <v/>
      </c>
      <c r="AU523" s="62">
        <f>IF(H523=0,0,AD523/H523)</f>
        <v/>
      </c>
      <c r="AV523" s="76">
        <f>AU523-AT523</f>
        <v/>
      </c>
      <c r="AX523" s="70">
        <f>SUMIFS([1]инфо!$C$15:$C$28,[1]инфо!$A$15:$A$28,F523)*H522</f>
        <v/>
      </c>
    </row>
    <row r="524">
      <c r="A524" s="71">
        <f>A522+1</f>
        <v/>
      </c>
      <c r="B524" s="90" t="n"/>
      <c r="C524" s="52" t="n"/>
      <c r="D524" s="53" t="n"/>
      <c r="E524" s="66" t="n"/>
      <c r="F524" s="67" t="n"/>
      <c r="G524" s="58" t="n"/>
      <c r="H524" s="55" t="n"/>
      <c r="I524" s="57">
        <f>IFERROR(H524*VLOOKUP(F524,[1]инфо!$A$15:$C$28,3,FALSE)/1000,0)</f>
        <v/>
      </c>
      <c r="J524" s="55" t="n"/>
      <c r="K524" s="55" t="n"/>
      <c r="L524" s="55" t="n"/>
      <c r="M524" s="55" t="n"/>
      <c r="N524" s="55" t="n"/>
      <c r="O524" s="58" t="n"/>
      <c r="P524" s="58" t="n"/>
      <c r="Q524" s="58" t="n"/>
      <c r="R524" s="58" t="n"/>
      <c r="S524" s="59">
        <f>SUM(O524:R524)</f>
        <v/>
      </c>
      <c r="T524" s="52" t="n"/>
      <c r="U524" s="53" t="n"/>
      <c r="V524" s="58" t="n"/>
      <c r="W524" s="68" t="n"/>
      <c r="X524" s="58" t="n"/>
      <c r="Y524" s="52" t="n"/>
      <c r="Z524" s="58" t="n"/>
      <c r="AA524" s="58" t="n"/>
      <c r="AB524" s="58" t="n"/>
      <c r="AC524" s="68" t="n"/>
      <c r="AD524" s="53" t="n"/>
      <c r="AE524" s="61">
        <f>SUMIFS([1]инфо!$D$15:$D$28,[1]инфо!$A$15:$A$28,F524)</f>
        <v/>
      </c>
      <c r="AF524" s="62">
        <f>IF(H524=0,0,N524/H524)</f>
        <v/>
      </c>
      <c r="AG524" s="63">
        <f>AF524-AE524</f>
        <v/>
      </c>
      <c r="AH524" s="61">
        <f>SUMIFS([1]инфо!$E$15:$E$28,[1]инфо!$A$15:$A$28,F524)</f>
        <v/>
      </c>
      <c r="AI524" s="64">
        <f>IF(H524=0,0,S524/H524)</f>
        <v/>
      </c>
      <c r="AJ524" s="63">
        <f>AI524-AH524</f>
        <v/>
      </c>
      <c r="AK524" s="61">
        <f>SUMIFS([1]инфо!$F$15:$F$28,[1]инфо!$A$15:$A$28,F524)</f>
        <v/>
      </c>
      <c r="AL524" s="64">
        <f>IF(H524=0,0,Y524/H524)</f>
        <v/>
      </c>
      <c r="AM524" s="63">
        <f>AL524-AK524</f>
        <v/>
      </c>
      <c r="AN524" s="61">
        <f>SUMIFS([1]инфо!$G$15:$G$28,[1]инфо!$A$15:$A$28,F524)</f>
        <v/>
      </c>
      <c r="AO524" s="64">
        <f>IF(H524=0,0,AA524/H524)</f>
        <v/>
      </c>
      <c r="AP524" s="63">
        <f>AO524-AN524</f>
        <v/>
      </c>
      <c r="AQ524" s="61">
        <f>SUMIFS([1]инфо!$H$15:$H$28,[1]инфо!$A$15:$A$28,F524)</f>
        <v/>
      </c>
      <c r="AR524" s="62">
        <f>IF(H523=0,0,AC524/H523)</f>
        <v/>
      </c>
      <c r="AS524" s="63">
        <f>AR524-AQ524</f>
        <v/>
      </c>
      <c r="AT524" s="61">
        <f>SUMIFS([1]инфо!$I$15:$I$28,[1]инфо!$A$15:$A$28,F524)</f>
        <v/>
      </c>
      <c r="AU524" s="62">
        <f>IF(H524=0,0,AD524/H524)</f>
        <v/>
      </c>
      <c r="AV524" s="63">
        <f>AU524-AT524</f>
        <v/>
      </c>
      <c r="AX524" s="59">
        <f>SUMIFS([1]инфо!$C$15:$C$28,[1]инфо!$A$15:$A$28,F524)*H523</f>
        <v/>
      </c>
    </row>
    <row r="525">
      <c r="A525" s="71">
        <f>A523+1</f>
        <v/>
      </c>
      <c r="B525" s="90" t="n"/>
      <c r="C525" s="52" t="n"/>
      <c r="D525" s="53" t="n"/>
      <c r="E525" s="66" t="n"/>
      <c r="F525" s="67" t="n"/>
      <c r="G525" s="58" t="n"/>
      <c r="H525" s="56" t="n"/>
      <c r="I525" s="57">
        <f>IFERROR(H525*VLOOKUP(F525,[1]инфо!$A$15:$C$28,3,FALSE)/1000,0)</f>
        <v/>
      </c>
      <c r="J525" s="55" t="n"/>
      <c r="K525" s="55" t="n"/>
      <c r="L525" s="55" t="n"/>
      <c r="M525" s="55" t="n"/>
      <c r="N525" s="55" t="n"/>
      <c r="O525" s="58" t="n"/>
      <c r="P525" s="58" t="n"/>
      <c r="Q525" s="58" t="n"/>
      <c r="R525" s="58" t="n"/>
      <c r="S525" s="59">
        <f>SUM(O525:R525)</f>
        <v/>
      </c>
      <c r="T525" s="52" t="n"/>
      <c r="U525" s="53" t="n"/>
      <c r="V525" s="58" t="n"/>
      <c r="W525" s="68" t="n"/>
      <c r="X525" s="58" t="n"/>
      <c r="Y525" s="52" t="n"/>
      <c r="Z525" s="58" t="n"/>
      <c r="AA525" s="58" t="n"/>
      <c r="AB525" s="58" t="n"/>
      <c r="AC525" s="68" t="n"/>
      <c r="AD525" s="53" t="n"/>
      <c r="AE525" s="61">
        <f>SUMIFS([1]инфо!$D$15:$D$28,[1]инфо!$A$15:$A$28,F525)</f>
        <v/>
      </c>
      <c r="AF525" s="62">
        <f>IF(H525=0,0,N525/H525)</f>
        <v/>
      </c>
      <c r="AG525" s="63">
        <f>AF525-AE525</f>
        <v/>
      </c>
      <c r="AH525" s="61">
        <f>SUMIFS([1]инфо!$E$15:$E$28,[1]инфо!$A$15:$A$28,F525)</f>
        <v/>
      </c>
      <c r="AI525" s="64">
        <f>IF(H525=0,0,S525/H525)</f>
        <v/>
      </c>
      <c r="AJ525" s="63">
        <f>AI525-AH525</f>
        <v/>
      </c>
      <c r="AK525" s="61">
        <f>SUMIFS([1]инфо!$F$15:$F$28,[1]инфо!$A$15:$A$28,F525)</f>
        <v/>
      </c>
      <c r="AL525" s="64">
        <f>IF(H525=0,0,Y525/H525)</f>
        <v/>
      </c>
      <c r="AM525" s="63">
        <f>AL525-AK525</f>
        <v/>
      </c>
      <c r="AN525" s="61">
        <f>SUMIFS([1]инфо!$G$15:$G$28,[1]инфо!$A$15:$A$28,F525)</f>
        <v/>
      </c>
      <c r="AO525" s="64">
        <f>IF(H525=0,0,AA525/H525)</f>
        <v/>
      </c>
      <c r="AP525" s="63">
        <f>AO525-AN525</f>
        <v/>
      </c>
      <c r="AQ525" s="61">
        <f>SUMIFS([1]инфо!$H$15:$H$28,[1]инфо!$A$15:$A$28,F525)</f>
        <v/>
      </c>
      <c r="AR525" s="62">
        <f>IF(H524=0,0,AC525/H524)</f>
        <v/>
      </c>
      <c r="AS525" s="63">
        <f>AR525-AQ525</f>
        <v/>
      </c>
      <c r="AT525" s="61">
        <f>SUMIFS([1]инфо!$I$15:$I$28,[1]инфо!$A$15:$A$28,F525)</f>
        <v/>
      </c>
      <c r="AU525" s="62">
        <f>IF(H525=0,0,AD525/H525)</f>
        <v/>
      </c>
      <c r="AV525" s="63">
        <f>AU525-AT525</f>
        <v/>
      </c>
      <c r="AX525" s="59">
        <f>SUMIFS([1]инфо!$C$15:$C$28,[1]инфо!$A$15:$A$28,F525)*H524</f>
        <v/>
      </c>
    </row>
    <row r="526">
      <c r="A526" s="71">
        <f>A524+1</f>
        <v/>
      </c>
      <c r="B526" s="88" t="n"/>
      <c r="C526" s="77" t="n"/>
      <c r="D526" s="78" t="n"/>
      <c r="E526" s="66" t="n"/>
      <c r="F526" s="67" t="n"/>
      <c r="G526" s="79" t="n"/>
      <c r="H526" s="67" t="n"/>
      <c r="I526" s="57">
        <f>IFERROR(H526*VLOOKUP(F526,[1]инфо!$A$15:$C$28,3,FALSE)/1000,0)</f>
        <v/>
      </c>
      <c r="J526" s="55" t="n"/>
      <c r="K526" s="55" t="n"/>
      <c r="L526" s="55" t="n"/>
      <c r="M526" s="55" t="n"/>
      <c r="N526" s="56" t="n"/>
      <c r="O526" s="79" t="n"/>
      <c r="P526" s="79" t="n"/>
      <c r="Q526" s="79" t="n"/>
      <c r="R526" s="79" t="n"/>
      <c r="S526" s="80">
        <f>SUM(O526:R526)</f>
        <v/>
      </c>
      <c r="T526" s="77" t="n"/>
      <c r="U526" s="78" t="n"/>
      <c r="V526" s="79" t="n"/>
      <c r="W526" s="68" t="n"/>
      <c r="X526" s="79" t="n"/>
      <c r="Y526" s="77" t="n"/>
      <c r="Z526" s="79" t="n"/>
      <c r="AA526" s="79" t="n"/>
      <c r="AB526" s="79" t="n"/>
      <c r="AC526" s="68" t="n"/>
      <c r="AD526" s="78" t="n"/>
      <c r="AE526" s="81">
        <f>SUMIFS([1]инфо!$D$15:$D$28,[1]инфо!$A$15:$A$28,F526)</f>
        <v/>
      </c>
      <c r="AF526" s="62">
        <f>IF(H526=0,0,N526/H526)</f>
        <v/>
      </c>
      <c r="AG526" s="82">
        <f>AF526-AE526</f>
        <v/>
      </c>
      <c r="AH526" s="81">
        <f>SUMIFS([1]инфо!$E$15:$E$28,[1]инфо!$A$15:$A$28,F526)</f>
        <v/>
      </c>
      <c r="AI526" s="64">
        <f>IF(H526=0,0,S526/H526)</f>
        <v/>
      </c>
      <c r="AJ526" s="82">
        <f>AI526-AH526</f>
        <v/>
      </c>
      <c r="AK526" s="81">
        <f>SUMIFS([1]инфо!$F$15:$F$28,[1]инфо!$A$15:$A$28,F526)</f>
        <v/>
      </c>
      <c r="AL526" s="64">
        <f>IF(H526=0,0,Y526/H526)</f>
        <v/>
      </c>
      <c r="AM526" s="82">
        <f>AL526-AK526</f>
        <v/>
      </c>
      <c r="AN526" s="81">
        <f>SUMIFS([1]инфо!$G$15:$G$28,[1]инфо!$A$15:$A$28,F526)</f>
        <v/>
      </c>
      <c r="AO526" s="64">
        <f>IF(H526=0,0,AA526/H526)</f>
        <v/>
      </c>
      <c r="AP526" s="82">
        <f>AO526-AN526</f>
        <v/>
      </c>
      <c r="AQ526" s="81">
        <f>SUMIFS([1]инфо!$H$15:$H$28,[1]инфо!$A$15:$A$28,F526)</f>
        <v/>
      </c>
      <c r="AR526" s="85">
        <f>IF(H525=0,0,AC526/H525)</f>
        <v/>
      </c>
      <c r="AS526" s="82">
        <f>AR526-AQ526</f>
        <v/>
      </c>
      <c r="AT526" s="81">
        <f>SUMIFS([1]инфо!$I$15:$I$28,[1]инфо!$A$15:$A$28,F526)</f>
        <v/>
      </c>
      <c r="AU526" s="62">
        <f>IF(H526=0,0,AD526/H526)</f>
        <v/>
      </c>
      <c r="AV526" s="82">
        <f>AU526-AT526</f>
        <v/>
      </c>
      <c r="AX526" s="80">
        <f>SUMIFS([1]инфо!$C$15:$C$28,[1]инфо!$A$15:$A$28,F526)*H525</f>
        <v/>
      </c>
    </row>
    <row r="527">
      <c r="A527" s="71">
        <f>A525+1</f>
        <v/>
      </c>
      <c r="B527" s="89" t="n"/>
      <c r="C527" s="72" t="n"/>
      <c r="D527" s="73" t="n"/>
      <c r="E527" s="66" t="n"/>
      <c r="F527" s="67" t="n"/>
      <c r="G527" s="74" t="n"/>
      <c r="H527" s="55" t="n"/>
      <c r="I527" s="57">
        <f>IFERROR(H527*VLOOKUP(F527,[1]инфо!$A$15:$C$28,3,FALSE)/1000,0)</f>
        <v/>
      </c>
      <c r="J527" s="55" t="n"/>
      <c r="K527" s="55" t="n"/>
      <c r="L527" s="55" t="n"/>
      <c r="M527" s="55" t="n"/>
      <c r="N527" s="67" t="n"/>
      <c r="O527" s="74" t="n"/>
      <c r="P527" s="74" t="n"/>
      <c r="Q527" s="74" t="n"/>
      <c r="R527" s="74" t="n"/>
      <c r="S527" s="70">
        <f>SUM(O527:R527)</f>
        <v/>
      </c>
      <c r="T527" s="72" t="n"/>
      <c r="U527" s="73" t="n"/>
      <c r="V527" s="74" t="n"/>
      <c r="W527" s="68" t="n"/>
      <c r="X527" s="74" t="n"/>
      <c r="Y527" s="72" t="n"/>
      <c r="Z527" s="74" t="n"/>
      <c r="AA527" s="74" t="n"/>
      <c r="AB527" s="74" t="n"/>
      <c r="AC527" s="68" t="n"/>
      <c r="AD527" s="73" t="n"/>
      <c r="AE527" s="75">
        <f>SUMIFS([1]инфо!$D$15:$D$28,[1]инфо!$A$15:$A$28,F527)</f>
        <v/>
      </c>
      <c r="AF527" s="62">
        <f>IF(H527=0,0,N527/H527)</f>
        <v/>
      </c>
      <c r="AG527" s="76">
        <f>AF527-AE527</f>
        <v/>
      </c>
      <c r="AH527" s="75">
        <f>SUMIFS([1]инфо!$E$15:$E$28,[1]инфо!$A$15:$A$28,F527)</f>
        <v/>
      </c>
      <c r="AI527" s="64">
        <f>IF(H527=0,0,S527/H527)</f>
        <v/>
      </c>
      <c r="AJ527" s="76">
        <f>AI527-AH527</f>
        <v/>
      </c>
      <c r="AK527" s="75">
        <f>SUMIFS([1]инфо!$F$15:$F$28,[1]инфо!$A$15:$A$28,F527)</f>
        <v/>
      </c>
      <c r="AL527" s="64">
        <f>IF(H527=0,0,Y527/H527)</f>
        <v/>
      </c>
      <c r="AM527" s="76">
        <f>AL527-AK527</f>
        <v/>
      </c>
      <c r="AN527" s="75">
        <f>SUMIFS([1]инфо!$G$15:$G$28,[1]инфо!$A$15:$A$28,F527)</f>
        <v/>
      </c>
      <c r="AO527" s="64">
        <f>IF(H527=0,0,AA527/H527)</f>
        <v/>
      </c>
      <c r="AP527" s="76">
        <f>AO527-AN527</f>
        <v/>
      </c>
      <c r="AQ527" s="75">
        <f>SUMIFS([1]инфо!$H$15:$H$28,[1]инфо!$A$15:$A$28,F527)</f>
        <v/>
      </c>
      <c r="AR527" s="64">
        <f>IF(H526=0,0,AC527/H526)</f>
        <v/>
      </c>
      <c r="AS527" s="76">
        <f>AR527-AQ527</f>
        <v/>
      </c>
      <c r="AT527" s="75">
        <f>SUMIFS([1]инфо!$I$15:$I$28,[1]инфо!$A$15:$A$28,F527)</f>
        <v/>
      </c>
      <c r="AU527" s="62">
        <f>IF(H527=0,0,AD527/H527)</f>
        <v/>
      </c>
      <c r="AV527" s="76">
        <f>AU527-AT527</f>
        <v/>
      </c>
      <c r="AX527" s="70">
        <f>SUMIFS([1]инфо!$C$15:$C$28,[1]инфо!$A$15:$A$28,F527)*H526</f>
        <v/>
      </c>
    </row>
    <row r="528">
      <c r="A528" s="71">
        <f>A526+1</f>
        <v/>
      </c>
      <c r="B528" s="90" t="n"/>
      <c r="C528" s="52" t="n"/>
      <c r="D528" s="53" t="n"/>
      <c r="E528" s="66" t="n"/>
      <c r="F528" s="67" t="n"/>
      <c r="G528" s="58" t="n"/>
      <c r="H528" s="55" t="n"/>
      <c r="I528" s="57">
        <f>IFERROR(H528*VLOOKUP(F528,[1]инфо!$A$15:$C$28,3,FALSE)/1000,0)</f>
        <v/>
      </c>
      <c r="J528" s="55" t="n"/>
      <c r="K528" s="55" t="n"/>
      <c r="L528" s="55" t="n"/>
      <c r="M528" s="55" t="n"/>
      <c r="N528" s="55" t="n"/>
      <c r="O528" s="58" t="n"/>
      <c r="P528" s="58" t="n"/>
      <c r="Q528" s="58" t="n"/>
      <c r="R528" s="58" t="n"/>
      <c r="S528" s="59">
        <f>SUM(O528:R528)</f>
        <v/>
      </c>
      <c r="T528" s="52" t="n"/>
      <c r="U528" s="53" t="n"/>
      <c r="V528" s="58" t="n"/>
      <c r="W528" s="68" t="n"/>
      <c r="X528" s="58" t="n"/>
      <c r="Y528" s="52" t="n"/>
      <c r="Z528" s="58" t="n"/>
      <c r="AA528" s="58" t="n"/>
      <c r="AB528" s="58" t="n"/>
      <c r="AC528" s="68" t="n"/>
      <c r="AD528" s="53" t="n"/>
      <c r="AE528" s="61">
        <f>SUMIFS([1]инфо!$D$15:$D$28,[1]инфо!$A$15:$A$28,F528)</f>
        <v/>
      </c>
      <c r="AF528" s="62">
        <f>IF(H528=0,0,N528/H528)</f>
        <v/>
      </c>
      <c r="AG528" s="63">
        <f>AF528-AE528</f>
        <v/>
      </c>
      <c r="AH528" s="61">
        <f>SUMIFS([1]инфо!$E$15:$E$28,[1]инфо!$A$15:$A$28,F528)</f>
        <v/>
      </c>
      <c r="AI528" s="64">
        <f>IF(H528=0,0,S528/H528)</f>
        <v/>
      </c>
      <c r="AJ528" s="63">
        <f>AI528-AH528</f>
        <v/>
      </c>
      <c r="AK528" s="61">
        <f>SUMIFS([1]инфо!$F$15:$F$28,[1]инфо!$A$15:$A$28,F528)</f>
        <v/>
      </c>
      <c r="AL528" s="64">
        <f>IF(H528=0,0,Y528/H528)</f>
        <v/>
      </c>
      <c r="AM528" s="63">
        <f>AL528-AK528</f>
        <v/>
      </c>
      <c r="AN528" s="61">
        <f>SUMIFS([1]инфо!$G$15:$G$28,[1]инфо!$A$15:$A$28,F528)</f>
        <v/>
      </c>
      <c r="AO528" s="64">
        <f>IF(H528=0,0,AA528/H528)</f>
        <v/>
      </c>
      <c r="AP528" s="63">
        <f>AO528-AN528</f>
        <v/>
      </c>
      <c r="AQ528" s="61">
        <f>SUMIFS([1]инфо!$H$15:$H$28,[1]инфо!$A$15:$A$28,F528)</f>
        <v/>
      </c>
      <c r="AR528" s="62">
        <f>IF(H527=0,0,AC528/H527)</f>
        <v/>
      </c>
      <c r="AS528" s="63">
        <f>AR528-AQ528</f>
        <v/>
      </c>
      <c r="AT528" s="61">
        <f>SUMIFS([1]инфо!$I$15:$I$28,[1]инфо!$A$15:$A$28,F528)</f>
        <v/>
      </c>
      <c r="AU528" s="62">
        <f>IF(H528=0,0,AD528/H528)</f>
        <v/>
      </c>
      <c r="AV528" s="63">
        <f>AU528-AT528</f>
        <v/>
      </c>
      <c r="AX528" s="59">
        <f>SUMIFS([1]инфо!$C$15:$C$28,[1]инфо!$A$15:$A$28,F528)*H527</f>
        <v/>
      </c>
    </row>
    <row r="529">
      <c r="A529" s="71">
        <f>A527+1</f>
        <v/>
      </c>
      <c r="B529" s="90" t="n"/>
      <c r="C529" s="52" t="n"/>
      <c r="D529" s="53" t="n"/>
      <c r="E529" s="66" t="n"/>
      <c r="F529" s="67" t="n"/>
      <c r="G529" s="58" t="n"/>
      <c r="H529" s="56" t="n"/>
      <c r="I529" s="57">
        <f>IFERROR(H529*VLOOKUP(F529,[1]инфо!$A$15:$C$28,3,FALSE)/1000,0)</f>
        <v/>
      </c>
      <c r="J529" s="55" t="n"/>
      <c r="K529" s="55" t="n"/>
      <c r="L529" s="55" t="n"/>
      <c r="M529" s="55" t="n"/>
      <c r="N529" s="55" t="n"/>
      <c r="O529" s="58" t="n"/>
      <c r="P529" s="58" t="n"/>
      <c r="Q529" s="58" t="n"/>
      <c r="R529" s="58" t="n"/>
      <c r="S529" s="59">
        <f>SUM(O529:R529)</f>
        <v/>
      </c>
      <c r="T529" s="52" t="n"/>
      <c r="U529" s="53" t="n"/>
      <c r="V529" s="58" t="n"/>
      <c r="W529" s="68" t="n"/>
      <c r="X529" s="58" t="n"/>
      <c r="Y529" s="52" t="n"/>
      <c r="Z529" s="58" t="n"/>
      <c r="AA529" s="58" t="n"/>
      <c r="AB529" s="58" t="n"/>
      <c r="AC529" s="68" t="n"/>
      <c r="AD529" s="53" t="n"/>
      <c r="AE529" s="61">
        <f>SUMIFS([1]инфо!$D$15:$D$28,[1]инфо!$A$15:$A$28,F529)</f>
        <v/>
      </c>
      <c r="AF529" s="62">
        <f>IF(H529=0,0,N529/H529)</f>
        <v/>
      </c>
      <c r="AG529" s="63">
        <f>AF529-AE529</f>
        <v/>
      </c>
      <c r="AH529" s="61">
        <f>SUMIFS([1]инфо!$E$15:$E$28,[1]инфо!$A$15:$A$28,F529)</f>
        <v/>
      </c>
      <c r="AI529" s="64">
        <f>IF(H529=0,0,S529/H529)</f>
        <v/>
      </c>
      <c r="AJ529" s="63">
        <f>AI529-AH529</f>
        <v/>
      </c>
      <c r="AK529" s="61">
        <f>SUMIFS([1]инфо!$F$15:$F$28,[1]инфо!$A$15:$A$28,F529)</f>
        <v/>
      </c>
      <c r="AL529" s="64">
        <f>IF(H529=0,0,Y529/H529)</f>
        <v/>
      </c>
      <c r="AM529" s="63">
        <f>AL529-AK529</f>
        <v/>
      </c>
      <c r="AN529" s="61">
        <f>SUMIFS([1]инфо!$G$15:$G$28,[1]инфо!$A$15:$A$28,F529)</f>
        <v/>
      </c>
      <c r="AO529" s="64">
        <f>IF(H529=0,0,AA529/H529)</f>
        <v/>
      </c>
      <c r="AP529" s="63">
        <f>AO529-AN529</f>
        <v/>
      </c>
      <c r="AQ529" s="61">
        <f>SUMIFS([1]инфо!$H$15:$H$28,[1]инфо!$A$15:$A$28,F529)</f>
        <v/>
      </c>
      <c r="AR529" s="62">
        <f>IF(H528=0,0,AC529/H528)</f>
        <v/>
      </c>
      <c r="AS529" s="63">
        <f>AR529-AQ529</f>
        <v/>
      </c>
      <c r="AT529" s="61">
        <f>SUMIFS([1]инфо!$I$15:$I$28,[1]инфо!$A$15:$A$28,F529)</f>
        <v/>
      </c>
      <c r="AU529" s="62">
        <f>IF(H529=0,0,AD529/H529)</f>
        <v/>
      </c>
      <c r="AV529" s="63">
        <f>AU529-AT529</f>
        <v/>
      </c>
      <c r="AX529" s="59">
        <f>SUMIFS([1]инфо!$C$15:$C$28,[1]инфо!$A$15:$A$28,F529)*H528</f>
        <v/>
      </c>
    </row>
    <row r="530">
      <c r="A530" s="71">
        <f>A528+1</f>
        <v/>
      </c>
      <c r="B530" s="88" t="n"/>
      <c r="C530" s="77" t="n"/>
      <c r="D530" s="78" t="n"/>
      <c r="E530" s="66" t="n"/>
      <c r="F530" s="67" t="n"/>
      <c r="G530" s="79" t="n"/>
      <c r="H530" s="67" t="n"/>
      <c r="I530" s="57">
        <f>IFERROR(H530*VLOOKUP(F530,[1]инфо!$A$15:$C$28,3,FALSE)/1000,0)</f>
        <v/>
      </c>
      <c r="J530" s="55" t="n"/>
      <c r="K530" s="55" t="n"/>
      <c r="L530" s="55" t="n"/>
      <c r="M530" s="55" t="n"/>
      <c r="N530" s="56" t="n"/>
      <c r="O530" s="79" t="n"/>
      <c r="P530" s="79" t="n"/>
      <c r="Q530" s="79" t="n"/>
      <c r="R530" s="79" t="n"/>
      <c r="S530" s="80">
        <f>SUM(O530:R530)</f>
        <v/>
      </c>
      <c r="T530" s="77" t="n"/>
      <c r="U530" s="78" t="n"/>
      <c r="V530" s="79" t="n"/>
      <c r="W530" s="68" t="n"/>
      <c r="X530" s="79" t="n"/>
      <c r="Y530" s="77" t="n"/>
      <c r="Z530" s="79" t="n"/>
      <c r="AA530" s="79" t="n"/>
      <c r="AB530" s="79" t="n"/>
      <c r="AC530" s="68" t="n"/>
      <c r="AD530" s="78" t="n"/>
      <c r="AE530" s="81">
        <f>SUMIFS([1]инфо!$D$15:$D$28,[1]инфо!$A$15:$A$28,F530)</f>
        <v/>
      </c>
      <c r="AF530" s="62">
        <f>IF(H530=0,0,N530/H530)</f>
        <v/>
      </c>
      <c r="AG530" s="82">
        <f>AF530-AE530</f>
        <v/>
      </c>
      <c r="AH530" s="81">
        <f>SUMIFS([1]инфо!$E$15:$E$28,[1]инфо!$A$15:$A$28,F530)</f>
        <v/>
      </c>
      <c r="AI530" s="64">
        <f>IF(H530=0,0,S530/H530)</f>
        <v/>
      </c>
      <c r="AJ530" s="82">
        <f>AI530-AH530</f>
        <v/>
      </c>
      <c r="AK530" s="81">
        <f>SUMIFS([1]инфо!$F$15:$F$28,[1]инфо!$A$15:$A$28,F530)</f>
        <v/>
      </c>
      <c r="AL530" s="64">
        <f>IF(H530=0,0,Y530/H530)</f>
        <v/>
      </c>
      <c r="AM530" s="82">
        <f>AL530-AK530</f>
        <v/>
      </c>
      <c r="AN530" s="81">
        <f>SUMIFS([1]инфо!$G$15:$G$28,[1]инфо!$A$15:$A$28,F530)</f>
        <v/>
      </c>
      <c r="AO530" s="64">
        <f>IF(H530=0,0,AA530/H530)</f>
        <v/>
      </c>
      <c r="AP530" s="82">
        <f>AO530-AN530</f>
        <v/>
      </c>
      <c r="AQ530" s="81">
        <f>SUMIFS([1]инфо!$H$15:$H$28,[1]инфо!$A$15:$A$28,F530)</f>
        <v/>
      </c>
      <c r="AR530" s="85">
        <f>IF(H529=0,0,AC530/H529)</f>
        <v/>
      </c>
      <c r="AS530" s="82">
        <f>AR530-AQ530</f>
        <v/>
      </c>
      <c r="AT530" s="81">
        <f>SUMIFS([1]инфо!$I$15:$I$28,[1]инфо!$A$15:$A$28,F530)</f>
        <v/>
      </c>
      <c r="AU530" s="62">
        <f>IF(H530=0,0,AD530/H530)</f>
        <v/>
      </c>
      <c r="AV530" s="82">
        <f>AU530-AT530</f>
        <v/>
      </c>
      <c r="AX530" s="80">
        <f>SUMIFS([1]инфо!$C$15:$C$28,[1]инфо!$A$15:$A$28,F530)*H529</f>
        <v/>
      </c>
    </row>
    <row r="531">
      <c r="A531" s="71">
        <f>A529+1</f>
        <v/>
      </c>
      <c r="B531" s="89" t="n"/>
      <c r="C531" s="72" t="n"/>
      <c r="D531" s="73" t="n"/>
      <c r="E531" s="66" t="n"/>
      <c r="F531" s="67" t="n"/>
      <c r="G531" s="74" t="n"/>
      <c r="H531" s="55" t="n"/>
      <c r="I531" s="57">
        <f>IFERROR(H531*VLOOKUP(F531,[1]инфо!$A$15:$C$28,3,FALSE)/1000,0)</f>
        <v/>
      </c>
      <c r="J531" s="55" t="n"/>
      <c r="K531" s="55" t="n"/>
      <c r="L531" s="55" t="n"/>
      <c r="M531" s="55" t="n"/>
      <c r="N531" s="67" t="n"/>
      <c r="O531" s="74" t="n"/>
      <c r="P531" s="74" t="n"/>
      <c r="Q531" s="74" t="n"/>
      <c r="R531" s="74" t="n"/>
      <c r="S531" s="70">
        <f>SUM(O531:R531)</f>
        <v/>
      </c>
      <c r="T531" s="72" t="n"/>
      <c r="U531" s="73" t="n"/>
      <c r="V531" s="74" t="n"/>
      <c r="W531" s="68" t="n"/>
      <c r="X531" s="74" t="n"/>
      <c r="Y531" s="72" t="n"/>
      <c r="Z531" s="74" t="n"/>
      <c r="AA531" s="74" t="n"/>
      <c r="AB531" s="74" t="n"/>
      <c r="AC531" s="68" t="n"/>
      <c r="AD531" s="73" t="n"/>
      <c r="AE531" s="75">
        <f>SUMIFS([1]инфо!$D$15:$D$28,[1]инфо!$A$15:$A$28,F531)</f>
        <v/>
      </c>
      <c r="AF531" s="62">
        <f>IF(H531=0,0,N531/H531)</f>
        <v/>
      </c>
      <c r="AG531" s="76">
        <f>AF531-AE531</f>
        <v/>
      </c>
      <c r="AH531" s="75">
        <f>SUMIFS([1]инфо!$E$15:$E$28,[1]инфо!$A$15:$A$28,F531)</f>
        <v/>
      </c>
      <c r="AI531" s="64">
        <f>IF(H531=0,0,S531/H531)</f>
        <v/>
      </c>
      <c r="AJ531" s="76">
        <f>AI531-AH531</f>
        <v/>
      </c>
      <c r="AK531" s="75">
        <f>SUMIFS([1]инфо!$F$15:$F$28,[1]инфо!$A$15:$A$28,F531)</f>
        <v/>
      </c>
      <c r="AL531" s="64">
        <f>IF(H531=0,0,Y531/H531)</f>
        <v/>
      </c>
      <c r="AM531" s="76">
        <f>AL531-AK531</f>
        <v/>
      </c>
      <c r="AN531" s="75">
        <f>SUMIFS([1]инфо!$G$15:$G$28,[1]инфо!$A$15:$A$28,F531)</f>
        <v/>
      </c>
      <c r="AO531" s="64">
        <f>IF(H531=0,0,AA531/H531)</f>
        <v/>
      </c>
      <c r="AP531" s="76">
        <f>AO531-AN531</f>
        <v/>
      </c>
      <c r="AQ531" s="75">
        <f>SUMIFS([1]инфо!$H$15:$H$28,[1]инфо!$A$15:$A$28,F531)</f>
        <v/>
      </c>
      <c r="AR531" s="64">
        <f>IF(H530=0,0,AC531/H530)</f>
        <v/>
      </c>
      <c r="AS531" s="76">
        <f>AR531-AQ531</f>
        <v/>
      </c>
      <c r="AT531" s="75">
        <f>SUMIFS([1]инфо!$I$15:$I$28,[1]инфо!$A$15:$A$28,F531)</f>
        <v/>
      </c>
      <c r="AU531" s="62">
        <f>IF(H531=0,0,AD531/H531)</f>
        <v/>
      </c>
      <c r="AV531" s="76">
        <f>AU531-AT531</f>
        <v/>
      </c>
      <c r="AX531" s="70">
        <f>SUMIFS([1]инфо!$C$15:$C$28,[1]инфо!$A$15:$A$28,F531)*H530</f>
        <v/>
      </c>
    </row>
    <row r="532">
      <c r="A532" s="71">
        <f>A530+1</f>
        <v/>
      </c>
      <c r="B532" s="90" t="n"/>
      <c r="C532" s="52" t="n"/>
      <c r="D532" s="53" t="n"/>
      <c r="E532" s="66" t="n"/>
      <c r="F532" s="67" t="n"/>
      <c r="G532" s="58" t="n"/>
      <c r="H532" s="55" t="n"/>
      <c r="I532" s="57">
        <f>IFERROR(H532*VLOOKUP(F532,[1]инфо!$A$15:$C$28,3,FALSE)/1000,0)</f>
        <v/>
      </c>
      <c r="J532" s="55" t="n"/>
      <c r="K532" s="55" t="n"/>
      <c r="L532" s="55" t="n"/>
      <c r="M532" s="55" t="n"/>
      <c r="N532" s="55" t="n"/>
      <c r="O532" s="58" t="n"/>
      <c r="P532" s="58" t="n"/>
      <c r="Q532" s="58" t="n"/>
      <c r="R532" s="58" t="n"/>
      <c r="S532" s="59">
        <f>SUM(O532:R532)</f>
        <v/>
      </c>
      <c r="T532" s="52" t="n"/>
      <c r="U532" s="53" t="n"/>
      <c r="V532" s="58" t="n"/>
      <c r="W532" s="68" t="n"/>
      <c r="X532" s="58" t="n"/>
      <c r="Y532" s="52" t="n"/>
      <c r="Z532" s="58" t="n"/>
      <c r="AA532" s="58" t="n"/>
      <c r="AB532" s="58" t="n"/>
      <c r="AC532" s="68" t="n"/>
      <c r="AD532" s="53" t="n"/>
      <c r="AE532" s="61">
        <f>SUMIFS([1]инфо!$D$15:$D$28,[1]инфо!$A$15:$A$28,F532)</f>
        <v/>
      </c>
      <c r="AF532" s="62">
        <f>IF(H532=0,0,N532/H532)</f>
        <v/>
      </c>
      <c r="AG532" s="63">
        <f>AF532-AE532</f>
        <v/>
      </c>
      <c r="AH532" s="61">
        <f>SUMIFS([1]инфо!$E$15:$E$28,[1]инфо!$A$15:$A$28,F532)</f>
        <v/>
      </c>
      <c r="AI532" s="64">
        <f>IF(H532=0,0,S532/H532)</f>
        <v/>
      </c>
      <c r="AJ532" s="63">
        <f>AI532-AH532</f>
        <v/>
      </c>
      <c r="AK532" s="61">
        <f>SUMIFS([1]инфо!$F$15:$F$28,[1]инфо!$A$15:$A$28,F532)</f>
        <v/>
      </c>
      <c r="AL532" s="64">
        <f>IF(H532=0,0,Y532/H532)</f>
        <v/>
      </c>
      <c r="AM532" s="63">
        <f>AL532-AK532</f>
        <v/>
      </c>
      <c r="AN532" s="61">
        <f>SUMIFS([1]инфо!$G$15:$G$28,[1]инфо!$A$15:$A$28,F532)</f>
        <v/>
      </c>
      <c r="AO532" s="64">
        <f>IF(H532=0,0,AA532/H532)</f>
        <v/>
      </c>
      <c r="AP532" s="63">
        <f>AO532-AN532</f>
        <v/>
      </c>
      <c r="AQ532" s="61">
        <f>SUMIFS([1]инфо!$H$15:$H$28,[1]инфо!$A$15:$A$28,F532)</f>
        <v/>
      </c>
      <c r="AR532" s="62">
        <f>IF(H531=0,0,AC532/H531)</f>
        <v/>
      </c>
      <c r="AS532" s="63">
        <f>AR532-AQ532</f>
        <v/>
      </c>
      <c r="AT532" s="61">
        <f>SUMIFS([1]инфо!$I$15:$I$28,[1]инфо!$A$15:$A$28,F532)</f>
        <v/>
      </c>
      <c r="AU532" s="62">
        <f>IF(H532=0,0,AD532/H532)</f>
        <v/>
      </c>
      <c r="AV532" s="63">
        <f>AU532-AT532</f>
        <v/>
      </c>
      <c r="AX532" s="59">
        <f>SUMIFS([1]инфо!$C$15:$C$28,[1]инфо!$A$15:$A$28,F532)*H531</f>
        <v/>
      </c>
    </row>
    <row r="533">
      <c r="A533" s="71">
        <f>A531+1</f>
        <v/>
      </c>
      <c r="B533" s="90" t="n"/>
      <c r="C533" s="52" t="n"/>
      <c r="D533" s="53" t="n"/>
      <c r="E533" s="66" t="n"/>
      <c r="F533" s="67" t="n"/>
      <c r="G533" s="58" t="n"/>
      <c r="H533" s="56" t="n"/>
      <c r="I533" s="57">
        <f>IFERROR(H533*VLOOKUP(F533,[1]инфо!$A$15:$C$28,3,FALSE)/1000,0)</f>
        <v/>
      </c>
      <c r="J533" s="55" t="n"/>
      <c r="K533" s="55" t="n"/>
      <c r="L533" s="55" t="n"/>
      <c r="M533" s="55" t="n"/>
      <c r="N533" s="55" t="n"/>
      <c r="O533" s="58" t="n"/>
      <c r="P533" s="58" t="n"/>
      <c r="Q533" s="58" t="n"/>
      <c r="R533" s="58" t="n"/>
      <c r="S533" s="59">
        <f>SUM(O533:R533)</f>
        <v/>
      </c>
      <c r="T533" s="52" t="n"/>
      <c r="U533" s="53" t="n"/>
      <c r="V533" s="58" t="n"/>
      <c r="W533" s="68" t="n"/>
      <c r="X533" s="58" t="n"/>
      <c r="Y533" s="52" t="n"/>
      <c r="Z533" s="58" t="n"/>
      <c r="AA533" s="58" t="n"/>
      <c r="AB533" s="58" t="n"/>
      <c r="AC533" s="68" t="n"/>
      <c r="AD533" s="53" t="n"/>
      <c r="AE533" s="61">
        <f>SUMIFS([1]инфо!$D$15:$D$28,[1]инфо!$A$15:$A$28,F533)</f>
        <v/>
      </c>
      <c r="AF533" s="62">
        <f>IF(H533=0,0,N533/H533)</f>
        <v/>
      </c>
      <c r="AG533" s="63">
        <f>AF533-AE533</f>
        <v/>
      </c>
      <c r="AH533" s="61">
        <f>SUMIFS([1]инфо!$E$15:$E$28,[1]инфо!$A$15:$A$28,F533)</f>
        <v/>
      </c>
      <c r="AI533" s="64">
        <f>IF(H533=0,0,S533/H533)</f>
        <v/>
      </c>
      <c r="AJ533" s="63">
        <f>AI533-AH533</f>
        <v/>
      </c>
      <c r="AK533" s="61">
        <f>SUMIFS([1]инфо!$F$15:$F$28,[1]инфо!$A$15:$A$28,F533)</f>
        <v/>
      </c>
      <c r="AL533" s="64">
        <f>IF(H533=0,0,Y533/H533)</f>
        <v/>
      </c>
      <c r="AM533" s="63">
        <f>AL533-AK533</f>
        <v/>
      </c>
      <c r="AN533" s="61">
        <f>SUMIFS([1]инфо!$G$15:$G$28,[1]инфо!$A$15:$A$28,F533)</f>
        <v/>
      </c>
      <c r="AO533" s="64">
        <f>IF(H533=0,0,AA533/H533)</f>
        <v/>
      </c>
      <c r="AP533" s="63">
        <f>AO533-AN533</f>
        <v/>
      </c>
      <c r="AQ533" s="61">
        <f>SUMIFS([1]инфо!$H$15:$H$28,[1]инфо!$A$15:$A$28,F533)</f>
        <v/>
      </c>
      <c r="AR533" s="62">
        <f>IF(H532=0,0,AC533/H532)</f>
        <v/>
      </c>
      <c r="AS533" s="63">
        <f>AR533-AQ533</f>
        <v/>
      </c>
      <c r="AT533" s="61">
        <f>SUMIFS([1]инфо!$I$15:$I$28,[1]инфо!$A$15:$A$28,F533)</f>
        <v/>
      </c>
      <c r="AU533" s="62">
        <f>IF(H533=0,0,AD533/H533)</f>
        <v/>
      </c>
      <c r="AV533" s="63">
        <f>AU533-AT533</f>
        <v/>
      </c>
      <c r="AX533" s="59">
        <f>SUMIFS([1]инфо!$C$15:$C$28,[1]инфо!$A$15:$A$28,F533)*H532</f>
        <v/>
      </c>
    </row>
    <row r="534">
      <c r="A534" s="71">
        <f>A532+1</f>
        <v/>
      </c>
      <c r="B534" s="88" t="n"/>
      <c r="C534" s="77" t="n"/>
      <c r="D534" s="78" t="n"/>
      <c r="E534" s="66" t="n"/>
      <c r="F534" s="67" t="n"/>
      <c r="G534" s="79" t="n"/>
      <c r="H534" s="67" t="n"/>
      <c r="I534" s="57">
        <f>IFERROR(H534*VLOOKUP(F534,[1]инфо!$A$15:$C$28,3,FALSE)/1000,0)</f>
        <v/>
      </c>
      <c r="J534" s="55" t="n"/>
      <c r="K534" s="55" t="n"/>
      <c r="L534" s="55" t="n"/>
      <c r="M534" s="55" t="n"/>
      <c r="N534" s="56" t="n"/>
      <c r="O534" s="79" t="n"/>
      <c r="P534" s="79" t="n"/>
      <c r="Q534" s="79" t="n"/>
      <c r="R534" s="79" t="n"/>
      <c r="S534" s="80">
        <f>SUM(O534:R534)</f>
        <v/>
      </c>
      <c r="T534" s="77" t="n"/>
      <c r="U534" s="78" t="n"/>
      <c r="V534" s="79" t="n"/>
      <c r="W534" s="68" t="n"/>
      <c r="X534" s="79" t="n"/>
      <c r="Y534" s="77" t="n"/>
      <c r="Z534" s="79" t="n"/>
      <c r="AA534" s="79" t="n"/>
      <c r="AB534" s="79" t="n"/>
      <c r="AC534" s="68" t="n"/>
      <c r="AD534" s="78" t="n"/>
      <c r="AE534" s="81">
        <f>SUMIFS([1]инфо!$D$15:$D$28,[1]инфо!$A$15:$A$28,F534)</f>
        <v/>
      </c>
      <c r="AF534" s="62">
        <f>IF(H534=0,0,N534/H534)</f>
        <v/>
      </c>
      <c r="AG534" s="82">
        <f>AF534-AE534</f>
        <v/>
      </c>
      <c r="AH534" s="81">
        <f>SUMIFS([1]инфо!$E$15:$E$28,[1]инфо!$A$15:$A$28,F534)</f>
        <v/>
      </c>
      <c r="AI534" s="64">
        <f>IF(H534=0,0,S534/H534)</f>
        <v/>
      </c>
      <c r="AJ534" s="82">
        <f>AI534-AH534</f>
        <v/>
      </c>
      <c r="AK534" s="81">
        <f>SUMIFS([1]инфо!$F$15:$F$28,[1]инфо!$A$15:$A$28,F534)</f>
        <v/>
      </c>
      <c r="AL534" s="64">
        <f>IF(H534=0,0,Y534/H534)</f>
        <v/>
      </c>
      <c r="AM534" s="82">
        <f>AL534-AK534</f>
        <v/>
      </c>
      <c r="AN534" s="81">
        <f>SUMIFS([1]инфо!$G$15:$G$28,[1]инфо!$A$15:$A$28,F534)</f>
        <v/>
      </c>
      <c r="AO534" s="64">
        <f>IF(H534=0,0,AA534/H534)</f>
        <v/>
      </c>
      <c r="AP534" s="82">
        <f>AO534-AN534</f>
        <v/>
      </c>
      <c r="AQ534" s="81">
        <f>SUMIFS([1]инфо!$H$15:$H$28,[1]инфо!$A$15:$A$28,F534)</f>
        <v/>
      </c>
      <c r="AR534" s="85">
        <f>IF(H533=0,0,AC534/H533)</f>
        <v/>
      </c>
      <c r="AS534" s="82">
        <f>AR534-AQ534</f>
        <v/>
      </c>
      <c r="AT534" s="81">
        <f>SUMIFS([1]инфо!$I$15:$I$28,[1]инфо!$A$15:$A$28,F534)</f>
        <v/>
      </c>
      <c r="AU534" s="62">
        <f>IF(H534=0,0,AD534/H534)</f>
        <v/>
      </c>
      <c r="AV534" s="82">
        <f>AU534-AT534</f>
        <v/>
      </c>
      <c r="AX534" s="80">
        <f>SUMIFS([1]инфо!$C$15:$C$28,[1]инфо!$A$15:$A$28,F534)*H533</f>
        <v/>
      </c>
    </row>
    <row r="535">
      <c r="A535" s="71">
        <f>A533+1</f>
        <v/>
      </c>
      <c r="B535" s="89" t="n"/>
      <c r="C535" s="72" t="n"/>
      <c r="D535" s="73" t="n"/>
      <c r="E535" s="66" t="n"/>
      <c r="F535" s="67" t="n"/>
      <c r="G535" s="74" t="n"/>
      <c r="H535" s="55" t="n"/>
      <c r="I535" s="57">
        <f>IFERROR(H535*VLOOKUP(F535,[1]инфо!$A$15:$C$28,3,FALSE)/1000,0)</f>
        <v/>
      </c>
      <c r="J535" s="55" t="n"/>
      <c r="K535" s="55" t="n"/>
      <c r="L535" s="55" t="n"/>
      <c r="M535" s="55" t="n"/>
      <c r="N535" s="67" t="n"/>
      <c r="O535" s="74" t="n"/>
      <c r="P535" s="74" t="n"/>
      <c r="Q535" s="74" t="n"/>
      <c r="R535" s="74" t="n"/>
      <c r="S535" s="70">
        <f>SUM(O535:R535)</f>
        <v/>
      </c>
      <c r="T535" s="72" t="n"/>
      <c r="U535" s="73" t="n"/>
      <c r="V535" s="74" t="n"/>
      <c r="W535" s="68" t="n"/>
      <c r="X535" s="74" t="n"/>
      <c r="Y535" s="72" t="n"/>
      <c r="Z535" s="74" t="n"/>
      <c r="AA535" s="74" t="n"/>
      <c r="AB535" s="74" t="n"/>
      <c r="AC535" s="68" t="n"/>
      <c r="AD535" s="73" t="n"/>
      <c r="AE535" s="75">
        <f>SUMIFS([1]инфо!$D$15:$D$28,[1]инфо!$A$15:$A$28,F535)</f>
        <v/>
      </c>
      <c r="AF535" s="62">
        <f>IF(H535=0,0,N535/H535)</f>
        <v/>
      </c>
      <c r="AG535" s="76">
        <f>AF535-AE535</f>
        <v/>
      </c>
      <c r="AH535" s="75">
        <f>SUMIFS([1]инфо!$E$15:$E$28,[1]инфо!$A$15:$A$28,F535)</f>
        <v/>
      </c>
      <c r="AI535" s="64">
        <f>IF(H535=0,0,S535/H535)</f>
        <v/>
      </c>
      <c r="AJ535" s="76">
        <f>AI535-AH535</f>
        <v/>
      </c>
      <c r="AK535" s="75">
        <f>SUMIFS([1]инфо!$F$15:$F$28,[1]инфо!$A$15:$A$28,F535)</f>
        <v/>
      </c>
      <c r="AL535" s="64">
        <f>IF(H535=0,0,Y535/H535)</f>
        <v/>
      </c>
      <c r="AM535" s="76">
        <f>AL535-AK535</f>
        <v/>
      </c>
      <c r="AN535" s="75">
        <f>SUMIFS([1]инфо!$G$15:$G$28,[1]инфо!$A$15:$A$28,F535)</f>
        <v/>
      </c>
      <c r="AO535" s="64">
        <f>IF(H535=0,0,AA535/H535)</f>
        <v/>
      </c>
      <c r="AP535" s="76">
        <f>AO535-AN535</f>
        <v/>
      </c>
      <c r="AQ535" s="75">
        <f>SUMIFS([1]инфо!$H$15:$H$28,[1]инфо!$A$15:$A$28,F535)</f>
        <v/>
      </c>
      <c r="AR535" s="64">
        <f>IF(H534=0,0,AC535/H534)</f>
        <v/>
      </c>
      <c r="AS535" s="76">
        <f>AR535-AQ535</f>
        <v/>
      </c>
      <c r="AT535" s="75">
        <f>SUMIFS([1]инфо!$I$15:$I$28,[1]инфо!$A$15:$A$28,F535)</f>
        <v/>
      </c>
      <c r="AU535" s="62">
        <f>IF(H535=0,0,AD535/H535)</f>
        <v/>
      </c>
      <c r="AV535" s="76">
        <f>AU535-AT535</f>
        <v/>
      </c>
      <c r="AX535" s="70">
        <f>SUMIFS([1]инфо!$C$15:$C$28,[1]инфо!$A$15:$A$28,F535)*H534</f>
        <v/>
      </c>
    </row>
    <row r="536">
      <c r="A536" s="71">
        <f>A534+1</f>
        <v/>
      </c>
      <c r="B536" s="90" t="n"/>
      <c r="C536" s="52" t="n"/>
      <c r="D536" s="53" t="n"/>
      <c r="E536" s="66" t="n"/>
      <c r="F536" s="67" t="n"/>
      <c r="G536" s="58" t="n"/>
      <c r="H536" s="55" t="n"/>
      <c r="I536" s="57">
        <f>IFERROR(H536*VLOOKUP(F536,[1]инфо!$A$15:$C$28,3,FALSE)/1000,0)</f>
        <v/>
      </c>
      <c r="J536" s="55" t="n"/>
      <c r="K536" s="55" t="n"/>
      <c r="L536" s="55" t="n"/>
      <c r="M536" s="55" t="n"/>
      <c r="N536" s="55" t="n"/>
      <c r="O536" s="58" t="n"/>
      <c r="P536" s="58" t="n"/>
      <c r="Q536" s="58" t="n"/>
      <c r="R536" s="58" t="n"/>
      <c r="S536" s="59">
        <f>SUM(O536:R536)</f>
        <v/>
      </c>
      <c r="T536" s="52" t="n"/>
      <c r="U536" s="53" t="n"/>
      <c r="V536" s="58" t="n"/>
      <c r="W536" s="68" t="n"/>
      <c r="X536" s="58" t="n"/>
      <c r="Y536" s="52" t="n"/>
      <c r="Z536" s="58" t="n"/>
      <c r="AA536" s="58" t="n"/>
      <c r="AB536" s="58" t="n"/>
      <c r="AC536" s="68" t="n"/>
      <c r="AD536" s="53" t="n"/>
      <c r="AE536" s="61">
        <f>SUMIFS([1]инфо!$D$15:$D$28,[1]инфо!$A$15:$A$28,F536)</f>
        <v/>
      </c>
      <c r="AF536" s="62">
        <f>IF(H536=0,0,N536/H536)</f>
        <v/>
      </c>
      <c r="AG536" s="63">
        <f>AF536-AE536</f>
        <v/>
      </c>
      <c r="AH536" s="61">
        <f>SUMIFS([1]инфо!$E$15:$E$28,[1]инфо!$A$15:$A$28,F536)</f>
        <v/>
      </c>
      <c r="AI536" s="64">
        <f>IF(H536=0,0,S536/H536)</f>
        <v/>
      </c>
      <c r="AJ536" s="63">
        <f>AI536-AH536</f>
        <v/>
      </c>
      <c r="AK536" s="61">
        <f>SUMIFS([1]инфо!$F$15:$F$28,[1]инфо!$A$15:$A$28,F536)</f>
        <v/>
      </c>
      <c r="AL536" s="64">
        <f>IF(H536=0,0,Y536/H536)</f>
        <v/>
      </c>
      <c r="AM536" s="63">
        <f>AL536-AK536</f>
        <v/>
      </c>
      <c r="AN536" s="61">
        <f>SUMIFS([1]инфо!$G$15:$G$28,[1]инфо!$A$15:$A$28,F536)</f>
        <v/>
      </c>
      <c r="AO536" s="64">
        <f>IF(H536=0,0,AA536/H536)</f>
        <v/>
      </c>
      <c r="AP536" s="63">
        <f>AO536-AN536</f>
        <v/>
      </c>
      <c r="AQ536" s="61">
        <f>SUMIFS([1]инфо!$H$15:$H$28,[1]инфо!$A$15:$A$28,F536)</f>
        <v/>
      </c>
      <c r="AR536" s="62">
        <f>IF(H535=0,0,AC536/H535)</f>
        <v/>
      </c>
      <c r="AS536" s="63">
        <f>AR536-AQ536</f>
        <v/>
      </c>
      <c r="AT536" s="61">
        <f>SUMIFS([1]инфо!$I$15:$I$28,[1]инфо!$A$15:$A$28,F536)</f>
        <v/>
      </c>
      <c r="AU536" s="62">
        <f>IF(H536=0,0,AD536/H536)</f>
        <v/>
      </c>
      <c r="AV536" s="63">
        <f>AU536-AT536</f>
        <v/>
      </c>
      <c r="AX536" s="59">
        <f>SUMIFS([1]инфо!$C$15:$C$28,[1]инфо!$A$15:$A$28,F536)*H535</f>
        <v/>
      </c>
    </row>
    <row r="537">
      <c r="A537" s="71">
        <f>A535+1</f>
        <v/>
      </c>
      <c r="B537" s="90" t="n"/>
      <c r="C537" s="52" t="n"/>
      <c r="D537" s="53" t="n"/>
      <c r="E537" s="66" t="n"/>
      <c r="F537" s="67" t="n"/>
      <c r="G537" s="58" t="n"/>
      <c r="H537" s="56" t="n"/>
      <c r="I537" s="57">
        <f>IFERROR(H537*VLOOKUP(F537,[1]инфо!$A$15:$C$28,3,FALSE)/1000,0)</f>
        <v/>
      </c>
      <c r="J537" s="55" t="n"/>
      <c r="K537" s="55" t="n"/>
      <c r="L537" s="55" t="n"/>
      <c r="M537" s="55" t="n"/>
      <c r="N537" s="55" t="n"/>
      <c r="O537" s="58" t="n"/>
      <c r="P537" s="58" t="n"/>
      <c r="Q537" s="58" t="n"/>
      <c r="R537" s="58" t="n"/>
      <c r="S537" s="59">
        <f>SUM(O537:R537)</f>
        <v/>
      </c>
      <c r="T537" s="52" t="n"/>
      <c r="U537" s="53" t="n"/>
      <c r="V537" s="58" t="n"/>
      <c r="W537" s="68" t="n"/>
      <c r="X537" s="58" t="n"/>
      <c r="Y537" s="52" t="n"/>
      <c r="Z537" s="58" t="n"/>
      <c r="AA537" s="58" t="n"/>
      <c r="AB537" s="58" t="n"/>
      <c r="AC537" s="68" t="n"/>
      <c r="AD537" s="53" t="n"/>
      <c r="AE537" s="61">
        <f>SUMIFS([1]инфо!$D$15:$D$28,[1]инфо!$A$15:$A$28,F537)</f>
        <v/>
      </c>
      <c r="AF537" s="62">
        <f>IF(H537=0,0,N537/H537)</f>
        <v/>
      </c>
      <c r="AG537" s="63">
        <f>AF537-AE537</f>
        <v/>
      </c>
      <c r="AH537" s="61">
        <f>SUMIFS([1]инфо!$E$15:$E$28,[1]инфо!$A$15:$A$28,F537)</f>
        <v/>
      </c>
      <c r="AI537" s="64">
        <f>IF(H537=0,0,S537/H537)</f>
        <v/>
      </c>
      <c r="AJ537" s="63">
        <f>AI537-AH537</f>
        <v/>
      </c>
      <c r="AK537" s="61">
        <f>SUMIFS([1]инфо!$F$15:$F$28,[1]инфо!$A$15:$A$28,F537)</f>
        <v/>
      </c>
      <c r="AL537" s="64">
        <f>IF(H537=0,0,Y537/H537)</f>
        <v/>
      </c>
      <c r="AM537" s="63">
        <f>AL537-AK537</f>
        <v/>
      </c>
      <c r="AN537" s="61">
        <f>SUMIFS([1]инфо!$G$15:$G$28,[1]инфо!$A$15:$A$28,F537)</f>
        <v/>
      </c>
      <c r="AO537" s="64">
        <f>IF(H537=0,0,AA537/H537)</f>
        <v/>
      </c>
      <c r="AP537" s="63">
        <f>AO537-AN537</f>
        <v/>
      </c>
      <c r="AQ537" s="61">
        <f>SUMIFS([1]инфо!$H$15:$H$28,[1]инфо!$A$15:$A$28,F537)</f>
        <v/>
      </c>
      <c r="AR537" s="62">
        <f>IF(H536=0,0,AC537/H536)</f>
        <v/>
      </c>
      <c r="AS537" s="63">
        <f>AR537-AQ537</f>
        <v/>
      </c>
      <c r="AT537" s="61">
        <f>SUMIFS([1]инфо!$I$15:$I$28,[1]инфо!$A$15:$A$28,F537)</f>
        <v/>
      </c>
      <c r="AU537" s="62">
        <f>IF(H537=0,0,AD537/H537)</f>
        <v/>
      </c>
      <c r="AV537" s="63">
        <f>AU537-AT537</f>
        <v/>
      </c>
      <c r="AX537" s="59">
        <f>SUMIFS([1]инфо!$C$15:$C$28,[1]инфо!$A$15:$A$28,F537)*H536</f>
        <v/>
      </c>
    </row>
    <row r="538">
      <c r="A538" s="71">
        <f>A536+1</f>
        <v/>
      </c>
      <c r="B538" s="88" t="n"/>
      <c r="C538" s="77" t="n"/>
      <c r="D538" s="78" t="n"/>
      <c r="E538" s="66" t="n"/>
      <c r="F538" s="67" t="n"/>
      <c r="G538" s="79" t="n"/>
      <c r="H538" s="67" t="n"/>
      <c r="I538" s="57">
        <f>IFERROR(H538*VLOOKUP(F538,[1]инфо!$A$15:$C$28,3,FALSE)/1000,0)</f>
        <v/>
      </c>
      <c r="J538" s="55" t="n"/>
      <c r="K538" s="55" t="n"/>
      <c r="L538" s="55" t="n"/>
      <c r="M538" s="55" t="n"/>
      <c r="N538" s="56" t="n"/>
      <c r="O538" s="79" t="n"/>
      <c r="P538" s="79" t="n"/>
      <c r="Q538" s="79" t="n"/>
      <c r="R538" s="79" t="n"/>
      <c r="S538" s="80">
        <f>SUM(O538:R538)</f>
        <v/>
      </c>
      <c r="T538" s="77" t="n"/>
      <c r="U538" s="78" t="n"/>
      <c r="V538" s="79" t="n"/>
      <c r="W538" s="68" t="n"/>
      <c r="X538" s="79" t="n"/>
      <c r="Y538" s="77" t="n"/>
      <c r="Z538" s="79" t="n"/>
      <c r="AA538" s="79" t="n"/>
      <c r="AB538" s="79" t="n"/>
      <c r="AC538" s="68" t="n"/>
      <c r="AD538" s="78" t="n"/>
      <c r="AE538" s="81">
        <f>SUMIFS([1]инфо!$D$15:$D$28,[1]инфо!$A$15:$A$28,F538)</f>
        <v/>
      </c>
      <c r="AF538" s="62">
        <f>IF(H538=0,0,N538/H538)</f>
        <v/>
      </c>
      <c r="AG538" s="82">
        <f>AF538-AE538</f>
        <v/>
      </c>
      <c r="AH538" s="81">
        <f>SUMIFS([1]инфо!$E$15:$E$28,[1]инфо!$A$15:$A$28,F538)</f>
        <v/>
      </c>
      <c r="AI538" s="64">
        <f>IF(H538=0,0,S538/H538)</f>
        <v/>
      </c>
      <c r="AJ538" s="82">
        <f>AI538-AH538</f>
        <v/>
      </c>
      <c r="AK538" s="81">
        <f>SUMIFS([1]инфо!$F$15:$F$28,[1]инфо!$A$15:$A$28,F538)</f>
        <v/>
      </c>
      <c r="AL538" s="64">
        <f>IF(H538=0,0,Y538/H538)</f>
        <v/>
      </c>
      <c r="AM538" s="82">
        <f>AL538-AK538</f>
        <v/>
      </c>
      <c r="AN538" s="81">
        <f>SUMIFS([1]инфо!$G$15:$G$28,[1]инфо!$A$15:$A$28,F538)</f>
        <v/>
      </c>
      <c r="AO538" s="64">
        <f>IF(H538=0,0,AA538/H538)</f>
        <v/>
      </c>
      <c r="AP538" s="82">
        <f>AO538-AN538</f>
        <v/>
      </c>
      <c r="AQ538" s="81">
        <f>SUMIFS([1]инфо!$H$15:$H$28,[1]инфо!$A$15:$A$28,F538)</f>
        <v/>
      </c>
      <c r="AR538" s="85">
        <f>IF(H537=0,0,AC538/H537)</f>
        <v/>
      </c>
      <c r="AS538" s="82">
        <f>AR538-AQ538</f>
        <v/>
      </c>
      <c r="AT538" s="81">
        <f>SUMIFS([1]инфо!$I$15:$I$28,[1]инфо!$A$15:$A$28,F538)</f>
        <v/>
      </c>
      <c r="AU538" s="62">
        <f>IF(H538=0,0,AD538/H538)</f>
        <v/>
      </c>
      <c r="AV538" s="82">
        <f>AU538-AT538</f>
        <v/>
      </c>
      <c r="AX538" s="80">
        <f>SUMIFS([1]инфо!$C$15:$C$28,[1]инфо!$A$15:$A$28,F538)*H537</f>
        <v/>
      </c>
    </row>
    <row r="539">
      <c r="A539" s="71">
        <f>A537+1</f>
        <v/>
      </c>
      <c r="B539" s="89" t="n"/>
      <c r="C539" s="72" t="n"/>
      <c r="D539" s="73" t="n"/>
      <c r="E539" s="66" t="n"/>
      <c r="F539" s="67" t="n"/>
      <c r="G539" s="74" t="n"/>
      <c r="H539" s="55" t="n"/>
      <c r="I539" s="57">
        <f>IFERROR(H539*VLOOKUP(F539,[1]инфо!$A$15:$C$28,3,FALSE)/1000,0)</f>
        <v/>
      </c>
      <c r="J539" s="55" t="n"/>
      <c r="K539" s="55" t="n"/>
      <c r="L539" s="55" t="n"/>
      <c r="M539" s="55" t="n"/>
      <c r="N539" s="67" t="n"/>
      <c r="O539" s="74" t="n"/>
      <c r="P539" s="74" t="n"/>
      <c r="Q539" s="74" t="n"/>
      <c r="R539" s="74" t="n"/>
      <c r="S539" s="70">
        <f>SUM(O539:R539)</f>
        <v/>
      </c>
      <c r="T539" s="72" t="n"/>
      <c r="U539" s="73" t="n"/>
      <c r="V539" s="74" t="n"/>
      <c r="W539" s="68" t="n"/>
      <c r="X539" s="74" t="n"/>
      <c r="Y539" s="72" t="n"/>
      <c r="Z539" s="74" t="n"/>
      <c r="AA539" s="74" t="n"/>
      <c r="AB539" s="74" t="n"/>
      <c r="AC539" s="68" t="n"/>
      <c r="AD539" s="73" t="n"/>
      <c r="AE539" s="75">
        <f>SUMIFS([1]инфо!$D$15:$D$28,[1]инфо!$A$15:$A$28,F539)</f>
        <v/>
      </c>
      <c r="AF539" s="62">
        <f>IF(H539=0,0,N539/H539)</f>
        <v/>
      </c>
      <c r="AG539" s="76">
        <f>AF539-AE539</f>
        <v/>
      </c>
      <c r="AH539" s="75">
        <f>SUMIFS([1]инфо!$E$15:$E$28,[1]инфо!$A$15:$A$28,F539)</f>
        <v/>
      </c>
      <c r="AI539" s="64">
        <f>IF(H539=0,0,S539/H539)</f>
        <v/>
      </c>
      <c r="AJ539" s="76">
        <f>AI539-AH539</f>
        <v/>
      </c>
      <c r="AK539" s="75">
        <f>SUMIFS([1]инфо!$F$15:$F$28,[1]инфо!$A$15:$A$28,F539)</f>
        <v/>
      </c>
      <c r="AL539" s="64">
        <f>IF(H539=0,0,Y539/H539)</f>
        <v/>
      </c>
      <c r="AM539" s="76">
        <f>AL539-AK539</f>
        <v/>
      </c>
      <c r="AN539" s="75">
        <f>SUMIFS([1]инфо!$G$15:$G$28,[1]инфо!$A$15:$A$28,F539)</f>
        <v/>
      </c>
      <c r="AO539" s="64">
        <f>IF(H539=0,0,AA539/H539)</f>
        <v/>
      </c>
      <c r="AP539" s="76">
        <f>AO539-AN539</f>
        <v/>
      </c>
      <c r="AQ539" s="75">
        <f>SUMIFS([1]инфо!$H$15:$H$28,[1]инфо!$A$15:$A$28,F539)</f>
        <v/>
      </c>
      <c r="AR539" s="64">
        <f>IF(H538=0,0,AC539/H538)</f>
        <v/>
      </c>
      <c r="AS539" s="76">
        <f>AR539-AQ539</f>
        <v/>
      </c>
      <c r="AT539" s="75">
        <f>SUMIFS([1]инфо!$I$15:$I$28,[1]инфо!$A$15:$A$28,F539)</f>
        <v/>
      </c>
      <c r="AU539" s="62">
        <f>IF(H539=0,0,AD539/H539)</f>
        <v/>
      </c>
      <c r="AV539" s="76">
        <f>AU539-AT539</f>
        <v/>
      </c>
      <c r="AX539" s="70">
        <f>SUMIFS([1]инфо!$C$15:$C$28,[1]инфо!$A$15:$A$28,F539)*H538</f>
        <v/>
      </c>
    </row>
    <row r="540">
      <c r="A540" s="71">
        <f>A538+1</f>
        <v/>
      </c>
      <c r="B540" s="90" t="n"/>
      <c r="C540" s="52" t="n"/>
      <c r="D540" s="53" t="n"/>
      <c r="E540" s="66" t="n"/>
      <c r="F540" s="67" t="n"/>
      <c r="G540" s="58" t="n"/>
      <c r="H540" s="55" t="n"/>
      <c r="I540" s="57">
        <f>IFERROR(H540*VLOOKUP(F540,[1]инфо!$A$15:$C$28,3,FALSE)/1000,0)</f>
        <v/>
      </c>
      <c r="J540" s="55" t="n"/>
      <c r="K540" s="55" t="n"/>
      <c r="L540" s="55" t="n"/>
      <c r="M540" s="55" t="n"/>
      <c r="N540" s="55" t="n"/>
      <c r="O540" s="58" t="n"/>
      <c r="P540" s="58" t="n"/>
      <c r="Q540" s="58" t="n"/>
      <c r="R540" s="58" t="n"/>
      <c r="S540" s="59">
        <f>SUM(O540:R540)</f>
        <v/>
      </c>
      <c r="T540" s="52" t="n"/>
      <c r="U540" s="53" t="n"/>
      <c r="V540" s="58" t="n"/>
      <c r="W540" s="68" t="n"/>
      <c r="X540" s="58" t="n"/>
      <c r="Y540" s="52" t="n"/>
      <c r="Z540" s="58" t="n"/>
      <c r="AA540" s="58" t="n"/>
      <c r="AB540" s="58" t="n"/>
      <c r="AC540" s="68" t="n"/>
      <c r="AD540" s="53" t="n"/>
      <c r="AE540" s="61">
        <f>SUMIFS([1]инфо!$D$15:$D$28,[1]инфо!$A$15:$A$28,F540)</f>
        <v/>
      </c>
      <c r="AF540" s="62">
        <f>IF(H540=0,0,N540/H540)</f>
        <v/>
      </c>
      <c r="AG540" s="63">
        <f>AF540-AE540</f>
        <v/>
      </c>
      <c r="AH540" s="61">
        <f>SUMIFS([1]инфо!$E$15:$E$28,[1]инфо!$A$15:$A$28,F540)</f>
        <v/>
      </c>
      <c r="AI540" s="64">
        <f>IF(H540=0,0,S540/H540)</f>
        <v/>
      </c>
      <c r="AJ540" s="63">
        <f>AI540-AH540</f>
        <v/>
      </c>
      <c r="AK540" s="61">
        <f>SUMIFS([1]инфо!$F$15:$F$28,[1]инфо!$A$15:$A$28,F540)</f>
        <v/>
      </c>
      <c r="AL540" s="64">
        <f>IF(H540=0,0,Y540/H540)</f>
        <v/>
      </c>
      <c r="AM540" s="63">
        <f>AL540-AK540</f>
        <v/>
      </c>
      <c r="AN540" s="61">
        <f>SUMIFS([1]инфо!$G$15:$G$28,[1]инфо!$A$15:$A$28,F540)</f>
        <v/>
      </c>
      <c r="AO540" s="64">
        <f>IF(H540=0,0,AA540/H540)</f>
        <v/>
      </c>
      <c r="AP540" s="63">
        <f>AO540-AN540</f>
        <v/>
      </c>
      <c r="AQ540" s="61">
        <f>SUMIFS([1]инфо!$H$15:$H$28,[1]инфо!$A$15:$A$28,F540)</f>
        <v/>
      </c>
      <c r="AR540" s="62">
        <f>IF(H539=0,0,AC540/H539)</f>
        <v/>
      </c>
      <c r="AS540" s="63">
        <f>AR540-AQ540</f>
        <v/>
      </c>
      <c r="AT540" s="61">
        <f>SUMIFS([1]инфо!$I$15:$I$28,[1]инфо!$A$15:$A$28,F540)</f>
        <v/>
      </c>
      <c r="AU540" s="62">
        <f>IF(H540=0,0,AD540/H540)</f>
        <v/>
      </c>
      <c r="AV540" s="63">
        <f>AU540-AT540</f>
        <v/>
      </c>
      <c r="AX540" s="59">
        <f>SUMIFS([1]инфо!$C$15:$C$28,[1]инфо!$A$15:$A$28,F540)*H539</f>
        <v/>
      </c>
    </row>
    <row r="541">
      <c r="A541" s="71">
        <f>A539+1</f>
        <v/>
      </c>
      <c r="B541" s="90" t="n"/>
      <c r="C541" s="52" t="n"/>
      <c r="D541" s="53" t="n"/>
      <c r="E541" s="66" t="n"/>
      <c r="F541" s="67" t="n"/>
      <c r="G541" s="58" t="n"/>
      <c r="H541" s="56" t="n"/>
      <c r="I541" s="57">
        <f>IFERROR(H541*VLOOKUP(F541,[1]инфо!$A$15:$C$28,3,FALSE)/1000,0)</f>
        <v/>
      </c>
      <c r="J541" s="55" t="n"/>
      <c r="K541" s="55" t="n"/>
      <c r="L541" s="55" t="n"/>
      <c r="M541" s="55" t="n"/>
      <c r="N541" s="55" t="n"/>
      <c r="O541" s="58" t="n"/>
      <c r="P541" s="58" t="n"/>
      <c r="Q541" s="58" t="n"/>
      <c r="R541" s="58" t="n"/>
      <c r="S541" s="59">
        <f>SUM(O541:R541)</f>
        <v/>
      </c>
      <c r="T541" s="52" t="n"/>
      <c r="U541" s="53" t="n"/>
      <c r="V541" s="58" t="n"/>
      <c r="W541" s="68" t="n"/>
      <c r="X541" s="58" t="n"/>
      <c r="Y541" s="52" t="n"/>
      <c r="Z541" s="58" t="n"/>
      <c r="AA541" s="58" t="n"/>
      <c r="AB541" s="58" t="n"/>
      <c r="AC541" s="68" t="n"/>
      <c r="AD541" s="53" t="n"/>
      <c r="AE541" s="61">
        <f>SUMIFS([1]инфо!$D$15:$D$28,[1]инфо!$A$15:$A$28,F541)</f>
        <v/>
      </c>
      <c r="AF541" s="62">
        <f>IF(H541=0,0,N541/H541)</f>
        <v/>
      </c>
      <c r="AG541" s="63">
        <f>AF541-AE541</f>
        <v/>
      </c>
      <c r="AH541" s="61">
        <f>SUMIFS([1]инфо!$E$15:$E$28,[1]инфо!$A$15:$A$28,F541)</f>
        <v/>
      </c>
      <c r="AI541" s="64">
        <f>IF(H541=0,0,S541/H541)</f>
        <v/>
      </c>
      <c r="AJ541" s="63">
        <f>AI541-AH541</f>
        <v/>
      </c>
      <c r="AK541" s="61">
        <f>SUMIFS([1]инфо!$F$15:$F$28,[1]инфо!$A$15:$A$28,F541)</f>
        <v/>
      </c>
      <c r="AL541" s="64">
        <f>IF(H541=0,0,Y541/H541)</f>
        <v/>
      </c>
      <c r="AM541" s="63">
        <f>AL541-AK541</f>
        <v/>
      </c>
      <c r="AN541" s="61">
        <f>SUMIFS([1]инфо!$G$15:$G$28,[1]инфо!$A$15:$A$28,F541)</f>
        <v/>
      </c>
      <c r="AO541" s="64">
        <f>IF(H541=0,0,AA541/H541)</f>
        <v/>
      </c>
      <c r="AP541" s="63">
        <f>AO541-AN541</f>
        <v/>
      </c>
      <c r="AQ541" s="61">
        <f>SUMIFS([1]инфо!$H$15:$H$28,[1]инфо!$A$15:$A$28,F541)</f>
        <v/>
      </c>
      <c r="AR541" s="62">
        <f>IF(H540=0,0,AC541/H540)</f>
        <v/>
      </c>
      <c r="AS541" s="63">
        <f>AR541-AQ541</f>
        <v/>
      </c>
      <c r="AT541" s="61">
        <f>SUMIFS([1]инфо!$I$15:$I$28,[1]инфо!$A$15:$A$28,F541)</f>
        <v/>
      </c>
      <c r="AU541" s="62">
        <f>IF(H541=0,0,AD541/H541)</f>
        <v/>
      </c>
      <c r="AV541" s="63">
        <f>AU541-AT541</f>
        <v/>
      </c>
      <c r="AX541" s="59">
        <f>SUMIFS([1]инфо!$C$15:$C$28,[1]инфо!$A$15:$A$28,F541)*H540</f>
        <v/>
      </c>
    </row>
    <row r="542">
      <c r="A542" s="71">
        <f>A540+1</f>
        <v/>
      </c>
      <c r="B542" s="88" t="n"/>
      <c r="C542" s="77" t="n"/>
      <c r="D542" s="78" t="n"/>
      <c r="E542" s="66" t="n"/>
      <c r="F542" s="67" t="n"/>
      <c r="G542" s="79" t="n"/>
      <c r="H542" s="67" t="n"/>
      <c r="I542" s="57">
        <f>IFERROR(H542*VLOOKUP(F542,[1]инфо!$A$15:$C$28,3,FALSE)/1000,0)</f>
        <v/>
      </c>
      <c r="J542" s="55" t="n"/>
      <c r="K542" s="55" t="n"/>
      <c r="L542" s="55" t="n"/>
      <c r="M542" s="55" t="n"/>
      <c r="N542" s="56" t="n"/>
      <c r="O542" s="79" t="n"/>
      <c r="P542" s="79" t="n"/>
      <c r="Q542" s="79" t="n"/>
      <c r="R542" s="79" t="n"/>
      <c r="S542" s="80">
        <f>SUM(O542:R542)</f>
        <v/>
      </c>
      <c r="T542" s="77" t="n"/>
      <c r="U542" s="78" t="n"/>
      <c r="V542" s="79" t="n"/>
      <c r="W542" s="68" t="n"/>
      <c r="X542" s="79" t="n"/>
      <c r="Y542" s="77" t="n"/>
      <c r="Z542" s="79" t="n"/>
      <c r="AA542" s="79" t="n"/>
      <c r="AB542" s="79" t="n"/>
      <c r="AC542" s="68" t="n"/>
      <c r="AD542" s="78" t="n"/>
      <c r="AE542" s="81">
        <f>SUMIFS([1]инфо!$D$15:$D$28,[1]инфо!$A$15:$A$28,F542)</f>
        <v/>
      </c>
      <c r="AF542" s="62">
        <f>IF(H542=0,0,N542/H542)</f>
        <v/>
      </c>
      <c r="AG542" s="82">
        <f>AF542-AE542</f>
        <v/>
      </c>
      <c r="AH542" s="81">
        <f>SUMIFS([1]инфо!$E$15:$E$28,[1]инфо!$A$15:$A$28,F542)</f>
        <v/>
      </c>
      <c r="AI542" s="64">
        <f>IF(H542=0,0,S542/H542)</f>
        <v/>
      </c>
      <c r="AJ542" s="82">
        <f>AI542-AH542</f>
        <v/>
      </c>
      <c r="AK542" s="81">
        <f>SUMIFS([1]инфо!$F$15:$F$28,[1]инфо!$A$15:$A$28,F542)</f>
        <v/>
      </c>
      <c r="AL542" s="64">
        <f>IF(H542=0,0,Y542/H542)</f>
        <v/>
      </c>
      <c r="AM542" s="82">
        <f>AL542-AK542</f>
        <v/>
      </c>
      <c r="AN542" s="81">
        <f>SUMIFS([1]инфо!$G$15:$G$28,[1]инфо!$A$15:$A$28,F542)</f>
        <v/>
      </c>
      <c r="AO542" s="64">
        <f>IF(H542=0,0,AA542/H542)</f>
        <v/>
      </c>
      <c r="AP542" s="82">
        <f>AO542-AN542</f>
        <v/>
      </c>
      <c r="AQ542" s="81">
        <f>SUMIFS([1]инфо!$H$15:$H$28,[1]инфо!$A$15:$A$28,F542)</f>
        <v/>
      </c>
      <c r="AR542" s="85">
        <f>IF(H541=0,0,AC542/H541)</f>
        <v/>
      </c>
      <c r="AS542" s="82">
        <f>AR542-AQ542</f>
        <v/>
      </c>
      <c r="AT542" s="81">
        <f>SUMIFS([1]инфо!$I$15:$I$28,[1]инфо!$A$15:$A$28,F542)</f>
        <v/>
      </c>
      <c r="AU542" s="62">
        <f>IF(H542=0,0,AD542/H542)</f>
        <v/>
      </c>
      <c r="AV542" s="82">
        <f>AU542-AT542</f>
        <v/>
      </c>
      <c r="AX542" s="80">
        <f>SUMIFS([1]инфо!$C$15:$C$28,[1]инфо!$A$15:$A$28,F542)*H541</f>
        <v/>
      </c>
    </row>
    <row r="543">
      <c r="A543" s="71">
        <f>A541+1</f>
        <v/>
      </c>
      <c r="B543" s="89" t="n"/>
      <c r="C543" s="72" t="n"/>
      <c r="D543" s="73" t="n"/>
      <c r="E543" s="66" t="n"/>
      <c r="F543" s="67" t="n"/>
      <c r="G543" s="74" t="n"/>
      <c r="H543" s="55" t="n"/>
      <c r="I543" s="57">
        <f>IFERROR(H543*VLOOKUP(F543,[1]инфо!$A$15:$C$28,3,FALSE)/1000,0)</f>
        <v/>
      </c>
      <c r="J543" s="55" t="n"/>
      <c r="K543" s="55" t="n"/>
      <c r="L543" s="55" t="n"/>
      <c r="M543" s="55" t="n"/>
      <c r="N543" s="67" t="n"/>
      <c r="O543" s="74" t="n"/>
      <c r="P543" s="74" t="n"/>
      <c r="Q543" s="74" t="n"/>
      <c r="R543" s="74" t="n"/>
      <c r="S543" s="70">
        <f>SUM(O543:R543)</f>
        <v/>
      </c>
      <c r="T543" s="72" t="n"/>
      <c r="U543" s="73" t="n"/>
      <c r="V543" s="74" t="n"/>
      <c r="W543" s="68" t="n"/>
      <c r="X543" s="74" t="n"/>
      <c r="Y543" s="72" t="n"/>
      <c r="Z543" s="74" t="n"/>
      <c r="AA543" s="74" t="n"/>
      <c r="AB543" s="74" t="n"/>
      <c r="AC543" s="68" t="n"/>
      <c r="AD543" s="73" t="n"/>
      <c r="AE543" s="75">
        <f>SUMIFS([1]инфо!$D$15:$D$28,[1]инфо!$A$15:$A$28,F543)</f>
        <v/>
      </c>
      <c r="AF543" s="62">
        <f>IF(H543=0,0,N543/H543)</f>
        <v/>
      </c>
      <c r="AG543" s="76">
        <f>AF543-AE543</f>
        <v/>
      </c>
      <c r="AH543" s="75">
        <f>SUMIFS([1]инфо!$E$15:$E$28,[1]инфо!$A$15:$A$28,F543)</f>
        <v/>
      </c>
      <c r="AI543" s="64">
        <f>IF(H543=0,0,S543/H543)</f>
        <v/>
      </c>
      <c r="AJ543" s="76">
        <f>AI543-AH543</f>
        <v/>
      </c>
      <c r="AK543" s="75">
        <f>SUMIFS([1]инфо!$F$15:$F$28,[1]инфо!$A$15:$A$28,F543)</f>
        <v/>
      </c>
      <c r="AL543" s="64">
        <f>IF(H543=0,0,Y543/H543)</f>
        <v/>
      </c>
      <c r="AM543" s="76">
        <f>AL543-AK543</f>
        <v/>
      </c>
      <c r="AN543" s="75">
        <f>SUMIFS([1]инфо!$G$15:$G$28,[1]инфо!$A$15:$A$28,F543)</f>
        <v/>
      </c>
      <c r="AO543" s="64">
        <f>IF(H543=0,0,AA543/H543)</f>
        <v/>
      </c>
      <c r="AP543" s="76">
        <f>AO543-AN543</f>
        <v/>
      </c>
      <c r="AQ543" s="75">
        <f>SUMIFS([1]инфо!$H$15:$H$28,[1]инфо!$A$15:$A$28,F543)</f>
        <v/>
      </c>
      <c r="AR543" s="64">
        <f>IF(H542=0,0,AC543/H542)</f>
        <v/>
      </c>
      <c r="AS543" s="76">
        <f>AR543-AQ543</f>
        <v/>
      </c>
      <c r="AT543" s="75">
        <f>SUMIFS([1]инфо!$I$15:$I$28,[1]инфо!$A$15:$A$28,F543)</f>
        <v/>
      </c>
      <c r="AU543" s="62">
        <f>IF(H543=0,0,AD543/H543)</f>
        <v/>
      </c>
      <c r="AV543" s="76">
        <f>AU543-AT543</f>
        <v/>
      </c>
      <c r="AX543" s="70">
        <f>SUMIFS([1]инфо!$C$15:$C$28,[1]инфо!$A$15:$A$28,F543)*H542</f>
        <v/>
      </c>
    </row>
    <row r="544">
      <c r="A544" s="71">
        <f>A542+1</f>
        <v/>
      </c>
      <c r="B544" s="90" t="n"/>
      <c r="C544" s="52" t="n"/>
      <c r="D544" s="53" t="n"/>
      <c r="E544" s="66" t="n"/>
      <c r="F544" s="67" t="n"/>
      <c r="G544" s="58" t="n"/>
      <c r="H544" s="55" t="n"/>
      <c r="I544" s="57">
        <f>IFERROR(H544*VLOOKUP(F544,[1]инфо!$A$15:$C$28,3,FALSE)/1000,0)</f>
        <v/>
      </c>
      <c r="J544" s="55" t="n"/>
      <c r="K544" s="55" t="n"/>
      <c r="L544" s="55" t="n"/>
      <c r="M544" s="55" t="n"/>
      <c r="N544" s="55" t="n"/>
      <c r="O544" s="58" t="n"/>
      <c r="P544" s="58" t="n"/>
      <c r="Q544" s="58" t="n"/>
      <c r="R544" s="58" t="n"/>
      <c r="S544" s="59">
        <f>SUM(O544:R544)</f>
        <v/>
      </c>
      <c r="T544" s="52" t="n"/>
      <c r="U544" s="53" t="n"/>
      <c r="V544" s="58" t="n"/>
      <c r="W544" s="68" t="n"/>
      <c r="X544" s="58" t="n"/>
      <c r="Y544" s="52" t="n"/>
      <c r="Z544" s="58" t="n"/>
      <c r="AA544" s="58" t="n"/>
      <c r="AB544" s="58" t="n"/>
      <c r="AC544" s="68" t="n"/>
      <c r="AD544" s="53" t="n"/>
      <c r="AE544" s="61">
        <f>SUMIFS([1]инфо!$D$15:$D$28,[1]инфо!$A$15:$A$28,F544)</f>
        <v/>
      </c>
      <c r="AF544" s="62">
        <f>IF(H544=0,0,N544/H544)</f>
        <v/>
      </c>
      <c r="AG544" s="63">
        <f>AF544-AE544</f>
        <v/>
      </c>
      <c r="AH544" s="61">
        <f>SUMIFS([1]инфо!$E$15:$E$28,[1]инфо!$A$15:$A$28,F544)</f>
        <v/>
      </c>
      <c r="AI544" s="64">
        <f>IF(H544=0,0,S544/H544)</f>
        <v/>
      </c>
      <c r="AJ544" s="63">
        <f>AI544-AH544</f>
        <v/>
      </c>
      <c r="AK544" s="61">
        <f>SUMIFS([1]инфо!$F$15:$F$28,[1]инфо!$A$15:$A$28,F544)</f>
        <v/>
      </c>
      <c r="AL544" s="64">
        <f>IF(H544=0,0,Y544/H544)</f>
        <v/>
      </c>
      <c r="AM544" s="63">
        <f>AL544-AK544</f>
        <v/>
      </c>
      <c r="AN544" s="61">
        <f>SUMIFS([1]инфо!$G$15:$G$28,[1]инфо!$A$15:$A$28,F544)</f>
        <v/>
      </c>
      <c r="AO544" s="64">
        <f>IF(H544=0,0,AA544/H544)</f>
        <v/>
      </c>
      <c r="AP544" s="63">
        <f>AO544-AN544</f>
        <v/>
      </c>
      <c r="AQ544" s="61">
        <f>SUMIFS([1]инфо!$H$15:$H$28,[1]инфо!$A$15:$A$28,F544)</f>
        <v/>
      </c>
      <c r="AR544" s="62">
        <f>IF(H543=0,0,AC544/H543)</f>
        <v/>
      </c>
      <c r="AS544" s="63">
        <f>AR544-AQ544</f>
        <v/>
      </c>
      <c r="AT544" s="61">
        <f>SUMIFS([1]инфо!$I$15:$I$28,[1]инфо!$A$15:$A$28,F544)</f>
        <v/>
      </c>
      <c r="AU544" s="62">
        <f>IF(H544=0,0,AD544/H544)</f>
        <v/>
      </c>
      <c r="AV544" s="63">
        <f>AU544-AT544</f>
        <v/>
      </c>
      <c r="AX544" s="59">
        <f>SUMIFS([1]инфо!$C$15:$C$28,[1]инфо!$A$15:$A$28,F544)*H543</f>
        <v/>
      </c>
    </row>
    <row r="545">
      <c r="A545" s="71">
        <f>A543+1</f>
        <v/>
      </c>
      <c r="B545" s="90" t="n"/>
      <c r="C545" s="52" t="n"/>
      <c r="D545" s="53" t="n"/>
      <c r="E545" s="66" t="n"/>
      <c r="F545" s="67" t="n"/>
      <c r="G545" s="58" t="n"/>
      <c r="H545" s="56" t="n"/>
      <c r="I545" s="57">
        <f>IFERROR(H545*VLOOKUP(F545,[1]инфо!$A$15:$C$28,3,FALSE)/1000,0)</f>
        <v/>
      </c>
      <c r="J545" s="55" t="n"/>
      <c r="K545" s="55" t="n"/>
      <c r="L545" s="55" t="n"/>
      <c r="M545" s="55" t="n"/>
      <c r="N545" s="55" t="n"/>
      <c r="O545" s="58" t="n"/>
      <c r="P545" s="58" t="n"/>
      <c r="Q545" s="58" t="n"/>
      <c r="R545" s="58" t="n"/>
      <c r="S545" s="59">
        <f>SUM(O545:R545)</f>
        <v/>
      </c>
      <c r="T545" s="52" t="n"/>
      <c r="U545" s="53" t="n"/>
      <c r="V545" s="58" t="n"/>
      <c r="W545" s="68" t="n"/>
      <c r="X545" s="58" t="n"/>
      <c r="Y545" s="52" t="n"/>
      <c r="Z545" s="58" t="n"/>
      <c r="AA545" s="58" t="n"/>
      <c r="AB545" s="58" t="n"/>
      <c r="AC545" s="68" t="n"/>
      <c r="AD545" s="53" t="n"/>
      <c r="AE545" s="61">
        <f>SUMIFS([1]инфо!$D$15:$D$28,[1]инфо!$A$15:$A$28,F545)</f>
        <v/>
      </c>
      <c r="AF545" s="62">
        <f>IF(H545=0,0,N545/H545)</f>
        <v/>
      </c>
      <c r="AG545" s="63">
        <f>AF545-AE545</f>
        <v/>
      </c>
      <c r="AH545" s="61">
        <f>SUMIFS([1]инфо!$E$15:$E$28,[1]инфо!$A$15:$A$28,F545)</f>
        <v/>
      </c>
      <c r="AI545" s="64">
        <f>IF(H545=0,0,S545/H545)</f>
        <v/>
      </c>
      <c r="AJ545" s="63">
        <f>AI545-AH545</f>
        <v/>
      </c>
      <c r="AK545" s="61">
        <f>SUMIFS([1]инфо!$F$15:$F$28,[1]инфо!$A$15:$A$28,F545)</f>
        <v/>
      </c>
      <c r="AL545" s="64">
        <f>IF(H545=0,0,Y545/H545)</f>
        <v/>
      </c>
      <c r="AM545" s="63">
        <f>AL545-AK545</f>
        <v/>
      </c>
      <c r="AN545" s="61">
        <f>SUMIFS([1]инфо!$G$15:$G$28,[1]инфо!$A$15:$A$28,F545)</f>
        <v/>
      </c>
      <c r="AO545" s="64">
        <f>IF(H545=0,0,AA545/H545)</f>
        <v/>
      </c>
      <c r="AP545" s="63">
        <f>AO545-AN545</f>
        <v/>
      </c>
      <c r="AQ545" s="61">
        <f>SUMIFS([1]инфо!$H$15:$H$28,[1]инфо!$A$15:$A$28,F545)</f>
        <v/>
      </c>
      <c r="AR545" s="62">
        <f>IF(H544=0,0,AC545/H544)</f>
        <v/>
      </c>
      <c r="AS545" s="63">
        <f>AR545-AQ545</f>
        <v/>
      </c>
      <c r="AT545" s="61">
        <f>SUMIFS([1]инфо!$I$15:$I$28,[1]инфо!$A$15:$A$28,F545)</f>
        <v/>
      </c>
      <c r="AU545" s="62">
        <f>IF(H545=0,0,AD545/H545)</f>
        <v/>
      </c>
      <c r="AV545" s="63">
        <f>AU545-AT545</f>
        <v/>
      </c>
      <c r="AX545" s="59">
        <f>SUMIFS([1]инфо!$C$15:$C$28,[1]инфо!$A$15:$A$28,F545)*H544</f>
        <v/>
      </c>
    </row>
    <row r="546">
      <c r="A546" s="71">
        <f>A544+1</f>
        <v/>
      </c>
      <c r="B546" s="88" t="n"/>
      <c r="C546" s="77" t="n"/>
      <c r="D546" s="78" t="n"/>
      <c r="E546" s="66" t="n"/>
      <c r="F546" s="67" t="n"/>
      <c r="G546" s="79" t="n"/>
      <c r="H546" s="67" t="n"/>
      <c r="I546" s="57">
        <f>IFERROR(H546*VLOOKUP(F546,[1]инфо!$A$15:$C$28,3,FALSE)/1000,0)</f>
        <v/>
      </c>
      <c r="J546" s="55" t="n"/>
      <c r="K546" s="55" t="n"/>
      <c r="L546" s="55" t="n"/>
      <c r="M546" s="55" t="n"/>
      <c r="N546" s="56" t="n"/>
      <c r="O546" s="79" t="n"/>
      <c r="P546" s="79" t="n"/>
      <c r="Q546" s="79" t="n"/>
      <c r="R546" s="79" t="n"/>
      <c r="S546" s="80">
        <f>SUM(O546:R546)</f>
        <v/>
      </c>
      <c r="T546" s="77" t="n"/>
      <c r="U546" s="78" t="n"/>
      <c r="V546" s="79" t="n"/>
      <c r="W546" s="68" t="n"/>
      <c r="X546" s="79" t="n"/>
      <c r="Y546" s="77" t="n"/>
      <c r="Z546" s="79" t="n"/>
      <c r="AA546" s="79" t="n"/>
      <c r="AB546" s="79" t="n"/>
      <c r="AC546" s="68" t="n"/>
      <c r="AD546" s="78" t="n"/>
      <c r="AE546" s="81">
        <f>SUMIFS([1]инфо!$D$15:$D$28,[1]инфо!$A$15:$A$28,F546)</f>
        <v/>
      </c>
      <c r="AF546" s="62">
        <f>IF(H546=0,0,N546/H546)</f>
        <v/>
      </c>
      <c r="AG546" s="82">
        <f>AF546-AE546</f>
        <v/>
      </c>
      <c r="AH546" s="81">
        <f>SUMIFS([1]инфо!$E$15:$E$28,[1]инфо!$A$15:$A$28,F546)</f>
        <v/>
      </c>
      <c r="AI546" s="64">
        <f>IF(H546=0,0,S546/H546)</f>
        <v/>
      </c>
      <c r="AJ546" s="82">
        <f>AI546-AH546</f>
        <v/>
      </c>
      <c r="AK546" s="81">
        <f>SUMIFS([1]инфо!$F$15:$F$28,[1]инфо!$A$15:$A$28,F546)</f>
        <v/>
      </c>
      <c r="AL546" s="64">
        <f>IF(H546=0,0,Y546/H546)</f>
        <v/>
      </c>
      <c r="AM546" s="82">
        <f>AL546-AK546</f>
        <v/>
      </c>
      <c r="AN546" s="81">
        <f>SUMIFS([1]инфо!$G$15:$G$28,[1]инфо!$A$15:$A$28,F546)</f>
        <v/>
      </c>
      <c r="AO546" s="64">
        <f>IF(H546=0,0,AA546/H546)</f>
        <v/>
      </c>
      <c r="AP546" s="82">
        <f>AO546-AN546</f>
        <v/>
      </c>
      <c r="AQ546" s="81">
        <f>SUMIFS([1]инфо!$H$15:$H$28,[1]инфо!$A$15:$A$28,F546)</f>
        <v/>
      </c>
      <c r="AR546" s="85">
        <f>IF(H545=0,0,AC546/H545)</f>
        <v/>
      </c>
      <c r="AS546" s="82">
        <f>AR546-AQ546</f>
        <v/>
      </c>
      <c r="AT546" s="81">
        <f>SUMIFS([1]инфо!$I$15:$I$28,[1]инфо!$A$15:$A$28,F546)</f>
        <v/>
      </c>
      <c r="AU546" s="62">
        <f>IF(H546=0,0,AD546/H546)</f>
        <v/>
      </c>
      <c r="AV546" s="82">
        <f>AU546-AT546</f>
        <v/>
      </c>
      <c r="AX546" s="80">
        <f>SUMIFS([1]инфо!$C$15:$C$28,[1]инфо!$A$15:$A$28,F546)*H545</f>
        <v/>
      </c>
    </row>
    <row r="547">
      <c r="A547" s="71">
        <f>A545+1</f>
        <v/>
      </c>
      <c r="B547" s="89" t="n"/>
      <c r="C547" s="72" t="n"/>
      <c r="D547" s="73" t="n"/>
      <c r="E547" s="66" t="n"/>
      <c r="F547" s="67" t="n"/>
      <c r="G547" s="74" t="n"/>
      <c r="H547" s="55" t="n"/>
      <c r="I547" s="57">
        <f>IFERROR(H547*VLOOKUP(F547,[1]инфо!$A$15:$C$28,3,FALSE)/1000,0)</f>
        <v/>
      </c>
      <c r="J547" s="55" t="n"/>
      <c r="K547" s="55" t="n"/>
      <c r="L547" s="55" t="n"/>
      <c r="M547" s="55" t="n"/>
      <c r="N547" s="67" t="n"/>
      <c r="O547" s="74" t="n"/>
      <c r="P547" s="74" t="n"/>
      <c r="Q547" s="74" t="n"/>
      <c r="R547" s="74" t="n"/>
      <c r="S547" s="70">
        <f>SUM(O547:R547)</f>
        <v/>
      </c>
      <c r="T547" s="72" t="n"/>
      <c r="U547" s="73" t="n"/>
      <c r="V547" s="74" t="n"/>
      <c r="W547" s="68" t="n"/>
      <c r="X547" s="74" t="n"/>
      <c r="Y547" s="72" t="n"/>
      <c r="Z547" s="74" t="n"/>
      <c r="AA547" s="74" t="n"/>
      <c r="AB547" s="74" t="n"/>
      <c r="AC547" s="68" t="n"/>
      <c r="AD547" s="73" t="n"/>
      <c r="AE547" s="75">
        <f>SUMIFS([1]инфо!$D$15:$D$28,[1]инфо!$A$15:$A$28,F547)</f>
        <v/>
      </c>
      <c r="AF547" s="62">
        <f>IF(H547=0,0,N547/H547)</f>
        <v/>
      </c>
      <c r="AG547" s="76">
        <f>AF547-AE547</f>
        <v/>
      </c>
      <c r="AH547" s="75">
        <f>SUMIFS([1]инфо!$E$15:$E$28,[1]инфо!$A$15:$A$28,F547)</f>
        <v/>
      </c>
      <c r="AI547" s="64">
        <f>IF(H547=0,0,S547/H547)</f>
        <v/>
      </c>
      <c r="AJ547" s="76">
        <f>AI547-AH547</f>
        <v/>
      </c>
      <c r="AK547" s="75">
        <f>SUMIFS([1]инфо!$F$15:$F$28,[1]инфо!$A$15:$A$28,F547)</f>
        <v/>
      </c>
      <c r="AL547" s="64">
        <f>IF(H547=0,0,Y547/H547)</f>
        <v/>
      </c>
      <c r="AM547" s="76">
        <f>AL547-AK547</f>
        <v/>
      </c>
      <c r="AN547" s="75">
        <f>SUMIFS([1]инфо!$G$15:$G$28,[1]инфо!$A$15:$A$28,F547)</f>
        <v/>
      </c>
      <c r="AO547" s="64">
        <f>IF(H547=0,0,AA547/H547)</f>
        <v/>
      </c>
      <c r="AP547" s="76">
        <f>AO547-AN547</f>
        <v/>
      </c>
      <c r="AQ547" s="75">
        <f>SUMIFS([1]инфо!$H$15:$H$28,[1]инфо!$A$15:$A$28,F547)</f>
        <v/>
      </c>
      <c r="AR547" s="64">
        <f>IF(H546=0,0,AC547/H546)</f>
        <v/>
      </c>
      <c r="AS547" s="76">
        <f>AR547-AQ547</f>
        <v/>
      </c>
      <c r="AT547" s="75">
        <f>SUMIFS([1]инфо!$I$15:$I$28,[1]инфо!$A$15:$A$28,F547)</f>
        <v/>
      </c>
      <c r="AU547" s="62">
        <f>IF(H547=0,0,AD547/H547)</f>
        <v/>
      </c>
      <c r="AV547" s="76">
        <f>AU547-AT547</f>
        <v/>
      </c>
      <c r="AX547" s="70">
        <f>SUMIFS([1]инфо!$C$15:$C$28,[1]инфо!$A$15:$A$28,F547)*H546</f>
        <v/>
      </c>
    </row>
    <row r="548">
      <c r="A548" s="71">
        <f>A546+1</f>
        <v/>
      </c>
      <c r="B548" s="90" t="n"/>
      <c r="C548" s="52" t="n"/>
      <c r="D548" s="53" t="n"/>
      <c r="E548" s="66" t="n"/>
      <c r="F548" s="67" t="n"/>
      <c r="G548" s="58" t="n"/>
      <c r="H548" s="55" t="n"/>
      <c r="I548" s="57">
        <f>IFERROR(H548*VLOOKUP(F548,[1]инфо!$A$15:$C$28,3,FALSE)/1000,0)</f>
        <v/>
      </c>
      <c r="J548" s="55" t="n"/>
      <c r="K548" s="55" t="n"/>
      <c r="L548" s="55" t="n"/>
      <c r="M548" s="55" t="n"/>
      <c r="N548" s="55" t="n"/>
      <c r="O548" s="58" t="n"/>
      <c r="P548" s="58" t="n"/>
      <c r="Q548" s="58" t="n"/>
      <c r="R548" s="58" t="n"/>
      <c r="S548" s="59">
        <f>SUM(O548:R548)</f>
        <v/>
      </c>
      <c r="T548" s="52" t="n"/>
      <c r="U548" s="53" t="n"/>
      <c r="V548" s="58" t="n"/>
      <c r="W548" s="68" t="n"/>
      <c r="X548" s="58" t="n"/>
      <c r="Y548" s="52" t="n"/>
      <c r="Z548" s="58" t="n"/>
      <c r="AA548" s="58" t="n"/>
      <c r="AB548" s="58" t="n"/>
      <c r="AC548" s="68" t="n"/>
      <c r="AD548" s="53" t="n"/>
      <c r="AE548" s="61">
        <f>SUMIFS([1]инфо!$D$15:$D$28,[1]инфо!$A$15:$A$28,F548)</f>
        <v/>
      </c>
      <c r="AF548" s="62">
        <f>IF(H548=0,0,N548/H548)</f>
        <v/>
      </c>
      <c r="AG548" s="63">
        <f>AF548-AE548</f>
        <v/>
      </c>
      <c r="AH548" s="61">
        <f>SUMIFS([1]инфо!$E$15:$E$28,[1]инфо!$A$15:$A$28,F548)</f>
        <v/>
      </c>
      <c r="AI548" s="64">
        <f>IF(H548=0,0,S548/H548)</f>
        <v/>
      </c>
      <c r="AJ548" s="63">
        <f>AI548-AH548</f>
        <v/>
      </c>
      <c r="AK548" s="61">
        <f>SUMIFS([1]инфо!$F$15:$F$28,[1]инфо!$A$15:$A$28,F548)</f>
        <v/>
      </c>
      <c r="AL548" s="64">
        <f>IF(H548=0,0,Y548/H548)</f>
        <v/>
      </c>
      <c r="AM548" s="63">
        <f>AL548-AK548</f>
        <v/>
      </c>
      <c r="AN548" s="61">
        <f>SUMIFS([1]инфо!$G$15:$G$28,[1]инфо!$A$15:$A$28,F548)</f>
        <v/>
      </c>
      <c r="AO548" s="64">
        <f>IF(H548=0,0,AA548/H548)</f>
        <v/>
      </c>
      <c r="AP548" s="63">
        <f>AO548-AN548</f>
        <v/>
      </c>
      <c r="AQ548" s="61">
        <f>SUMIFS([1]инфо!$H$15:$H$28,[1]инфо!$A$15:$A$28,F548)</f>
        <v/>
      </c>
      <c r="AR548" s="62">
        <f>IF(H547=0,0,AC548/H547)</f>
        <v/>
      </c>
      <c r="AS548" s="63">
        <f>AR548-AQ548</f>
        <v/>
      </c>
      <c r="AT548" s="61">
        <f>SUMIFS([1]инфо!$I$15:$I$28,[1]инфо!$A$15:$A$28,F548)</f>
        <v/>
      </c>
      <c r="AU548" s="62">
        <f>IF(H548=0,0,AD548/H548)</f>
        <v/>
      </c>
      <c r="AV548" s="63">
        <f>AU548-AT548</f>
        <v/>
      </c>
      <c r="AX548" s="59">
        <f>SUMIFS([1]инфо!$C$15:$C$28,[1]инфо!$A$15:$A$28,F548)*H547</f>
        <v/>
      </c>
    </row>
    <row r="549">
      <c r="A549" s="71">
        <f>A547+1</f>
        <v/>
      </c>
      <c r="B549" s="90" t="n"/>
      <c r="C549" s="52" t="n"/>
      <c r="D549" s="53" t="n"/>
      <c r="E549" s="66" t="n"/>
      <c r="F549" s="67" t="n"/>
      <c r="G549" s="58" t="n"/>
      <c r="H549" s="56" t="n"/>
      <c r="I549" s="57">
        <f>IFERROR(H549*VLOOKUP(F549,[1]инфо!$A$15:$C$28,3,FALSE)/1000,0)</f>
        <v/>
      </c>
      <c r="J549" s="55" t="n"/>
      <c r="K549" s="55" t="n"/>
      <c r="L549" s="55" t="n"/>
      <c r="M549" s="55" t="n"/>
      <c r="N549" s="55" t="n"/>
      <c r="O549" s="58" t="n"/>
      <c r="P549" s="58" t="n"/>
      <c r="Q549" s="58" t="n"/>
      <c r="R549" s="58" t="n"/>
      <c r="S549" s="59">
        <f>SUM(O549:R549)</f>
        <v/>
      </c>
      <c r="T549" s="52" t="n"/>
      <c r="U549" s="53" t="n"/>
      <c r="V549" s="58" t="n"/>
      <c r="W549" s="68" t="n"/>
      <c r="X549" s="58" t="n"/>
      <c r="Y549" s="52" t="n"/>
      <c r="Z549" s="58" t="n"/>
      <c r="AA549" s="58" t="n"/>
      <c r="AB549" s="58" t="n"/>
      <c r="AC549" s="68" t="n"/>
      <c r="AD549" s="53" t="n"/>
      <c r="AE549" s="61">
        <f>SUMIFS([1]инфо!$D$15:$D$28,[1]инфо!$A$15:$A$28,F549)</f>
        <v/>
      </c>
      <c r="AF549" s="62">
        <f>IF(H549=0,0,N549/H549)</f>
        <v/>
      </c>
      <c r="AG549" s="63">
        <f>AF549-AE549</f>
        <v/>
      </c>
      <c r="AH549" s="61">
        <f>SUMIFS([1]инфо!$E$15:$E$28,[1]инфо!$A$15:$A$28,F549)</f>
        <v/>
      </c>
      <c r="AI549" s="64">
        <f>IF(H549=0,0,S549/H549)</f>
        <v/>
      </c>
      <c r="AJ549" s="63">
        <f>AI549-AH549</f>
        <v/>
      </c>
      <c r="AK549" s="61">
        <f>SUMIFS([1]инфо!$F$15:$F$28,[1]инфо!$A$15:$A$28,F549)</f>
        <v/>
      </c>
      <c r="AL549" s="64">
        <f>IF(H549=0,0,Y549/H549)</f>
        <v/>
      </c>
      <c r="AM549" s="63">
        <f>AL549-AK549</f>
        <v/>
      </c>
      <c r="AN549" s="61">
        <f>SUMIFS([1]инфо!$G$15:$G$28,[1]инфо!$A$15:$A$28,F549)</f>
        <v/>
      </c>
      <c r="AO549" s="64">
        <f>IF(H549=0,0,AA549/H549)</f>
        <v/>
      </c>
      <c r="AP549" s="63">
        <f>AO549-AN549</f>
        <v/>
      </c>
      <c r="AQ549" s="61">
        <f>SUMIFS([1]инфо!$H$15:$H$28,[1]инфо!$A$15:$A$28,F549)</f>
        <v/>
      </c>
      <c r="AR549" s="62">
        <f>IF(H548=0,0,AC549/H548)</f>
        <v/>
      </c>
      <c r="AS549" s="63">
        <f>AR549-AQ549</f>
        <v/>
      </c>
      <c r="AT549" s="61">
        <f>SUMIFS([1]инфо!$I$15:$I$28,[1]инфо!$A$15:$A$28,F549)</f>
        <v/>
      </c>
      <c r="AU549" s="62">
        <f>IF(H549=0,0,AD549/H549)</f>
        <v/>
      </c>
      <c r="AV549" s="63">
        <f>AU549-AT549</f>
        <v/>
      </c>
      <c r="AX549" s="59">
        <f>SUMIFS([1]инфо!$C$15:$C$28,[1]инфо!$A$15:$A$28,F549)*H548</f>
        <v/>
      </c>
    </row>
    <row r="550">
      <c r="A550" s="71">
        <f>A548+1</f>
        <v/>
      </c>
      <c r="B550" s="88" t="n"/>
      <c r="C550" s="77" t="n"/>
      <c r="D550" s="78" t="n"/>
      <c r="E550" s="66" t="n"/>
      <c r="F550" s="67" t="n"/>
      <c r="G550" s="79" t="n"/>
      <c r="H550" s="67" t="n"/>
      <c r="I550" s="57">
        <f>IFERROR(H550*VLOOKUP(F550,[1]инфо!$A$15:$C$28,3,FALSE)/1000,0)</f>
        <v/>
      </c>
      <c r="J550" s="55" t="n"/>
      <c r="K550" s="55" t="n"/>
      <c r="L550" s="55" t="n"/>
      <c r="M550" s="55" t="n"/>
      <c r="N550" s="56" t="n"/>
      <c r="O550" s="79" t="n"/>
      <c r="P550" s="79" t="n"/>
      <c r="Q550" s="79" t="n"/>
      <c r="R550" s="79" t="n"/>
      <c r="S550" s="80">
        <f>SUM(O550:R550)</f>
        <v/>
      </c>
      <c r="T550" s="77" t="n"/>
      <c r="U550" s="78" t="n"/>
      <c r="V550" s="79" t="n"/>
      <c r="W550" s="68" t="n"/>
      <c r="X550" s="79" t="n"/>
      <c r="Y550" s="77" t="n"/>
      <c r="Z550" s="79" t="n"/>
      <c r="AA550" s="79" t="n"/>
      <c r="AB550" s="79" t="n"/>
      <c r="AC550" s="68" t="n"/>
      <c r="AD550" s="78" t="n"/>
      <c r="AE550" s="81">
        <f>SUMIFS([1]инфо!$D$15:$D$28,[1]инфо!$A$15:$A$28,F550)</f>
        <v/>
      </c>
      <c r="AF550" s="62">
        <f>IF(H550=0,0,N550/H550)</f>
        <v/>
      </c>
      <c r="AG550" s="82">
        <f>AF550-AE550</f>
        <v/>
      </c>
      <c r="AH550" s="81">
        <f>SUMIFS([1]инфо!$E$15:$E$28,[1]инфо!$A$15:$A$28,F550)</f>
        <v/>
      </c>
      <c r="AI550" s="64">
        <f>IF(H550=0,0,S550/H550)</f>
        <v/>
      </c>
      <c r="AJ550" s="82">
        <f>AI550-AH550</f>
        <v/>
      </c>
      <c r="AK550" s="81">
        <f>SUMIFS([1]инфо!$F$15:$F$28,[1]инфо!$A$15:$A$28,F550)</f>
        <v/>
      </c>
      <c r="AL550" s="64">
        <f>IF(H550=0,0,Y550/H550)</f>
        <v/>
      </c>
      <c r="AM550" s="82">
        <f>AL550-AK550</f>
        <v/>
      </c>
      <c r="AN550" s="81">
        <f>SUMIFS([1]инфо!$G$15:$G$28,[1]инфо!$A$15:$A$28,F550)</f>
        <v/>
      </c>
      <c r="AO550" s="64">
        <f>IF(H550=0,0,AA550/H550)</f>
        <v/>
      </c>
      <c r="AP550" s="82">
        <f>AO550-AN550</f>
        <v/>
      </c>
      <c r="AQ550" s="81">
        <f>SUMIFS([1]инфо!$H$15:$H$28,[1]инфо!$A$15:$A$28,F550)</f>
        <v/>
      </c>
      <c r="AR550" s="85">
        <f>IF(H549=0,0,AC550/H549)</f>
        <v/>
      </c>
      <c r="AS550" s="82">
        <f>AR550-AQ550</f>
        <v/>
      </c>
      <c r="AT550" s="81">
        <f>SUMIFS([1]инфо!$I$15:$I$28,[1]инфо!$A$15:$A$28,F550)</f>
        <v/>
      </c>
      <c r="AU550" s="62">
        <f>IF(H550=0,0,AD550/H550)</f>
        <v/>
      </c>
      <c r="AV550" s="82">
        <f>AU550-AT550</f>
        <v/>
      </c>
      <c r="AX550" s="80">
        <f>SUMIFS([1]инфо!$C$15:$C$28,[1]инфо!$A$15:$A$28,F550)*H549</f>
        <v/>
      </c>
    </row>
    <row r="551">
      <c r="A551" s="71">
        <f>A549+1</f>
        <v/>
      </c>
      <c r="B551" s="89" t="n"/>
      <c r="C551" s="72" t="n"/>
      <c r="D551" s="73" t="n"/>
      <c r="E551" s="66" t="n"/>
      <c r="F551" s="67" t="n"/>
      <c r="G551" s="74" t="n"/>
      <c r="H551" s="55" t="n"/>
      <c r="I551" s="57">
        <f>IFERROR(H551*VLOOKUP(F551,[1]инфо!$A$15:$C$28,3,FALSE)/1000,0)</f>
        <v/>
      </c>
      <c r="J551" s="55" t="n"/>
      <c r="K551" s="55" t="n"/>
      <c r="L551" s="55" t="n"/>
      <c r="M551" s="55" t="n"/>
      <c r="N551" s="67" t="n"/>
      <c r="O551" s="74" t="n"/>
      <c r="P551" s="74" t="n"/>
      <c r="Q551" s="74" t="n"/>
      <c r="R551" s="74" t="n"/>
      <c r="S551" s="70">
        <f>SUM(O551:R551)</f>
        <v/>
      </c>
      <c r="T551" s="72" t="n"/>
      <c r="U551" s="73" t="n"/>
      <c r="V551" s="74" t="n"/>
      <c r="W551" s="68" t="n"/>
      <c r="X551" s="74" t="n"/>
      <c r="Y551" s="72" t="n"/>
      <c r="Z551" s="74" t="n"/>
      <c r="AA551" s="74" t="n"/>
      <c r="AB551" s="74" t="n"/>
      <c r="AC551" s="68" t="n"/>
      <c r="AD551" s="73" t="n"/>
      <c r="AE551" s="75">
        <f>SUMIFS([1]инфо!$D$15:$D$28,[1]инфо!$A$15:$A$28,F551)</f>
        <v/>
      </c>
      <c r="AF551" s="62">
        <f>IF(H551=0,0,N551/H551)</f>
        <v/>
      </c>
      <c r="AG551" s="76">
        <f>AF551-AE551</f>
        <v/>
      </c>
      <c r="AH551" s="75">
        <f>SUMIFS([1]инфо!$E$15:$E$28,[1]инфо!$A$15:$A$28,F551)</f>
        <v/>
      </c>
      <c r="AI551" s="64">
        <f>IF(H551=0,0,S551/H551)</f>
        <v/>
      </c>
      <c r="AJ551" s="76">
        <f>AI551-AH551</f>
        <v/>
      </c>
      <c r="AK551" s="75">
        <f>SUMIFS([1]инфо!$F$15:$F$28,[1]инфо!$A$15:$A$28,F551)</f>
        <v/>
      </c>
      <c r="AL551" s="64">
        <f>IF(H551=0,0,Y551/H551)</f>
        <v/>
      </c>
      <c r="AM551" s="76">
        <f>AL551-AK551</f>
        <v/>
      </c>
      <c r="AN551" s="75">
        <f>SUMIFS([1]инфо!$G$15:$G$28,[1]инфо!$A$15:$A$28,F551)</f>
        <v/>
      </c>
      <c r="AO551" s="64">
        <f>IF(H551=0,0,AA551/H551)</f>
        <v/>
      </c>
      <c r="AP551" s="76">
        <f>AO551-AN551</f>
        <v/>
      </c>
      <c r="AQ551" s="75">
        <f>SUMIFS([1]инфо!$H$15:$H$28,[1]инфо!$A$15:$A$28,F551)</f>
        <v/>
      </c>
      <c r="AR551" s="64">
        <f>IF(H550=0,0,AC551/H550)</f>
        <v/>
      </c>
      <c r="AS551" s="76">
        <f>AR551-AQ551</f>
        <v/>
      </c>
      <c r="AT551" s="75">
        <f>SUMIFS([1]инфо!$I$15:$I$28,[1]инфо!$A$15:$A$28,F551)</f>
        <v/>
      </c>
      <c r="AU551" s="62">
        <f>IF(H551=0,0,AD551/H551)</f>
        <v/>
      </c>
      <c r="AV551" s="76">
        <f>AU551-AT551</f>
        <v/>
      </c>
      <c r="AX551" s="70">
        <f>SUMIFS([1]инфо!$C$15:$C$28,[1]инфо!$A$15:$A$28,F551)*H550</f>
        <v/>
      </c>
    </row>
    <row r="552">
      <c r="A552" s="71">
        <f>A550+1</f>
        <v/>
      </c>
      <c r="B552" s="90" t="n"/>
      <c r="C552" s="52" t="n"/>
      <c r="D552" s="53" t="n"/>
      <c r="E552" s="66" t="n"/>
      <c r="F552" s="67" t="n"/>
      <c r="G552" s="58" t="n"/>
      <c r="H552" s="55" t="n"/>
      <c r="I552" s="57">
        <f>IFERROR(H552*VLOOKUP(F552,[1]инфо!$A$15:$C$28,3,FALSE)/1000,0)</f>
        <v/>
      </c>
      <c r="J552" s="55" t="n"/>
      <c r="K552" s="55" t="n"/>
      <c r="L552" s="55" t="n"/>
      <c r="M552" s="55" t="n"/>
      <c r="N552" s="55" t="n"/>
      <c r="O552" s="58" t="n"/>
      <c r="P552" s="58" t="n"/>
      <c r="Q552" s="58" t="n"/>
      <c r="R552" s="58" t="n"/>
      <c r="S552" s="59">
        <f>SUM(O552:R552)</f>
        <v/>
      </c>
      <c r="T552" s="52" t="n"/>
      <c r="U552" s="53" t="n"/>
      <c r="V552" s="58" t="n"/>
      <c r="W552" s="68" t="n"/>
      <c r="X552" s="58" t="n"/>
      <c r="Y552" s="52" t="n"/>
      <c r="Z552" s="58" t="n"/>
      <c r="AA552" s="58" t="n"/>
      <c r="AB552" s="58" t="n"/>
      <c r="AC552" s="68" t="n"/>
      <c r="AD552" s="53" t="n"/>
      <c r="AE552" s="61">
        <f>SUMIFS([1]инфо!$D$15:$D$28,[1]инфо!$A$15:$A$28,F552)</f>
        <v/>
      </c>
      <c r="AF552" s="62">
        <f>IF(H552=0,0,N552/H552)</f>
        <v/>
      </c>
      <c r="AG552" s="63">
        <f>AF552-AE552</f>
        <v/>
      </c>
      <c r="AH552" s="61">
        <f>SUMIFS([1]инфо!$E$15:$E$28,[1]инфо!$A$15:$A$28,F552)</f>
        <v/>
      </c>
      <c r="AI552" s="64">
        <f>IF(H552=0,0,S552/H552)</f>
        <v/>
      </c>
      <c r="AJ552" s="63">
        <f>AI552-AH552</f>
        <v/>
      </c>
      <c r="AK552" s="61">
        <f>SUMIFS([1]инфо!$F$15:$F$28,[1]инфо!$A$15:$A$28,F552)</f>
        <v/>
      </c>
      <c r="AL552" s="64">
        <f>IF(H552=0,0,Y552/H552)</f>
        <v/>
      </c>
      <c r="AM552" s="63">
        <f>AL552-AK552</f>
        <v/>
      </c>
      <c r="AN552" s="61">
        <f>SUMIFS([1]инфо!$G$15:$G$28,[1]инфо!$A$15:$A$28,F552)</f>
        <v/>
      </c>
      <c r="AO552" s="64">
        <f>IF(H552=0,0,AA552/H552)</f>
        <v/>
      </c>
      <c r="AP552" s="63">
        <f>AO552-AN552</f>
        <v/>
      </c>
      <c r="AQ552" s="61">
        <f>SUMIFS([1]инфо!$H$15:$H$28,[1]инфо!$A$15:$A$28,F552)</f>
        <v/>
      </c>
      <c r="AR552" s="62">
        <f>IF(H551=0,0,AC552/H551)</f>
        <v/>
      </c>
      <c r="AS552" s="63">
        <f>AR552-AQ552</f>
        <v/>
      </c>
      <c r="AT552" s="61">
        <f>SUMIFS([1]инфо!$I$15:$I$28,[1]инфо!$A$15:$A$28,F552)</f>
        <v/>
      </c>
      <c r="AU552" s="62">
        <f>IF(H552=0,0,AD552/H552)</f>
        <v/>
      </c>
      <c r="AV552" s="63">
        <f>AU552-AT552</f>
        <v/>
      </c>
      <c r="AX552" s="59">
        <f>SUMIFS([1]инфо!$C$15:$C$28,[1]инфо!$A$15:$A$28,F552)*H551</f>
        <v/>
      </c>
    </row>
    <row r="553">
      <c r="A553" s="71">
        <f>A551+1</f>
        <v/>
      </c>
      <c r="B553" s="90" t="n"/>
      <c r="C553" s="52" t="n"/>
      <c r="D553" s="53" t="n"/>
      <c r="E553" s="66" t="n"/>
      <c r="F553" s="67" t="n"/>
      <c r="G553" s="58" t="n"/>
      <c r="H553" s="56" t="n"/>
      <c r="I553" s="57">
        <f>IFERROR(H553*VLOOKUP(F553,[1]инфо!$A$15:$C$28,3,FALSE)/1000,0)</f>
        <v/>
      </c>
      <c r="J553" s="55" t="n"/>
      <c r="K553" s="55" t="n"/>
      <c r="L553" s="55" t="n"/>
      <c r="M553" s="55" t="n"/>
      <c r="N553" s="55" t="n"/>
      <c r="O553" s="58" t="n"/>
      <c r="P553" s="58" t="n"/>
      <c r="Q553" s="58" t="n"/>
      <c r="R553" s="58" t="n"/>
      <c r="S553" s="59">
        <f>SUM(O553:R553)</f>
        <v/>
      </c>
      <c r="T553" s="52" t="n"/>
      <c r="U553" s="53" t="n"/>
      <c r="V553" s="58" t="n"/>
      <c r="W553" s="68" t="n"/>
      <c r="X553" s="58" t="n"/>
      <c r="Y553" s="52" t="n"/>
      <c r="Z553" s="58" t="n"/>
      <c r="AA553" s="58" t="n"/>
      <c r="AB553" s="58" t="n"/>
      <c r="AC553" s="68" t="n"/>
      <c r="AD553" s="53" t="n"/>
      <c r="AE553" s="61">
        <f>SUMIFS([1]инфо!$D$15:$D$28,[1]инфо!$A$15:$A$28,F553)</f>
        <v/>
      </c>
      <c r="AF553" s="62">
        <f>IF(H553=0,0,N553/H553)</f>
        <v/>
      </c>
      <c r="AG553" s="63">
        <f>AF553-AE553</f>
        <v/>
      </c>
      <c r="AH553" s="61">
        <f>SUMIFS([1]инфо!$E$15:$E$28,[1]инфо!$A$15:$A$28,F553)</f>
        <v/>
      </c>
      <c r="AI553" s="64">
        <f>IF(H553=0,0,S553/H553)</f>
        <v/>
      </c>
      <c r="AJ553" s="63">
        <f>AI553-AH553</f>
        <v/>
      </c>
      <c r="AK553" s="61">
        <f>SUMIFS([1]инфо!$F$15:$F$28,[1]инфо!$A$15:$A$28,F553)</f>
        <v/>
      </c>
      <c r="AL553" s="64">
        <f>IF(H553=0,0,Y553/H553)</f>
        <v/>
      </c>
      <c r="AM553" s="63">
        <f>AL553-AK553</f>
        <v/>
      </c>
      <c r="AN553" s="61">
        <f>SUMIFS([1]инфо!$G$15:$G$28,[1]инфо!$A$15:$A$28,F553)</f>
        <v/>
      </c>
      <c r="AO553" s="64">
        <f>IF(H553=0,0,AA553/H553)</f>
        <v/>
      </c>
      <c r="AP553" s="63">
        <f>AO553-AN553</f>
        <v/>
      </c>
      <c r="AQ553" s="61">
        <f>SUMIFS([1]инфо!$H$15:$H$28,[1]инфо!$A$15:$A$28,F553)</f>
        <v/>
      </c>
      <c r="AR553" s="62">
        <f>IF(H552=0,0,AC553/H552)</f>
        <v/>
      </c>
      <c r="AS553" s="63">
        <f>AR553-AQ553</f>
        <v/>
      </c>
      <c r="AT553" s="61">
        <f>SUMIFS([1]инфо!$I$15:$I$28,[1]инфо!$A$15:$A$28,F553)</f>
        <v/>
      </c>
      <c r="AU553" s="62">
        <f>IF(H553=0,0,AD553/H553)</f>
        <v/>
      </c>
      <c r="AV553" s="63">
        <f>AU553-AT553</f>
        <v/>
      </c>
      <c r="AX553" s="59">
        <f>SUMIFS([1]инфо!$C$15:$C$28,[1]инфо!$A$15:$A$28,F553)*H552</f>
        <v/>
      </c>
    </row>
    <row r="554">
      <c r="A554" s="71">
        <f>A552+1</f>
        <v/>
      </c>
      <c r="B554" s="88" t="n"/>
      <c r="C554" s="77" t="n"/>
      <c r="D554" s="78" t="n"/>
      <c r="E554" s="66" t="n"/>
      <c r="F554" s="67" t="n"/>
      <c r="G554" s="79" t="n"/>
      <c r="H554" s="67" t="n"/>
      <c r="I554" s="57">
        <f>IFERROR(H554*VLOOKUP(F554,[1]инфо!$A$15:$C$28,3,FALSE)/1000,0)</f>
        <v/>
      </c>
      <c r="J554" s="55" t="n"/>
      <c r="K554" s="55" t="n"/>
      <c r="L554" s="55" t="n"/>
      <c r="M554" s="55" t="n"/>
      <c r="N554" s="56" t="n"/>
      <c r="O554" s="79" t="n"/>
      <c r="P554" s="79" t="n"/>
      <c r="Q554" s="79" t="n"/>
      <c r="R554" s="79" t="n"/>
      <c r="S554" s="80">
        <f>SUM(O554:R554)</f>
        <v/>
      </c>
      <c r="T554" s="77" t="n"/>
      <c r="U554" s="78" t="n"/>
      <c r="V554" s="79" t="n"/>
      <c r="W554" s="68" t="n"/>
      <c r="X554" s="79" t="n"/>
      <c r="Y554" s="77" t="n"/>
      <c r="Z554" s="79" t="n"/>
      <c r="AA554" s="79" t="n"/>
      <c r="AB554" s="79" t="n"/>
      <c r="AC554" s="68" t="n"/>
      <c r="AD554" s="78" t="n"/>
      <c r="AE554" s="81">
        <f>SUMIFS([1]инфо!$D$15:$D$28,[1]инфо!$A$15:$A$28,F554)</f>
        <v/>
      </c>
      <c r="AF554" s="62">
        <f>IF(H554=0,0,N554/H554)</f>
        <v/>
      </c>
      <c r="AG554" s="82">
        <f>AF554-AE554</f>
        <v/>
      </c>
      <c r="AH554" s="81">
        <f>SUMIFS([1]инфо!$E$15:$E$28,[1]инфо!$A$15:$A$28,F554)</f>
        <v/>
      </c>
      <c r="AI554" s="64">
        <f>IF(H554=0,0,S554/H554)</f>
        <v/>
      </c>
      <c r="AJ554" s="82">
        <f>AI554-AH554</f>
        <v/>
      </c>
      <c r="AK554" s="81">
        <f>SUMIFS([1]инфо!$F$15:$F$28,[1]инфо!$A$15:$A$28,F554)</f>
        <v/>
      </c>
      <c r="AL554" s="64">
        <f>IF(H554=0,0,Y554/H554)</f>
        <v/>
      </c>
      <c r="AM554" s="82">
        <f>AL554-AK554</f>
        <v/>
      </c>
      <c r="AN554" s="81">
        <f>SUMIFS([1]инфо!$G$15:$G$28,[1]инфо!$A$15:$A$28,F554)</f>
        <v/>
      </c>
      <c r="AO554" s="64">
        <f>IF(H554=0,0,AA554/H554)</f>
        <v/>
      </c>
      <c r="AP554" s="82">
        <f>AO554-AN554</f>
        <v/>
      </c>
      <c r="AQ554" s="81">
        <f>SUMIFS([1]инфо!$H$15:$H$28,[1]инфо!$A$15:$A$28,F554)</f>
        <v/>
      </c>
      <c r="AR554" s="85">
        <f>IF(H553=0,0,AC554/H553)</f>
        <v/>
      </c>
      <c r="AS554" s="82">
        <f>AR554-AQ554</f>
        <v/>
      </c>
      <c r="AT554" s="81">
        <f>SUMIFS([1]инфо!$I$15:$I$28,[1]инфо!$A$15:$A$28,F554)</f>
        <v/>
      </c>
      <c r="AU554" s="62">
        <f>IF(H554=0,0,AD554/H554)</f>
        <v/>
      </c>
      <c r="AV554" s="82">
        <f>AU554-AT554</f>
        <v/>
      </c>
      <c r="AX554" s="80">
        <f>SUMIFS([1]инфо!$C$15:$C$28,[1]инфо!$A$15:$A$28,F554)*H553</f>
        <v/>
      </c>
    </row>
    <row r="555">
      <c r="A555" s="71">
        <f>A553+1</f>
        <v/>
      </c>
      <c r="B555" s="89" t="n"/>
      <c r="C555" s="72" t="n"/>
      <c r="D555" s="73" t="n"/>
      <c r="E555" s="66" t="n"/>
      <c r="F555" s="67" t="n"/>
      <c r="G555" s="74" t="n"/>
      <c r="H555" s="55" t="n"/>
      <c r="I555" s="57">
        <f>IFERROR(H555*VLOOKUP(F555,[1]инфо!$A$15:$C$28,3,FALSE)/1000,0)</f>
        <v/>
      </c>
      <c r="J555" s="55" t="n"/>
      <c r="K555" s="55" t="n"/>
      <c r="L555" s="55" t="n"/>
      <c r="M555" s="55" t="n"/>
      <c r="N555" s="67" t="n"/>
      <c r="O555" s="74" t="n"/>
      <c r="P555" s="74" t="n"/>
      <c r="Q555" s="74" t="n"/>
      <c r="R555" s="74" t="n"/>
      <c r="S555" s="70">
        <f>SUM(O555:R555)</f>
        <v/>
      </c>
      <c r="T555" s="72" t="n"/>
      <c r="U555" s="73" t="n"/>
      <c r="V555" s="74" t="n"/>
      <c r="W555" s="68" t="n"/>
      <c r="X555" s="74" t="n"/>
      <c r="Y555" s="72" t="n"/>
      <c r="Z555" s="74" t="n"/>
      <c r="AA555" s="74" t="n"/>
      <c r="AB555" s="74" t="n"/>
      <c r="AC555" s="68" t="n"/>
      <c r="AD555" s="73" t="n"/>
      <c r="AE555" s="75">
        <f>SUMIFS([1]инфо!$D$15:$D$28,[1]инфо!$A$15:$A$28,F555)</f>
        <v/>
      </c>
      <c r="AF555" s="62">
        <f>IF(H555=0,0,N555/H555)</f>
        <v/>
      </c>
      <c r="AG555" s="76">
        <f>AF555-AE555</f>
        <v/>
      </c>
      <c r="AH555" s="75">
        <f>SUMIFS([1]инфо!$E$15:$E$28,[1]инфо!$A$15:$A$28,F555)</f>
        <v/>
      </c>
      <c r="AI555" s="64">
        <f>IF(H555=0,0,S555/H555)</f>
        <v/>
      </c>
      <c r="AJ555" s="76">
        <f>AI555-AH555</f>
        <v/>
      </c>
      <c r="AK555" s="75">
        <f>SUMIFS([1]инфо!$F$15:$F$28,[1]инфо!$A$15:$A$28,F555)</f>
        <v/>
      </c>
      <c r="AL555" s="64">
        <f>IF(H555=0,0,Y555/H555)</f>
        <v/>
      </c>
      <c r="AM555" s="76">
        <f>AL555-AK555</f>
        <v/>
      </c>
      <c r="AN555" s="75">
        <f>SUMIFS([1]инфо!$G$15:$G$28,[1]инфо!$A$15:$A$28,F555)</f>
        <v/>
      </c>
      <c r="AO555" s="64">
        <f>IF(H555=0,0,AA555/H555)</f>
        <v/>
      </c>
      <c r="AP555" s="76">
        <f>AO555-AN555</f>
        <v/>
      </c>
      <c r="AQ555" s="75">
        <f>SUMIFS([1]инфо!$H$15:$H$28,[1]инфо!$A$15:$A$28,F555)</f>
        <v/>
      </c>
      <c r="AR555" s="64">
        <f>IF(H554=0,0,AC555/H554)</f>
        <v/>
      </c>
      <c r="AS555" s="76">
        <f>AR555-AQ555</f>
        <v/>
      </c>
      <c r="AT555" s="75">
        <f>SUMIFS([1]инфо!$I$15:$I$28,[1]инфо!$A$15:$A$28,F555)</f>
        <v/>
      </c>
      <c r="AU555" s="62">
        <f>IF(H555=0,0,AD555/H555)</f>
        <v/>
      </c>
      <c r="AV555" s="76">
        <f>AU555-AT555</f>
        <v/>
      </c>
      <c r="AX555" s="70">
        <f>SUMIFS([1]инфо!$C$15:$C$28,[1]инфо!$A$15:$A$28,F555)*H554</f>
        <v/>
      </c>
    </row>
    <row r="556">
      <c r="A556" s="71">
        <f>A554+1</f>
        <v/>
      </c>
      <c r="B556" s="90" t="n"/>
      <c r="C556" s="52" t="n"/>
      <c r="D556" s="53" t="n"/>
      <c r="E556" s="66" t="n"/>
      <c r="F556" s="67" t="n"/>
      <c r="G556" s="58" t="n"/>
      <c r="H556" s="55" t="n"/>
      <c r="I556" s="57">
        <f>IFERROR(H556*VLOOKUP(F556,[1]инфо!$A$15:$C$28,3,FALSE)/1000,0)</f>
        <v/>
      </c>
      <c r="J556" s="55" t="n"/>
      <c r="K556" s="55" t="n"/>
      <c r="L556" s="55" t="n"/>
      <c r="M556" s="55" t="n"/>
      <c r="N556" s="55" t="n"/>
      <c r="O556" s="58" t="n"/>
      <c r="P556" s="58" t="n"/>
      <c r="Q556" s="58" t="n"/>
      <c r="R556" s="58" t="n"/>
      <c r="S556" s="59">
        <f>SUM(O556:R556)</f>
        <v/>
      </c>
      <c r="T556" s="52" t="n"/>
      <c r="U556" s="53" t="n"/>
      <c r="V556" s="58" t="n"/>
      <c r="W556" s="68" t="n"/>
      <c r="X556" s="58" t="n"/>
      <c r="Y556" s="52" t="n"/>
      <c r="Z556" s="58" t="n"/>
      <c r="AA556" s="58" t="n"/>
      <c r="AB556" s="58" t="n"/>
      <c r="AC556" s="68" t="n"/>
      <c r="AD556" s="53" t="n"/>
      <c r="AE556" s="61">
        <f>SUMIFS([1]инфо!$D$15:$D$28,[1]инфо!$A$15:$A$28,F556)</f>
        <v/>
      </c>
      <c r="AF556" s="62">
        <f>IF(H556=0,0,N556/H556)</f>
        <v/>
      </c>
      <c r="AG556" s="63">
        <f>AF556-AE556</f>
        <v/>
      </c>
      <c r="AH556" s="61">
        <f>SUMIFS([1]инфо!$E$15:$E$28,[1]инфо!$A$15:$A$28,F556)</f>
        <v/>
      </c>
      <c r="AI556" s="64">
        <f>IF(H556=0,0,S556/H556)</f>
        <v/>
      </c>
      <c r="AJ556" s="63">
        <f>AI556-AH556</f>
        <v/>
      </c>
      <c r="AK556" s="61">
        <f>SUMIFS([1]инфо!$F$15:$F$28,[1]инфо!$A$15:$A$28,F556)</f>
        <v/>
      </c>
      <c r="AL556" s="64">
        <f>IF(H556=0,0,Y556/H556)</f>
        <v/>
      </c>
      <c r="AM556" s="63">
        <f>AL556-AK556</f>
        <v/>
      </c>
      <c r="AN556" s="61">
        <f>SUMIFS([1]инфо!$G$15:$G$28,[1]инфо!$A$15:$A$28,F556)</f>
        <v/>
      </c>
      <c r="AO556" s="64">
        <f>IF(H556=0,0,AA556/H556)</f>
        <v/>
      </c>
      <c r="AP556" s="63">
        <f>AO556-AN556</f>
        <v/>
      </c>
      <c r="AQ556" s="61">
        <f>SUMIFS([1]инфо!$H$15:$H$28,[1]инфо!$A$15:$A$28,F556)</f>
        <v/>
      </c>
      <c r="AR556" s="62">
        <f>IF(H555=0,0,AC556/H555)</f>
        <v/>
      </c>
      <c r="AS556" s="63">
        <f>AR556-AQ556</f>
        <v/>
      </c>
      <c r="AT556" s="61">
        <f>SUMIFS([1]инфо!$I$15:$I$28,[1]инфо!$A$15:$A$28,F556)</f>
        <v/>
      </c>
      <c r="AU556" s="62">
        <f>IF(H556=0,0,AD556/H556)</f>
        <v/>
      </c>
      <c r="AV556" s="63">
        <f>AU556-AT556</f>
        <v/>
      </c>
      <c r="AX556" s="59">
        <f>SUMIFS([1]инфо!$C$15:$C$28,[1]инфо!$A$15:$A$28,F556)*H555</f>
        <v/>
      </c>
    </row>
    <row r="557">
      <c r="A557" s="71">
        <f>A555+1</f>
        <v/>
      </c>
      <c r="B557" s="90" t="n"/>
      <c r="C557" s="52" t="n"/>
      <c r="D557" s="53" t="n"/>
      <c r="E557" s="66" t="n"/>
      <c r="F557" s="67" t="n"/>
      <c r="G557" s="58" t="n"/>
      <c r="H557" s="56" t="n"/>
      <c r="I557" s="57">
        <f>IFERROR(H557*VLOOKUP(F557,[1]инфо!$A$15:$C$28,3,FALSE)/1000,0)</f>
        <v/>
      </c>
      <c r="J557" s="55" t="n"/>
      <c r="K557" s="55" t="n"/>
      <c r="L557" s="55" t="n"/>
      <c r="M557" s="55" t="n"/>
      <c r="N557" s="55" t="n"/>
      <c r="O557" s="58" t="n"/>
      <c r="P557" s="58" t="n"/>
      <c r="Q557" s="58" t="n"/>
      <c r="R557" s="58" t="n"/>
      <c r="S557" s="59">
        <f>SUM(O557:R557)</f>
        <v/>
      </c>
      <c r="T557" s="52" t="n"/>
      <c r="U557" s="53" t="n"/>
      <c r="V557" s="58" t="n"/>
      <c r="W557" s="68" t="n"/>
      <c r="X557" s="58" t="n"/>
      <c r="Y557" s="52" t="n"/>
      <c r="Z557" s="58" t="n"/>
      <c r="AA557" s="58" t="n"/>
      <c r="AB557" s="58" t="n"/>
      <c r="AC557" s="68" t="n"/>
      <c r="AD557" s="53" t="n"/>
      <c r="AE557" s="61">
        <f>SUMIFS([1]инфо!$D$15:$D$28,[1]инфо!$A$15:$A$28,F557)</f>
        <v/>
      </c>
      <c r="AF557" s="62">
        <f>IF(H557=0,0,N557/H557)</f>
        <v/>
      </c>
      <c r="AG557" s="63">
        <f>AF557-AE557</f>
        <v/>
      </c>
      <c r="AH557" s="61">
        <f>SUMIFS([1]инфо!$E$15:$E$28,[1]инфо!$A$15:$A$28,F557)</f>
        <v/>
      </c>
      <c r="AI557" s="64">
        <f>IF(H557=0,0,S557/H557)</f>
        <v/>
      </c>
      <c r="AJ557" s="63">
        <f>AI557-AH557</f>
        <v/>
      </c>
      <c r="AK557" s="61">
        <f>SUMIFS([1]инфо!$F$15:$F$28,[1]инфо!$A$15:$A$28,F557)</f>
        <v/>
      </c>
      <c r="AL557" s="64">
        <f>IF(H557=0,0,Y557/H557)</f>
        <v/>
      </c>
      <c r="AM557" s="63">
        <f>AL557-AK557</f>
        <v/>
      </c>
      <c r="AN557" s="61">
        <f>SUMIFS([1]инфо!$G$15:$G$28,[1]инфо!$A$15:$A$28,F557)</f>
        <v/>
      </c>
      <c r="AO557" s="64">
        <f>IF(H557=0,0,AA557/H557)</f>
        <v/>
      </c>
      <c r="AP557" s="63">
        <f>AO557-AN557</f>
        <v/>
      </c>
      <c r="AQ557" s="61">
        <f>SUMIFS([1]инфо!$H$15:$H$28,[1]инфо!$A$15:$A$28,F557)</f>
        <v/>
      </c>
      <c r="AR557" s="62">
        <f>IF(H556=0,0,AC557/H556)</f>
        <v/>
      </c>
      <c r="AS557" s="63">
        <f>AR557-AQ557</f>
        <v/>
      </c>
      <c r="AT557" s="61">
        <f>SUMIFS([1]инфо!$I$15:$I$28,[1]инфо!$A$15:$A$28,F557)</f>
        <v/>
      </c>
      <c r="AU557" s="62">
        <f>IF(H557=0,0,AD557/H557)</f>
        <v/>
      </c>
      <c r="AV557" s="63">
        <f>AU557-AT557</f>
        <v/>
      </c>
      <c r="AX557" s="59">
        <f>SUMIFS([1]инфо!$C$15:$C$28,[1]инфо!$A$15:$A$28,F557)*H556</f>
        <v/>
      </c>
    </row>
    <row r="558">
      <c r="A558" s="71">
        <f>A556+1</f>
        <v/>
      </c>
      <c r="B558" s="88" t="n"/>
      <c r="C558" s="77" t="n"/>
      <c r="D558" s="78" t="n"/>
      <c r="E558" s="66" t="n"/>
      <c r="F558" s="67" t="n"/>
      <c r="G558" s="79" t="n"/>
      <c r="H558" s="67" t="n"/>
      <c r="I558" s="57">
        <f>IFERROR(H558*VLOOKUP(F558,[1]инфо!$A$15:$C$28,3,FALSE)/1000,0)</f>
        <v/>
      </c>
      <c r="J558" s="55" t="n"/>
      <c r="K558" s="55" t="n"/>
      <c r="L558" s="55" t="n"/>
      <c r="M558" s="55" t="n"/>
      <c r="N558" s="56" t="n"/>
      <c r="O558" s="79" t="n"/>
      <c r="P558" s="79" t="n"/>
      <c r="Q558" s="79" t="n"/>
      <c r="R558" s="79" t="n"/>
      <c r="S558" s="80">
        <f>SUM(O558:R558)</f>
        <v/>
      </c>
      <c r="T558" s="77" t="n"/>
      <c r="U558" s="78" t="n"/>
      <c r="V558" s="79" t="n"/>
      <c r="W558" s="68" t="n"/>
      <c r="X558" s="79" t="n"/>
      <c r="Y558" s="77" t="n"/>
      <c r="Z558" s="79" t="n"/>
      <c r="AA558" s="79" t="n"/>
      <c r="AB558" s="79" t="n"/>
      <c r="AC558" s="68" t="n"/>
      <c r="AD558" s="78" t="n"/>
      <c r="AE558" s="81">
        <f>SUMIFS([1]инфо!$D$15:$D$28,[1]инфо!$A$15:$A$28,F558)</f>
        <v/>
      </c>
      <c r="AF558" s="62">
        <f>IF(H558=0,0,N558/H558)</f>
        <v/>
      </c>
      <c r="AG558" s="82">
        <f>AF558-AE558</f>
        <v/>
      </c>
      <c r="AH558" s="81">
        <f>SUMIFS([1]инфо!$E$15:$E$28,[1]инфо!$A$15:$A$28,F558)</f>
        <v/>
      </c>
      <c r="AI558" s="64">
        <f>IF(H558=0,0,S558/H558)</f>
        <v/>
      </c>
      <c r="AJ558" s="82">
        <f>AI558-AH558</f>
        <v/>
      </c>
      <c r="AK558" s="81">
        <f>SUMIFS([1]инфо!$F$15:$F$28,[1]инфо!$A$15:$A$28,F558)</f>
        <v/>
      </c>
      <c r="AL558" s="64">
        <f>IF(H558=0,0,Y558/H558)</f>
        <v/>
      </c>
      <c r="AM558" s="82">
        <f>AL558-AK558</f>
        <v/>
      </c>
      <c r="AN558" s="81">
        <f>SUMIFS([1]инфо!$G$15:$G$28,[1]инфо!$A$15:$A$28,F558)</f>
        <v/>
      </c>
      <c r="AO558" s="64">
        <f>IF(H558=0,0,AA558/H558)</f>
        <v/>
      </c>
      <c r="AP558" s="82">
        <f>AO558-AN558</f>
        <v/>
      </c>
      <c r="AQ558" s="81">
        <f>SUMIFS([1]инфо!$H$15:$H$28,[1]инфо!$A$15:$A$28,F558)</f>
        <v/>
      </c>
      <c r="AR558" s="85">
        <f>IF(H557=0,0,AC558/H557)</f>
        <v/>
      </c>
      <c r="AS558" s="82">
        <f>AR558-AQ558</f>
        <v/>
      </c>
      <c r="AT558" s="81">
        <f>SUMIFS([1]инфо!$I$15:$I$28,[1]инфо!$A$15:$A$28,F558)</f>
        <v/>
      </c>
      <c r="AU558" s="62">
        <f>IF(H558=0,0,AD558/H558)</f>
        <v/>
      </c>
      <c r="AV558" s="82">
        <f>AU558-AT558</f>
        <v/>
      </c>
      <c r="AX558" s="80">
        <f>SUMIFS([1]инфо!$C$15:$C$28,[1]инфо!$A$15:$A$28,F558)*H557</f>
        <v/>
      </c>
    </row>
    <row r="559">
      <c r="A559" s="71">
        <f>A557+1</f>
        <v/>
      </c>
      <c r="B559" s="89" t="n"/>
      <c r="C559" s="72" t="n"/>
      <c r="D559" s="73" t="n"/>
      <c r="E559" s="66" t="n"/>
      <c r="F559" s="67" t="n"/>
      <c r="G559" s="74" t="n"/>
      <c r="H559" s="55" t="n"/>
      <c r="I559" s="57">
        <f>IFERROR(H559*VLOOKUP(F559,[1]инфо!$A$15:$C$28,3,FALSE)/1000,0)</f>
        <v/>
      </c>
      <c r="J559" s="55" t="n"/>
      <c r="K559" s="55" t="n"/>
      <c r="L559" s="55" t="n"/>
      <c r="M559" s="55" t="n"/>
      <c r="N559" s="67" t="n"/>
      <c r="O559" s="74" t="n"/>
      <c r="P559" s="74" t="n"/>
      <c r="Q559" s="74" t="n"/>
      <c r="R559" s="74" t="n"/>
      <c r="S559" s="70">
        <f>SUM(O559:R559)</f>
        <v/>
      </c>
      <c r="T559" s="72" t="n"/>
      <c r="U559" s="73" t="n"/>
      <c r="V559" s="74" t="n"/>
      <c r="W559" s="68" t="n"/>
      <c r="X559" s="74" t="n"/>
      <c r="Y559" s="72" t="n"/>
      <c r="Z559" s="74" t="n"/>
      <c r="AA559" s="74" t="n"/>
      <c r="AB559" s="74" t="n"/>
      <c r="AC559" s="68" t="n"/>
      <c r="AD559" s="73" t="n"/>
      <c r="AE559" s="75">
        <f>SUMIFS([1]инфо!$D$15:$D$28,[1]инфо!$A$15:$A$28,F559)</f>
        <v/>
      </c>
      <c r="AF559" s="62">
        <f>IF(H559=0,0,N559/H559)</f>
        <v/>
      </c>
      <c r="AG559" s="76">
        <f>AF559-AE559</f>
        <v/>
      </c>
      <c r="AH559" s="75">
        <f>SUMIFS([1]инфо!$E$15:$E$28,[1]инфо!$A$15:$A$28,F559)</f>
        <v/>
      </c>
      <c r="AI559" s="64">
        <f>IF(H559=0,0,S559/H559)</f>
        <v/>
      </c>
      <c r="AJ559" s="76">
        <f>AI559-AH559</f>
        <v/>
      </c>
      <c r="AK559" s="75">
        <f>SUMIFS([1]инфо!$F$15:$F$28,[1]инфо!$A$15:$A$28,F559)</f>
        <v/>
      </c>
      <c r="AL559" s="64">
        <f>IF(H559=0,0,Y559/H559)</f>
        <v/>
      </c>
      <c r="AM559" s="76">
        <f>AL559-AK559</f>
        <v/>
      </c>
      <c r="AN559" s="75">
        <f>SUMIFS([1]инфо!$G$15:$G$28,[1]инфо!$A$15:$A$28,F559)</f>
        <v/>
      </c>
      <c r="AO559" s="64">
        <f>IF(H559=0,0,AA559/H559)</f>
        <v/>
      </c>
      <c r="AP559" s="76">
        <f>AO559-AN559</f>
        <v/>
      </c>
      <c r="AQ559" s="75">
        <f>SUMIFS([1]инфо!$H$15:$H$28,[1]инфо!$A$15:$A$28,F559)</f>
        <v/>
      </c>
      <c r="AR559" s="64">
        <f>IF(H558=0,0,AC559/H558)</f>
        <v/>
      </c>
      <c r="AS559" s="76">
        <f>AR559-AQ559</f>
        <v/>
      </c>
      <c r="AT559" s="75">
        <f>SUMIFS([1]инфо!$I$15:$I$28,[1]инфо!$A$15:$A$28,F559)</f>
        <v/>
      </c>
      <c r="AU559" s="62">
        <f>IF(H559=0,0,AD559/H559)</f>
        <v/>
      </c>
      <c r="AV559" s="76">
        <f>AU559-AT559</f>
        <v/>
      </c>
      <c r="AX559" s="70">
        <f>SUMIFS([1]инфо!$C$15:$C$28,[1]инфо!$A$15:$A$28,F559)*H558</f>
        <v/>
      </c>
    </row>
    <row r="560">
      <c r="A560" s="71">
        <f>A558+1</f>
        <v/>
      </c>
      <c r="B560" s="90" t="n"/>
      <c r="C560" s="52" t="n"/>
      <c r="D560" s="53" t="n"/>
      <c r="E560" s="66" t="n"/>
      <c r="F560" s="67" t="n"/>
      <c r="G560" s="58" t="n"/>
      <c r="H560" s="55" t="n"/>
      <c r="I560" s="57">
        <f>IFERROR(H560*VLOOKUP(F560,[1]инфо!$A$15:$C$28,3,FALSE)/1000,0)</f>
        <v/>
      </c>
      <c r="J560" s="55" t="n"/>
      <c r="K560" s="55" t="n"/>
      <c r="L560" s="55" t="n"/>
      <c r="M560" s="55" t="n"/>
      <c r="N560" s="55" t="n"/>
      <c r="O560" s="58" t="n"/>
      <c r="P560" s="58" t="n"/>
      <c r="Q560" s="58" t="n"/>
      <c r="R560" s="58" t="n"/>
      <c r="S560" s="59">
        <f>SUM(O560:R560)</f>
        <v/>
      </c>
      <c r="T560" s="52" t="n"/>
      <c r="U560" s="53" t="n"/>
      <c r="V560" s="58" t="n"/>
      <c r="W560" s="68" t="n"/>
      <c r="X560" s="58" t="n"/>
      <c r="Y560" s="52" t="n"/>
      <c r="Z560" s="58" t="n"/>
      <c r="AA560" s="58" t="n"/>
      <c r="AB560" s="58" t="n"/>
      <c r="AC560" s="68" t="n"/>
      <c r="AD560" s="53" t="n"/>
      <c r="AE560" s="61">
        <f>SUMIFS([1]инфо!$D$15:$D$28,[1]инфо!$A$15:$A$28,F560)</f>
        <v/>
      </c>
      <c r="AF560" s="62">
        <f>IF(H560=0,0,N560/H560)</f>
        <v/>
      </c>
      <c r="AG560" s="63">
        <f>AF560-AE560</f>
        <v/>
      </c>
      <c r="AH560" s="61">
        <f>SUMIFS([1]инфо!$E$15:$E$28,[1]инфо!$A$15:$A$28,F560)</f>
        <v/>
      </c>
      <c r="AI560" s="64">
        <f>IF(H560=0,0,S560/H560)</f>
        <v/>
      </c>
      <c r="AJ560" s="63">
        <f>AI560-AH560</f>
        <v/>
      </c>
      <c r="AK560" s="61">
        <f>SUMIFS([1]инфо!$F$15:$F$28,[1]инфо!$A$15:$A$28,F560)</f>
        <v/>
      </c>
      <c r="AL560" s="64">
        <f>IF(H560=0,0,Y560/H560)</f>
        <v/>
      </c>
      <c r="AM560" s="63">
        <f>AL560-AK560</f>
        <v/>
      </c>
      <c r="AN560" s="61">
        <f>SUMIFS([1]инфо!$G$15:$G$28,[1]инфо!$A$15:$A$28,F560)</f>
        <v/>
      </c>
      <c r="AO560" s="64">
        <f>IF(H560=0,0,AA560/H560)</f>
        <v/>
      </c>
      <c r="AP560" s="63">
        <f>AO560-AN560</f>
        <v/>
      </c>
      <c r="AQ560" s="61">
        <f>SUMIFS([1]инфо!$H$15:$H$28,[1]инфо!$A$15:$A$28,F560)</f>
        <v/>
      </c>
      <c r="AR560" s="62">
        <f>IF(H559=0,0,AC560/H559)</f>
        <v/>
      </c>
      <c r="AS560" s="63">
        <f>AR560-AQ560</f>
        <v/>
      </c>
      <c r="AT560" s="61">
        <f>SUMIFS([1]инфо!$I$15:$I$28,[1]инфо!$A$15:$A$28,F560)</f>
        <v/>
      </c>
      <c r="AU560" s="62">
        <f>IF(H560=0,0,AD560/H560)</f>
        <v/>
      </c>
      <c r="AV560" s="63">
        <f>AU560-AT560</f>
        <v/>
      </c>
      <c r="AX560" s="59">
        <f>SUMIFS([1]инфо!$C$15:$C$28,[1]инфо!$A$15:$A$28,F560)*H559</f>
        <v/>
      </c>
    </row>
    <row r="561">
      <c r="A561" s="71">
        <f>A559+1</f>
        <v/>
      </c>
      <c r="B561" s="90" t="n"/>
      <c r="C561" s="52" t="n"/>
      <c r="D561" s="53" t="n"/>
      <c r="E561" s="66" t="n"/>
      <c r="F561" s="67" t="n"/>
      <c r="G561" s="58" t="n"/>
      <c r="H561" s="56" t="n"/>
      <c r="I561" s="57">
        <f>IFERROR(H561*VLOOKUP(F561,[1]инфо!$A$15:$C$28,3,FALSE)/1000,0)</f>
        <v/>
      </c>
      <c r="J561" s="55" t="n"/>
      <c r="K561" s="55" t="n"/>
      <c r="L561" s="55" t="n"/>
      <c r="M561" s="55" t="n"/>
      <c r="N561" s="55" t="n"/>
      <c r="O561" s="58" t="n"/>
      <c r="P561" s="58" t="n"/>
      <c r="Q561" s="58" t="n"/>
      <c r="R561" s="58" t="n"/>
      <c r="S561" s="59">
        <f>SUM(O561:R561)</f>
        <v/>
      </c>
      <c r="T561" s="52" t="n"/>
      <c r="U561" s="53" t="n"/>
      <c r="V561" s="58" t="n"/>
      <c r="W561" s="68" t="n"/>
      <c r="X561" s="58" t="n"/>
      <c r="Y561" s="52" t="n"/>
      <c r="Z561" s="58" t="n"/>
      <c r="AA561" s="58" t="n"/>
      <c r="AB561" s="58" t="n"/>
      <c r="AC561" s="68" t="n"/>
      <c r="AD561" s="53" t="n"/>
      <c r="AE561" s="61">
        <f>SUMIFS([1]инфо!$D$15:$D$28,[1]инфо!$A$15:$A$28,F561)</f>
        <v/>
      </c>
      <c r="AF561" s="62">
        <f>IF(H561=0,0,N561/H561)</f>
        <v/>
      </c>
      <c r="AG561" s="63">
        <f>AF561-AE561</f>
        <v/>
      </c>
      <c r="AH561" s="61">
        <f>SUMIFS([1]инфо!$E$15:$E$28,[1]инфо!$A$15:$A$28,F561)</f>
        <v/>
      </c>
      <c r="AI561" s="64">
        <f>IF(H561=0,0,S561/H561)</f>
        <v/>
      </c>
      <c r="AJ561" s="63">
        <f>AI561-AH561</f>
        <v/>
      </c>
      <c r="AK561" s="61">
        <f>SUMIFS([1]инфо!$F$15:$F$28,[1]инфо!$A$15:$A$28,F561)</f>
        <v/>
      </c>
      <c r="AL561" s="64">
        <f>IF(H561=0,0,Y561/H561)</f>
        <v/>
      </c>
      <c r="AM561" s="63">
        <f>AL561-AK561</f>
        <v/>
      </c>
      <c r="AN561" s="61">
        <f>SUMIFS([1]инфо!$G$15:$G$28,[1]инфо!$A$15:$A$28,F561)</f>
        <v/>
      </c>
      <c r="AO561" s="64">
        <f>IF(H561=0,0,AA561/H561)</f>
        <v/>
      </c>
      <c r="AP561" s="63">
        <f>AO561-AN561</f>
        <v/>
      </c>
      <c r="AQ561" s="61">
        <f>SUMIFS([1]инфо!$H$15:$H$28,[1]инфо!$A$15:$A$28,F561)</f>
        <v/>
      </c>
      <c r="AR561" s="62">
        <f>IF(H560=0,0,AC561/H560)</f>
        <v/>
      </c>
      <c r="AS561" s="63">
        <f>AR561-AQ561</f>
        <v/>
      </c>
      <c r="AT561" s="61">
        <f>SUMIFS([1]инфо!$I$15:$I$28,[1]инфо!$A$15:$A$28,F561)</f>
        <v/>
      </c>
      <c r="AU561" s="62">
        <f>IF(H561=0,0,AD561/H561)</f>
        <v/>
      </c>
      <c r="AV561" s="63">
        <f>AU561-AT561</f>
        <v/>
      </c>
      <c r="AX561" s="59">
        <f>SUMIFS([1]инфо!$C$15:$C$28,[1]инфо!$A$15:$A$28,F561)*H560</f>
        <v/>
      </c>
    </row>
    <row r="562">
      <c r="A562" s="71">
        <f>A560+1</f>
        <v/>
      </c>
      <c r="B562" s="88" t="n"/>
      <c r="C562" s="77" t="n"/>
      <c r="D562" s="78" t="n"/>
      <c r="E562" s="66" t="n"/>
      <c r="F562" s="67" t="n"/>
      <c r="G562" s="79" t="n"/>
      <c r="H562" s="67" t="n"/>
      <c r="I562" s="57">
        <f>IFERROR(H562*VLOOKUP(F562,[1]инфо!$A$15:$C$28,3,FALSE)/1000,0)</f>
        <v/>
      </c>
      <c r="J562" s="55" t="n"/>
      <c r="K562" s="55" t="n"/>
      <c r="L562" s="55" t="n"/>
      <c r="M562" s="55" t="n"/>
      <c r="N562" s="56" t="n"/>
      <c r="O562" s="79" t="n"/>
      <c r="P562" s="79" t="n"/>
      <c r="Q562" s="79" t="n"/>
      <c r="R562" s="79" t="n"/>
      <c r="S562" s="80">
        <f>SUM(O562:R562)</f>
        <v/>
      </c>
      <c r="T562" s="77" t="n"/>
      <c r="U562" s="78" t="n"/>
      <c r="V562" s="79" t="n"/>
      <c r="W562" s="68" t="n"/>
      <c r="X562" s="79" t="n"/>
      <c r="Y562" s="77" t="n"/>
      <c r="Z562" s="79" t="n"/>
      <c r="AA562" s="79" t="n"/>
      <c r="AB562" s="79" t="n"/>
      <c r="AC562" s="68" t="n"/>
      <c r="AD562" s="78" t="n"/>
      <c r="AE562" s="81">
        <f>SUMIFS([1]инфо!$D$15:$D$28,[1]инфо!$A$15:$A$28,F562)</f>
        <v/>
      </c>
      <c r="AF562" s="62">
        <f>IF(H562=0,0,N562/H562)</f>
        <v/>
      </c>
      <c r="AG562" s="82">
        <f>AF562-AE562</f>
        <v/>
      </c>
      <c r="AH562" s="81">
        <f>SUMIFS([1]инфо!$E$15:$E$28,[1]инфо!$A$15:$A$28,F562)</f>
        <v/>
      </c>
      <c r="AI562" s="64">
        <f>IF(H562=0,0,S562/H562)</f>
        <v/>
      </c>
      <c r="AJ562" s="82">
        <f>AI562-AH562</f>
        <v/>
      </c>
      <c r="AK562" s="81">
        <f>SUMIFS([1]инфо!$F$15:$F$28,[1]инфо!$A$15:$A$28,F562)</f>
        <v/>
      </c>
      <c r="AL562" s="64">
        <f>IF(H562=0,0,Y562/H562)</f>
        <v/>
      </c>
      <c r="AM562" s="82">
        <f>AL562-AK562</f>
        <v/>
      </c>
      <c r="AN562" s="81">
        <f>SUMIFS([1]инфо!$G$15:$G$28,[1]инфо!$A$15:$A$28,F562)</f>
        <v/>
      </c>
      <c r="AO562" s="64">
        <f>IF(H562=0,0,AA562/H562)</f>
        <v/>
      </c>
      <c r="AP562" s="82">
        <f>AO562-AN562</f>
        <v/>
      </c>
      <c r="AQ562" s="81">
        <f>SUMIFS([1]инфо!$H$15:$H$28,[1]инфо!$A$15:$A$28,F562)</f>
        <v/>
      </c>
      <c r="AR562" s="85">
        <f>IF(H561=0,0,AC562/H561)</f>
        <v/>
      </c>
      <c r="AS562" s="82">
        <f>AR562-AQ562</f>
        <v/>
      </c>
      <c r="AT562" s="81">
        <f>SUMIFS([1]инфо!$I$15:$I$28,[1]инфо!$A$15:$A$28,F562)</f>
        <v/>
      </c>
      <c r="AU562" s="62">
        <f>IF(H562=0,0,AD562/H562)</f>
        <v/>
      </c>
      <c r="AV562" s="82">
        <f>AU562-AT562</f>
        <v/>
      </c>
      <c r="AX562" s="80">
        <f>SUMIFS([1]инфо!$C$15:$C$28,[1]инфо!$A$15:$A$28,F562)*H561</f>
        <v/>
      </c>
    </row>
    <row r="563">
      <c r="A563" s="71">
        <f>A561+1</f>
        <v/>
      </c>
      <c r="B563" s="89" t="n"/>
      <c r="C563" s="72" t="n"/>
      <c r="D563" s="73" t="n"/>
      <c r="E563" s="66" t="n"/>
      <c r="F563" s="67" t="n"/>
      <c r="G563" s="74" t="n"/>
      <c r="H563" s="55" t="n"/>
      <c r="I563" s="57">
        <f>IFERROR(H563*VLOOKUP(F563,[1]инфо!$A$15:$C$28,3,FALSE)/1000,0)</f>
        <v/>
      </c>
      <c r="J563" s="55" t="n"/>
      <c r="K563" s="55" t="n"/>
      <c r="L563" s="55" t="n"/>
      <c r="M563" s="55" t="n"/>
      <c r="N563" s="67" t="n"/>
      <c r="O563" s="74" t="n"/>
      <c r="P563" s="74" t="n"/>
      <c r="Q563" s="74" t="n"/>
      <c r="R563" s="74" t="n"/>
      <c r="S563" s="70">
        <f>SUM(O563:R563)</f>
        <v/>
      </c>
      <c r="T563" s="72" t="n"/>
      <c r="U563" s="73" t="n"/>
      <c r="V563" s="74" t="n"/>
      <c r="W563" s="68" t="n"/>
      <c r="X563" s="74" t="n"/>
      <c r="Y563" s="72" t="n"/>
      <c r="Z563" s="74" t="n"/>
      <c r="AA563" s="74" t="n"/>
      <c r="AB563" s="74" t="n"/>
      <c r="AC563" s="68" t="n"/>
      <c r="AD563" s="73" t="n"/>
      <c r="AE563" s="75">
        <f>SUMIFS([1]инфо!$D$15:$D$28,[1]инфо!$A$15:$A$28,F563)</f>
        <v/>
      </c>
      <c r="AF563" s="62">
        <f>IF(H563=0,0,N563/H563)</f>
        <v/>
      </c>
      <c r="AG563" s="76">
        <f>AF563-AE563</f>
        <v/>
      </c>
      <c r="AH563" s="75">
        <f>SUMIFS([1]инфо!$E$15:$E$28,[1]инфо!$A$15:$A$28,F563)</f>
        <v/>
      </c>
      <c r="AI563" s="64">
        <f>IF(H563=0,0,S563/H563)</f>
        <v/>
      </c>
      <c r="AJ563" s="76">
        <f>AI563-AH563</f>
        <v/>
      </c>
      <c r="AK563" s="75">
        <f>SUMIFS([1]инфо!$F$15:$F$28,[1]инфо!$A$15:$A$28,F563)</f>
        <v/>
      </c>
      <c r="AL563" s="64">
        <f>IF(H563=0,0,Y563/H563)</f>
        <v/>
      </c>
      <c r="AM563" s="76">
        <f>AL563-AK563</f>
        <v/>
      </c>
      <c r="AN563" s="75">
        <f>SUMIFS([1]инфо!$G$15:$G$28,[1]инфо!$A$15:$A$28,F563)</f>
        <v/>
      </c>
      <c r="AO563" s="64">
        <f>IF(H563=0,0,AA563/H563)</f>
        <v/>
      </c>
      <c r="AP563" s="76">
        <f>AO563-AN563</f>
        <v/>
      </c>
      <c r="AQ563" s="75">
        <f>SUMIFS([1]инфо!$H$15:$H$28,[1]инфо!$A$15:$A$28,F563)</f>
        <v/>
      </c>
      <c r="AR563" s="64">
        <f>IF(H562=0,0,AC563/H562)</f>
        <v/>
      </c>
      <c r="AS563" s="76">
        <f>AR563-AQ563</f>
        <v/>
      </c>
      <c r="AT563" s="75">
        <f>SUMIFS([1]инфо!$I$15:$I$28,[1]инфо!$A$15:$A$28,F563)</f>
        <v/>
      </c>
      <c r="AU563" s="62">
        <f>IF(H563=0,0,AD563/H563)</f>
        <v/>
      </c>
      <c r="AV563" s="76">
        <f>AU563-AT563</f>
        <v/>
      </c>
      <c r="AX563" s="70">
        <f>SUMIFS([1]инфо!$C$15:$C$28,[1]инфо!$A$15:$A$28,F563)*H562</f>
        <v/>
      </c>
    </row>
    <row r="564">
      <c r="A564" s="71">
        <f>A562+1</f>
        <v/>
      </c>
      <c r="B564" s="90" t="n"/>
      <c r="C564" s="52" t="n"/>
      <c r="D564" s="53" t="n"/>
      <c r="E564" s="66" t="n"/>
      <c r="F564" s="67" t="n"/>
      <c r="G564" s="58" t="n"/>
      <c r="H564" s="55" t="n"/>
      <c r="I564" s="57">
        <f>IFERROR(H564*VLOOKUP(F564,[1]инфо!$A$15:$C$28,3,FALSE)/1000,0)</f>
        <v/>
      </c>
      <c r="J564" s="55" t="n"/>
      <c r="K564" s="55" t="n"/>
      <c r="L564" s="55" t="n"/>
      <c r="M564" s="55" t="n"/>
      <c r="N564" s="55" t="n"/>
      <c r="O564" s="58" t="n"/>
      <c r="P564" s="58" t="n"/>
      <c r="Q564" s="58" t="n"/>
      <c r="R564" s="58" t="n"/>
      <c r="S564" s="59">
        <f>SUM(O564:R564)</f>
        <v/>
      </c>
      <c r="T564" s="52" t="n"/>
      <c r="U564" s="53" t="n"/>
      <c r="V564" s="58" t="n"/>
      <c r="W564" s="68" t="n"/>
      <c r="X564" s="58" t="n"/>
      <c r="Y564" s="52" t="n"/>
      <c r="Z564" s="58" t="n"/>
      <c r="AA564" s="58" t="n"/>
      <c r="AB564" s="58" t="n"/>
      <c r="AC564" s="68" t="n"/>
      <c r="AD564" s="53" t="n"/>
      <c r="AE564" s="61">
        <f>SUMIFS([1]инфо!$D$15:$D$28,[1]инфо!$A$15:$A$28,F564)</f>
        <v/>
      </c>
      <c r="AF564" s="62">
        <f>IF(H564=0,0,N564/H564)</f>
        <v/>
      </c>
      <c r="AG564" s="63">
        <f>AF564-AE564</f>
        <v/>
      </c>
      <c r="AH564" s="61">
        <f>SUMIFS([1]инфо!$E$15:$E$28,[1]инфо!$A$15:$A$28,F564)</f>
        <v/>
      </c>
      <c r="AI564" s="64">
        <f>IF(H564=0,0,S564/H564)</f>
        <v/>
      </c>
      <c r="AJ564" s="63">
        <f>AI564-AH564</f>
        <v/>
      </c>
      <c r="AK564" s="61">
        <f>SUMIFS([1]инфо!$F$15:$F$28,[1]инфо!$A$15:$A$28,F564)</f>
        <v/>
      </c>
      <c r="AL564" s="64">
        <f>IF(H564=0,0,Y564/H564)</f>
        <v/>
      </c>
      <c r="AM564" s="63">
        <f>AL564-AK564</f>
        <v/>
      </c>
      <c r="AN564" s="61">
        <f>SUMIFS([1]инфо!$G$15:$G$28,[1]инфо!$A$15:$A$28,F564)</f>
        <v/>
      </c>
      <c r="AO564" s="64">
        <f>IF(H564=0,0,AA564/H564)</f>
        <v/>
      </c>
      <c r="AP564" s="63">
        <f>AO564-AN564</f>
        <v/>
      </c>
      <c r="AQ564" s="61">
        <f>SUMIFS([1]инфо!$H$15:$H$28,[1]инфо!$A$15:$A$28,F564)</f>
        <v/>
      </c>
      <c r="AR564" s="62">
        <f>IF(H563=0,0,AC564/H563)</f>
        <v/>
      </c>
      <c r="AS564" s="63">
        <f>AR564-AQ564</f>
        <v/>
      </c>
      <c r="AT564" s="61">
        <f>SUMIFS([1]инфо!$I$15:$I$28,[1]инфо!$A$15:$A$28,F564)</f>
        <v/>
      </c>
      <c r="AU564" s="62">
        <f>IF(H564=0,0,AD564/H564)</f>
        <v/>
      </c>
      <c r="AV564" s="63">
        <f>AU564-AT564</f>
        <v/>
      </c>
      <c r="AX564" s="59">
        <f>SUMIFS([1]инфо!$C$15:$C$28,[1]инфо!$A$15:$A$28,F564)*H563</f>
        <v/>
      </c>
    </row>
    <row r="565">
      <c r="A565" s="71">
        <f>A563+1</f>
        <v/>
      </c>
      <c r="B565" s="90" t="n"/>
      <c r="C565" s="52" t="n"/>
      <c r="D565" s="53" t="n"/>
      <c r="E565" s="66" t="n"/>
      <c r="F565" s="67" t="n"/>
      <c r="G565" s="58" t="n"/>
      <c r="H565" s="56" t="n"/>
      <c r="I565" s="57">
        <f>IFERROR(H565*VLOOKUP(F565,[1]инфо!$A$15:$C$28,3,FALSE)/1000,0)</f>
        <v/>
      </c>
      <c r="J565" s="55" t="n"/>
      <c r="K565" s="55" t="n"/>
      <c r="L565" s="55" t="n"/>
      <c r="M565" s="55" t="n"/>
      <c r="N565" s="55" t="n"/>
      <c r="O565" s="58" t="n"/>
      <c r="P565" s="58" t="n"/>
      <c r="Q565" s="58" t="n"/>
      <c r="R565" s="58" t="n"/>
      <c r="S565" s="59">
        <f>SUM(O565:R565)</f>
        <v/>
      </c>
      <c r="T565" s="52" t="n"/>
      <c r="U565" s="53" t="n"/>
      <c r="V565" s="58" t="n"/>
      <c r="W565" s="68" t="n"/>
      <c r="X565" s="58" t="n"/>
      <c r="Y565" s="52" t="n"/>
      <c r="Z565" s="58" t="n"/>
      <c r="AA565" s="58" t="n"/>
      <c r="AB565" s="58" t="n"/>
      <c r="AC565" s="68" t="n"/>
      <c r="AD565" s="53" t="n"/>
      <c r="AE565" s="61">
        <f>SUMIFS([1]инфо!$D$15:$D$28,[1]инфо!$A$15:$A$28,F565)</f>
        <v/>
      </c>
      <c r="AF565" s="62">
        <f>IF(H565=0,0,N565/H565)</f>
        <v/>
      </c>
      <c r="AG565" s="63">
        <f>AF565-AE565</f>
        <v/>
      </c>
      <c r="AH565" s="61">
        <f>SUMIFS([1]инфо!$E$15:$E$28,[1]инфо!$A$15:$A$28,F565)</f>
        <v/>
      </c>
      <c r="AI565" s="64">
        <f>IF(H565=0,0,S565/H565)</f>
        <v/>
      </c>
      <c r="AJ565" s="63">
        <f>AI565-AH565</f>
        <v/>
      </c>
      <c r="AK565" s="61">
        <f>SUMIFS([1]инфо!$F$15:$F$28,[1]инфо!$A$15:$A$28,F565)</f>
        <v/>
      </c>
      <c r="AL565" s="64">
        <f>IF(H565=0,0,Y565/H565)</f>
        <v/>
      </c>
      <c r="AM565" s="63">
        <f>AL565-AK565</f>
        <v/>
      </c>
      <c r="AN565" s="61">
        <f>SUMIFS([1]инфо!$G$15:$G$28,[1]инфо!$A$15:$A$28,F565)</f>
        <v/>
      </c>
      <c r="AO565" s="64">
        <f>IF(H565=0,0,AA565/H565)</f>
        <v/>
      </c>
      <c r="AP565" s="63">
        <f>AO565-AN565</f>
        <v/>
      </c>
      <c r="AQ565" s="61">
        <f>SUMIFS([1]инфо!$H$15:$H$28,[1]инфо!$A$15:$A$28,F565)</f>
        <v/>
      </c>
      <c r="AR565" s="62">
        <f>IF(H564=0,0,AC565/H564)</f>
        <v/>
      </c>
      <c r="AS565" s="63">
        <f>AR565-AQ565</f>
        <v/>
      </c>
      <c r="AT565" s="61">
        <f>SUMIFS([1]инфо!$I$15:$I$28,[1]инфо!$A$15:$A$28,F565)</f>
        <v/>
      </c>
      <c r="AU565" s="62">
        <f>IF(H565=0,0,AD565/H565)</f>
        <v/>
      </c>
      <c r="AV565" s="63">
        <f>AU565-AT565</f>
        <v/>
      </c>
      <c r="AX565" s="59">
        <f>SUMIFS([1]инфо!$C$15:$C$28,[1]инфо!$A$15:$A$28,F565)*H564</f>
        <v/>
      </c>
    </row>
    <row r="566">
      <c r="A566" s="71">
        <f>A564+1</f>
        <v/>
      </c>
      <c r="B566" s="88" t="n"/>
      <c r="C566" s="77" t="n"/>
      <c r="D566" s="78" t="n"/>
      <c r="E566" s="66" t="n"/>
      <c r="F566" s="67" t="n"/>
      <c r="G566" s="79" t="n"/>
      <c r="H566" s="67" t="n"/>
      <c r="I566" s="57">
        <f>IFERROR(H566*VLOOKUP(F566,[1]инфо!$A$15:$C$28,3,FALSE)/1000,0)</f>
        <v/>
      </c>
      <c r="J566" s="55" t="n"/>
      <c r="K566" s="55" t="n"/>
      <c r="L566" s="55" t="n"/>
      <c r="M566" s="55" t="n"/>
      <c r="N566" s="56" t="n"/>
      <c r="O566" s="79" t="n"/>
      <c r="P566" s="79" t="n"/>
      <c r="Q566" s="79" t="n"/>
      <c r="R566" s="79" t="n"/>
      <c r="S566" s="80">
        <f>SUM(O566:R566)</f>
        <v/>
      </c>
      <c r="T566" s="77" t="n"/>
      <c r="U566" s="78" t="n"/>
      <c r="V566" s="79" t="n"/>
      <c r="W566" s="68" t="n"/>
      <c r="X566" s="79" t="n"/>
      <c r="Y566" s="77" t="n"/>
      <c r="Z566" s="79" t="n"/>
      <c r="AA566" s="79" t="n"/>
      <c r="AB566" s="79" t="n"/>
      <c r="AC566" s="68" t="n"/>
      <c r="AD566" s="78" t="n"/>
      <c r="AE566" s="81">
        <f>SUMIFS([1]инфо!$D$15:$D$28,[1]инфо!$A$15:$A$28,F566)</f>
        <v/>
      </c>
      <c r="AF566" s="62">
        <f>IF(H566=0,0,N566/H566)</f>
        <v/>
      </c>
      <c r="AG566" s="82">
        <f>AF566-AE566</f>
        <v/>
      </c>
      <c r="AH566" s="81">
        <f>SUMIFS([1]инфо!$E$15:$E$28,[1]инфо!$A$15:$A$28,F566)</f>
        <v/>
      </c>
      <c r="AI566" s="64">
        <f>IF(H566=0,0,S566/H566)</f>
        <v/>
      </c>
      <c r="AJ566" s="82">
        <f>AI566-AH566</f>
        <v/>
      </c>
      <c r="AK566" s="81">
        <f>SUMIFS([1]инфо!$F$15:$F$28,[1]инфо!$A$15:$A$28,F566)</f>
        <v/>
      </c>
      <c r="AL566" s="64">
        <f>IF(H566=0,0,Y566/H566)</f>
        <v/>
      </c>
      <c r="AM566" s="82">
        <f>AL566-AK566</f>
        <v/>
      </c>
      <c r="AN566" s="81">
        <f>SUMIFS([1]инфо!$G$15:$G$28,[1]инфо!$A$15:$A$28,F566)</f>
        <v/>
      </c>
      <c r="AO566" s="64">
        <f>IF(H566=0,0,AA566/H566)</f>
        <v/>
      </c>
      <c r="AP566" s="82">
        <f>AO566-AN566</f>
        <v/>
      </c>
      <c r="AQ566" s="81">
        <f>SUMIFS([1]инфо!$H$15:$H$28,[1]инфо!$A$15:$A$28,F566)</f>
        <v/>
      </c>
      <c r="AR566" s="85">
        <f>IF(H565=0,0,AC566/H565)</f>
        <v/>
      </c>
      <c r="AS566" s="82">
        <f>AR566-AQ566</f>
        <v/>
      </c>
      <c r="AT566" s="81">
        <f>SUMIFS([1]инфо!$I$15:$I$28,[1]инфо!$A$15:$A$28,F566)</f>
        <v/>
      </c>
      <c r="AU566" s="62">
        <f>IF(H566=0,0,AD566/H566)</f>
        <v/>
      </c>
      <c r="AV566" s="82">
        <f>AU566-AT566</f>
        <v/>
      </c>
      <c r="AX566" s="80">
        <f>SUMIFS([1]инфо!$C$15:$C$28,[1]инфо!$A$15:$A$28,F566)*H565</f>
        <v/>
      </c>
    </row>
    <row r="567">
      <c r="A567" s="71">
        <f>A565+1</f>
        <v/>
      </c>
      <c r="B567" s="89" t="n"/>
      <c r="C567" s="72" t="n"/>
      <c r="D567" s="73" t="n"/>
      <c r="E567" s="66" t="n"/>
      <c r="F567" s="67" t="n"/>
      <c r="G567" s="74" t="n"/>
      <c r="H567" s="55" t="n"/>
      <c r="I567" s="57">
        <f>IFERROR(H567*VLOOKUP(F567,[1]инфо!$A$15:$C$28,3,FALSE)/1000,0)</f>
        <v/>
      </c>
      <c r="J567" s="55" t="n"/>
      <c r="K567" s="55" t="n"/>
      <c r="L567" s="55" t="n"/>
      <c r="M567" s="55" t="n"/>
      <c r="N567" s="67" t="n"/>
      <c r="O567" s="74" t="n"/>
      <c r="P567" s="74" t="n"/>
      <c r="Q567" s="74" t="n"/>
      <c r="R567" s="74" t="n"/>
      <c r="S567" s="70">
        <f>SUM(O567:R567)</f>
        <v/>
      </c>
      <c r="T567" s="72" t="n"/>
      <c r="U567" s="73" t="n"/>
      <c r="V567" s="74" t="n"/>
      <c r="W567" s="68" t="n"/>
      <c r="X567" s="74" t="n"/>
      <c r="Y567" s="72" t="n"/>
      <c r="Z567" s="74" t="n"/>
      <c r="AA567" s="74" t="n"/>
      <c r="AB567" s="74" t="n"/>
      <c r="AC567" s="68" t="n"/>
      <c r="AD567" s="73" t="n"/>
      <c r="AE567" s="75">
        <f>SUMIFS([1]инфо!$D$15:$D$28,[1]инфо!$A$15:$A$28,F567)</f>
        <v/>
      </c>
      <c r="AF567" s="62">
        <f>IF(H567=0,0,N567/H567)</f>
        <v/>
      </c>
      <c r="AG567" s="76">
        <f>AF567-AE567</f>
        <v/>
      </c>
      <c r="AH567" s="75">
        <f>SUMIFS([1]инфо!$E$15:$E$28,[1]инфо!$A$15:$A$28,F567)</f>
        <v/>
      </c>
      <c r="AI567" s="64">
        <f>IF(H567=0,0,S567/H567)</f>
        <v/>
      </c>
      <c r="AJ567" s="76">
        <f>AI567-AH567</f>
        <v/>
      </c>
      <c r="AK567" s="75">
        <f>SUMIFS([1]инфо!$F$15:$F$28,[1]инфо!$A$15:$A$28,F567)</f>
        <v/>
      </c>
      <c r="AL567" s="64">
        <f>IF(H567=0,0,Y567/H567)</f>
        <v/>
      </c>
      <c r="AM567" s="76">
        <f>AL567-AK567</f>
        <v/>
      </c>
      <c r="AN567" s="75">
        <f>SUMIFS([1]инфо!$G$15:$G$28,[1]инфо!$A$15:$A$28,F567)</f>
        <v/>
      </c>
      <c r="AO567" s="64">
        <f>IF(H567=0,0,AA567/H567)</f>
        <v/>
      </c>
      <c r="AP567" s="76">
        <f>AO567-AN567</f>
        <v/>
      </c>
      <c r="AQ567" s="75">
        <f>SUMIFS([1]инфо!$H$15:$H$28,[1]инфо!$A$15:$A$28,F567)</f>
        <v/>
      </c>
      <c r="AR567" s="64">
        <f>IF(H566=0,0,AC567/H566)</f>
        <v/>
      </c>
      <c r="AS567" s="76">
        <f>AR567-AQ567</f>
        <v/>
      </c>
      <c r="AT567" s="75">
        <f>SUMIFS([1]инфо!$I$15:$I$28,[1]инфо!$A$15:$A$28,F567)</f>
        <v/>
      </c>
      <c r="AU567" s="62">
        <f>IF(H567=0,0,AD567/H567)</f>
        <v/>
      </c>
      <c r="AV567" s="76">
        <f>AU567-AT567</f>
        <v/>
      </c>
      <c r="AX567" s="70">
        <f>SUMIFS([1]инфо!$C$15:$C$28,[1]инфо!$A$15:$A$28,F567)*H566</f>
        <v/>
      </c>
    </row>
    <row r="568">
      <c r="A568" s="71">
        <f>A566+1</f>
        <v/>
      </c>
      <c r="B568" s="90" t="n"/>
      <c r="C568" s="52" t="n"/>
      <c r="D568" s="53" t="n"/>
      <c r="E568" s="66" t="n"/>
      <c r="F568" s="67" t="n"/>
      <c r="G568" s="58" t="n"/>
      <c r="H568" s="55" t="n"/>
      <c r="I568" s="57">
        <f>IFERROR(H568*VLOOKUP(F568,[1]инфо!$A$15:$C$28,3,FALSE)/1000,0)</f>
        <v/>
      </c>
      <c r="J568" s="55" t="n"/>
      <c r="K568" s="55" t="n"/>
      <c r="L568" s="55" t="n"/>
      <c r="M568" s="55" t="n"/>
      <c r="N568" s="55" t="n"/>
      <c r="O568" s="58" t="n"/>
      <c r="P568" s="58" t="n"/>
      <c r="Q568" s="58" t="n"/>
      <c r="R568" s="58" t="n"/>
      <c r="S568" s="59">
        <f>SUM(O568:R568)</f>
        <v/>
      </c>
      <c r="T568" s="52" t="n"/>
      <c r="U568" s="53" t="n"/>
      <c r="V568" s="58" t="n"/>
      <c r="W568" s="68" t="n"/>
      <c r="X568" s="58" t="n"/>
      <c r="Y568" s="52" t="n"/>
      <c r="Z568" s="58" t="n"/>
      <c r="AA568" s="58" t="n"/>
      <c r="AB568" s="58" t="n"/>
      <c r="AC568" s="68" t="n"/>
      <c r="AD568" s="53" t="n"/>
      <c r="AE568" s="61">
        <f>SUMIFS([1]инфо!$D$15:$D$28,[1]инфо!$A$15:$A$28,F568)</f>
        <v/>
      </c>
      <c r="AF568" s="62">
        <f>IF(H568=0,0,N568/H568)</f>
        <v/>
      </c>
      <c r="AG568" s="63">
        <f>AF568-AE568</f>
        <v/>
      </c>
      <c r="AH568" s="61">
        <f>SUMIFS([1]инфо!$E$15:$E$28,[1]инфо!$A$15:$A$28,F568)</f>
        <v/>
      </c>
      <c r="AI568" s="64">
        <f>IF(H568=0,0,S568/H568)</f>
        <v/>
      </c>
      <c r="AJ568" s="63">
        <f>AI568-AH568</f>
        <v/>
      </c>
      <c r="AK568" s="61">
        <f>SUMIFS([1]инфо!$F$15:$F$28,[1]инфо!$A$15:$A$28,F568)</f>
        <v/>
      </c>
      <c r="AL568" s="64">
        <f>IF(H568=0,0,Y568/H568)</f>
        <v/>
      </c>
      <c r="AM568" s="63">
        <f>AL568-AK568</f>
        <v/>
      </c>
      <c r="AN568" s="61">
        <f>SUMIFS([1]инфо!$G$15:$G$28,[1]инфо!$A$15:$A$28,F568)</f>
        <v/>
      </c>
      <c r="AO568" s="64">
        <f>IF(H568=0,0,AA568/H568)</f>
        <v/>
      </c>
      <c r="AP568" s="63">
        <f>AO568-AN568</f>
        <v/>
      </c>
      <c r="AQ568" s="61">
        <f>SUMIFS([1]инфо!$H$15:$H$28,[1]инфо!$A$15:$A$28,F568)</f>
        <v/>
      </c>
      <c r="AR568" s="62">
        <f>IF(H567=0,0,AC568/H567)</f>
        <v/>
      </c>
      <c r="AS568" s="63">
        <f>AR568-AQ568</f>
        <v/>
      </c>
      <c r="AT568" s="61">
        <f>SUMIFS([1]инфо!$I$15:$I$28,[1]инфо!$A$15:$A$28,F568)</f>
        <v/>
      </c>
      <c r="AU568" s="62">
        <f>IF(H568=0,0,AD568/H568)</f>
        <v/>
      </c>
      <c r="AV568" s="63">
        <f>AU568-AT568</f>
        <v/>
      </c>
      <c r="AX568" s="59">
        <f>SUMIFS([1]инфо!$C$15:$C$28,[1]инфо!$A$15:$A$28,F568)*H567</f>
        <v/>
      </c>
    </row>
    <row r="569">
      <c r="A569" s="71">
        <f>A567+1</f>
        <v/>
      </c>
      <c r="B569" s="90" t="n"/>
      <c r="C569" s="52" t="n"/>
      <c r="D569" s="53" t="n"/>
      <c r="E569" s="66" t="n"/>
      <c r="F569" s="67" t="n"/>
      <c r="G569" s="58" t="n"/>
      <c r="H569" s="56" t="n"/>
      <c r="I569" s="57">
        <f>IFERROR(H569*VLOOKUP(F569,[1]инфо!$A$15:$C$28,3,FALSE)/1000,0)</f>
        <v/>
      </c>
      <c r="J569" s="55" t="n"/>
      <c r="K569" s="55" t="n"/>
      <c r="L569" s="55" t="n"/>
      <c r="M569" s="55" t="n"/>
      <c r="N569" s="55" t="n"/>
      <c r="O569" s="58" t="n"/>
      <c r="P569" s="58" t="n"/>
      <c r="Q569" s="58" t="n"/>
      <c r="R569" s="58" t="n"/>
      <c r="S569" s="59">
        <f>SUM(O569:R569)</f>
        <v/>
      </c>
      <c r="T569" s="52" t="n"/>
      <c r="U569" s="53" t="n"/>
      <c r="V569" s="58" t="n"/>
      <c r="W569" s="68" t="n"/>
      <c r="X569" s="58" t="n"/>
      <c r="Y569" s="52" t="n"/>
      <c r="Z569" s="58" t="n"/>
      <c r="AA569" s="58" t="n"/>
      <c r="AB569" s="58" t="n"/>
      <c r="AC569" s="68" t="n"/>
      <c r="AD569" s="53" t="n"/>
      <c r="AE569" s="61">
        <f>SUMIFS([1]инфо!$D$15:$D$28,[1]инфо!$A$15:$A$28,F569)</f>
        <v/>
      </c>
      <c r="AF569" s="62">
        <f>IF(H569=0,0,N569/H569)</f>
        <v/>
      </c>
      <c r="AG569" s="63">
        <f>AF569-AE569</f>
        <v/>
      </c>
      <c r="AH569" s="61">
        <f>SUMIFS([1]инфо!$E$15:$E$28,[1]инфо!$A$15:$A$28,F569)</f>
        <v/>
      </c>
      <c r="AI569" s="64">
        <f>IF(H569=0,0,S569/H569)</f>
        <v/>
      </c>
      <c r="AJ569" s="63">
        <f>AI569-AH569</f>
        <v/>
      </c>
      <c r="AK569" s="61">
        <f>SUMIFS([1]инфо!$F$15:$F$28,[1]инфо!$A$15:$A$28,F569)</f>
        <v/>
      </c>
      <c r="AL569" s="64">
        <f>IF(H569=0,0,Y569/H569)</f>
        <v/>
      </c>
      <c r="AM569" s="63">
        <f>AL569-AK569</f>
        <v/>
      </c>
      <c r="AN569" s="61">
        <f>SUMIFS([1]инфо!$G$15:$G$28,[1]инфо!$A$15:$A$28,F569)</f>
        <v/>
      </c>
      <c r="AO569" s="64">
        <f>IF(H569=0,0,AA569/H569)</f>
        <v/>
      </c>
      <c r="AP569" s="63">
        <f>AO569-AN569</f>
        <v/>
      </c>
      <c r="AQ569" s="61">
        <f>SUMIFS([1]инфо!$H$15:$H$28,[1]инфо!$A$15:$A$28,F569)</f>
        <v/>
      </c>
      <c r="AR569" s="62">
        <f>IF(H568=0,0,AC569/H568)</f>
        <v/>
      </c>
      <c r="AS569" s="63">
        <f>AR569-AQ569</f>
        <v/>
      </c>
      <c r="AT569" s="61">
        <f>SUMIFS([1]инфо!$I$15:$I$28,[1]инфо!$A$15:$A$28,F569)</f>
        <v/>
      </c>
      <c r="AU569" s="62">
        <f>IF(H569=0,0,AD569/H569)</f>
        <v/>
      </c>
      <c r="AV569" s="63">
        <f>AU569-AT569</f>
        <v/>
      </c>
      <c r="AX569" s="59">
        <f>SUMIFS([1]инфо!$C$15:$C$28,[1]инфо!$A$15:$A$28,F569)*H568</f>
        <v/>
      </c>
    </row>
    <row r="570">
      <c r="A570" s="71">
        <f>A568+1</f>
        <v/>
      </c>
      <c r="B570" s="88" t="n"/>
      <c r="C570" s="77" t="n"/>
      <c r="D570" s="78" t="n"/>
      <c r="E570" s="66" t="n"/>
      <c r="F570" s="67" t="n"/>
      <c r="G570" s="79" t="n"/>
      <c r="H570" s="67" t="n"/>
      <c r="I570" s="57">
        <f>IFERROR(H570*VLOOKUP(F570,[1]инфо!$A$15:$C$28,3,FALSE)/1000,0)</f>
        <v/>
      </c>
      <c r="J570" s="55" t="n"/>
      <c r="K570" s="55" t="n"/>
      <c r="L570" s="55" t="n"/>
      <c r="M570" s="55" t="n"/>
      <c r="N570" s="56" t="n"/>
      <c r="O570" s="79" t="n"/>
      <c r="P570" s="79" t="n"/>
      <c r="Q570" s="79" t="n"/>
      <c r="R570" s="79" t="n"/>
      <c r="S570" s="80">
        <f>SUM(O570:R570)</f>
        <v/>
      </c>
      <c r="T570" s="77" t="n"/>
      <c r="U570" s="78" t="n"/>
      <c r="V570" s="79" t="n"/>
      <c r="W570" s="68" t="n"/>
      <c r="X570" s="79" t="n"/>
      <c r="Y570" s="77" t="n"/>
      <c r="Z570" s="79" t="n"/>
      <c r="AA570" s="79" t="n"/>
      <c r="AB570" s="79" t="n"/>
      <c r="AC570" s="68" t="n"/>
      <c r="AD570" s="78" t="n"/>
      <c r="AE570" s="81">
        <f>SUMIFS([1]инфо!$D$15:$D$28,[1]инфо!$A$15:$A$28,F570)</f>
        <v/>
      </c>
      <c r="AF570" s="62">
        <f>IF(H570=0,0,N570/H570)</f>
        <v/>
      </c>
      <c r="AG570" s="82">
        <f>AF570-AE570</f>
        <v/>
      </c>
      <c r="AH570" s="81">
        <f>SUMIFS([1]инфо!$E$15:$E$28,[1]инфо!$A$15:$A$28,F570)</f>
        <v/>
      </c>
      <c r="AI570" s="64">
        <f>IF(H570=0,0,S570/H570)</f>
        <v/>
      </c>
      <c r="AJ570" s="82">
        <f>AI570-AH570</f>
        <v/>
      </c>
      <c r="AK570" s="81">
        <f>SUMIFS([1]инфо!$F$15:$F$28,[1]инфо!$A$15:$A$28,F570)</f>
        <v/>
      </c>
      <c r="AL570" s="64">
        <f>IF(H570=0,0,Y570/H570)</f>
        <v/>
      </c>
      <c r="AM570" s="82">
        <f>AL570-AK570</f>
        <v/>
      </c>
      <c r="AN570" s="81">
        <f>SUMIFS([1]инфо!$G$15:$G$28,[1]инфо!$A$15:$A$28,F570)</f>
        <v/>
      </c>
      <c r="AO570" s="64">
        <f>IF(H570=0,0,AA570/H570)</f>
        <v/>
      </c>
      <c r="AP570" s="82">
        <f>AO570-AN570</f>
        <v/>
      </c>
      <c r="AQ570" s="81">
        <f>SUMIFS([1]инфо!$H$15:$H$28,[1]инфо!$A$15:$A$28,F570)</f>
        <v/>
      </c>
      <c r="AR570" s="85">
        <f>IF(H569=0,0,AC570/H569)</f>
        <v/>
      </c>
      <c r="AS570" s="82">
        <f>AR570-AQ570</f>
        <v/>
      </c>
      <c r="AT570" s="81">
        <f>SUMIFS([1]инфо!$I$15:$I$28,[1]инфо!$A$15:$A$28,F570)</f>
        <v/>
      </c>
      <c r="AU570" s="62">
        <f>IF(H570=0,0,AD570/H570)</f>
        <v/>
      </c>
      <c r="AV570" s="82">
        <f>AU570-AT570</f>
        <v/>
      </c>
      <c r="AX570" s="80">
        <f>SUMIFS([1]инфо!$C$15:$C$28,[1]инфо!$A$15:$A$28,F570)*H569</f>
        <v/>
      </c>
    </row>
    <row r="571">
      <c r="A571" s="71">
        <f>A569+1</f>
        <v/>
      </c>
      <c r="B571" s="89" t="n"/>
      <c r="C571" s="72" t="n"/>
      <c r="D571" s="73" t="n"/>
      <c r="E571" s="66" t="n"/>
      <c r="F571" s="67" t="n"/>
      <c r="G571" s="74" t="n"/>
      <c r="H571" s="55" t="n"/>
      <c r="I571" s="57">
        <f>IFERROR(H571*VLOOKUP(F571,[1]инфо!$A$15:$C$28,3,FALSE)/1000,0)</f>
        <v/>
      </c>
      <c r="J571" s="55" t="n"/>
      <c r="K571" s="55" t="n"/>
      <c r="L571" s="55" t="n"/>
      <c r="M571" s="55" t="n"/>
      <c r="N571" s="67" t="n"/>
      <c r="O571" s="74" t="n"/>
      <c r="P571" s="74" t="n"/>
      <c r="Q571" s="74" t="n"/>
      <c r="R571" s="74" t="n"/>
      <c r="S571" s="70">
        <f>SUM(O571:R571)</f>
        <v/>
      </c>
      <c r="T571" s="72" t="n"/>
      <c r="U571" s="73" t="n"/>
      <c r="V571" s="74" t="n"/>
      <c r="W571" s="68" t="n"/>
      <c r="X571" s="74" t="n"/>
      <c r="Y571" s="72" t="n"/>
      <c r="Z571" s="74" t="n"/>
      <c r="AA571" s="74" t="n"/>
      <c r="AB571" s="74" t="n"/>
      <c r="AC571" s="68" t="n"/>
      <c r="AD571" s="73" t="n"/>
      <c r="AE571" s="75">
        <f>SUMIFS([1]инфо!$D$15:$D$28,[1]инфо!$A$15:$A$28,F571)</f>
        <v/>
      </c>
      <c r="AF571" s="62">
        <f>IF(H571=0,0,N571/H571)</f>
        <v/>
      </c>
      <c r="AG571" s="76">
        <f>AF571-AE571</f>
        <v/>
      </c>
      <c r="AH571" s="75">
        <f>SUMIFS([1]инфо!$E$15:$E$28,[1]инфо!$A$15:$A$28,F571)</f>
        <v/>
      </c>
      <c r="AI571" s="64">
        <f>IF(H571=0,0,S571/H571)</f>
        <v/>
      </c>
      <c r="AJ571" s="76">
        <f>AI571-AH571</f>
        <v/>
      </c>
      <c r="AK571" s="75">
        <f>SUMIFS([1]инфо!$F$15:$F$28,[1]инфо!$A$15:$A$28,F571)</f>
        <v/>
      </c>
      <c r="AL571" s="64">
        <f>IF(H571=0,0,Y571/H571)</f>
        <v/>
      </c>
      <c r="AM571" s="76">
        <f>AL571-AK571</f>
        <v/>
      </c>
      <c r="AN571" s="75">
        <f>SUMIFS([1]инфо!$G$15:$G$28,[1]инфо!$A$15:$A$28,F571)</f>
        <v/>
      </c>
      <c r="AO571" s="64">
        <f>IF(H571=0,0,AA571/H571)</f>
        <v/>
      </c>
      <c r="AP571" s="76">
        <f>AO571-AN571</f>
        <v/>
      </c>
      <c r="AQ571" s="75">
        <f>SUMIFS([1]инфо!$H$15:$H$28,[1]инфо!$A$15:$A$28,F571)</f>
        <v/>
      </c>
      <c r="AR571" s="64">
        <f>IF(H570=0,0,AC571/H570)</f>
        <v/>
      </c>
      <c r="AS571" s="76">
        <f>AR571-AQ571</f>
        <v/>
      </c>
      <c r="AT571" s="75">
        <f>SUMIFS([1]инфо!$I$15:$I$28,[1]инфо!$A$15:$A$28,F571)</f>
        <v/>
      </c>
      <c r="AU571" s="62">
        <f>IF(H571=0,0,AD571/H571)</f>
        <v/>
      </c>
      <c r="AV571" s="76">
        <f>AU571-AT571</f>
        <v/>
      </c>
      <c r="AX571" s="70">
        <f>SUMIFS([1]инфо!$C$15:$C$28,[1]инфо!$A$15:$A$28,F571)*H570</f>
        <v/>
      </c>
    </row>
    <row r="572">
      <c r="A572" s="71">
        <f>A570+1</f>
        <v/>
      </c>
      <c r="B572" s="90" t="n"/>
      <c r="C572" s="52" t="n"/>
      <c r="D572" s="53" t="n"/>
      <c r="E572" s="66" t="n"/>
      <c r="F572" s="67" t="n"/>
      <c r="G572" s="58" t="n"/>
      <c r="H572" s="55" t="n"/>
      <c r="I572" s="57">
        <f>IFERROR(H572*VLOOKUP(F572,[1]инфо!$A$15:$C$28,3,FALSE)/1000,0)</f>
        <v/>
      </c>
      <c r="J572" s="55" t="n"/>
      <c r="K572" s="55" t="n"/>
      <c r="L572" s="55" t="n"/>
      <c r="M572" s="55" t="n"/>
      <c r="N572" s="55" t="n"/>
      <c r="O572" s="58" t="n"/>
      <c r="P572" s="58" t="n"/>
      <c r="Q572" s="58" t="n"/>
      <c r="R572" s="58" t="n"/>
      <c r="S572" s="59">
        <f>SUM(O572:R572)</f>
        <v/>
      </c>
      <c r="T572" s="52" t="n"/>
      <c r="U572" s="53" t="n"/>
      <c r="V572" s="58" t="n"/>
      <c r="W572" s="68" t="n"/>
      <c r="X572" s="58" t="n"/>
      <c r="Y572" s="52" t="n"/>
      <c r="Z572" s="58" t="n"/>
      <c r="AA572" s="58" t="n"/>
      <c r="AB572" s="58" t="n"/>
      <c r="AC572" s="68" t="n"/>
      <c r="AD572" s="53" t="n"/>
      <c r="AE572" s="61">
        <f>SUMIFS([1]инфо!$D$15:$D$28,[1]инфо!$A$15:$A$28,F572)</f>
        <v/>
      </c>
      <c r="AF572" s="62">
        <f>IF(H572=0,0,N572/H572)</f>
        <v/>
      </c>
      <c r="AG572" s="63">
        <f>AF572-AE572</f>
        <v/>
      </c>
      <c r="AH572" s="61">
        <f>SUMIFS([1]инфо!$E$15:$E$28,[1]инфо!$A$15:$A$28,F572)</f>
        <v/>
      </c>
      <c r="AI572" s="64">
        <f>IF(H572=0,0,S572/H572)</f>
        <v/>
      </c>
      <c r="AJ572" s="63">
        <f>AI572-AH572</f>
        <v/>
      </c>
      <c r="AK572" s="61">
        <f>SUMIFS([1]инфо!$F$15:$F$28,[1]инфо!$A$15:$A$28,F572)</f>
        <v/>
      </c>
      <c r="AL572" s="64">
        <f>IF(H572=0,0,Y572/H572)</f>
        <v/>
      </c>
      <c r="AM572" s="63">
        <f>AL572-AK572</f>
        <v/>
      </c>
      <c r="AN572" s="61">
        <f>SUMIFS([1]инфо!$G$15:$G$28,[1]инфо!$A$15:$A$28,F572)</f>
        <v/>
      </c>
      <c r="AO572" s="64">
        <f>IF(H572=0,0,AA572/H572)</f>
        <v/>
      </c>
      <c r="AP572" s="63">
        <f>AO572-AN572</f>
        <v/>
      </c>
      <c r="AQ572" s="61">
        <f>SUMIFS([1]инфо!$H$15:$H$28,[1]инфо!$A$15:$A$28,F572)</f>
        <v/>
      </c>
      <c r="AR572" s="62">
        <f>IF(H571=0,0,AC572/H571)</f>
        <v/>
      </c>
      <c r="AS572" s="63">
        <f>AR572-AQ572</f>
        <v/>
      </c>
      <c r="AT572" s="61">
        <f>SUMIFS([1]инфо!$I$15:$I$28,[1]инфо!$A$15:$A$28,F572)</f>
        <v/>
      </c>
      <c r="AU572" s="62">
        <f>IF(H572=0,0,AD572/H572)</f>
        <v/>
      </c>
      <c r="AV572" s="63">
        <f>AU572-AT572</f>
        <v/>
      </c>
      <c r="AX572" s="59">
        <f>SUMIFS([1]инфо!$C$15:$C$28,[1]инфо!$A$15:$A$28,F572)*H571</f>
        <v/>
      </c>
    </row>
    <row r="573">
      <c r="A573" s="71">
        <f>A571+1</f>
        <v/>
      </c>
      <c r="B573" s="90" t="n"/>
      <c r="C573" s="52" t="n"/>
      <c r="D573" s="53" t="n"/>
      <c r="E573" s="66" t="n"/>
      <c r="F573" s="67" t="n"/>
      <c r="G573" s="58" t="n"/>
      <c r="H573" s="56" t="n"/>
      <c r="I573" s="57">
        <f>IFERROR(H573*VLOOKUP(F573,[1]инфо!$A$15:$C$28,3,FALSE)/1000,0)</f>
        <v/>
      </c>
      <c r="J573" s="55" t="n"/>
      <c r="K573" s="55" t="n"/>
      <c r="L573" s="55" t="n"/>
      <c r="M573" s="55" t="n"/>
      <c r="N573" s="55" t="n"/>
      <c r="O573" s="58" t="n"/>
      <c r="P573" s="58" t="n"/>
      <c r="Q573" s="58" t="n"/>
      <c r="R573" s="58" t="n"/>
      <c r="S573" s="59">
        <f>SUM(O573:R573)</f>
        <v/>
      </c>
      <c r="T573" s="52" t="n"/>
      <c r="U573" s="53" t="n"/>
      <c r="V573" s="58" t="n"/>
      <c r="W573" s="68" t="n"/>
      <c r="X573" s="58" t="n"/>
      <c r="Y573" s="52" t="n"/>
      <c r="Z573" s="58" t="n"/>
      <c r="AA573" s="58" t="n"/>
      <c r="AB573" s="58" t="n"/>
      <c r="AC573" s="68" t="n"/>
      <c r="AD573" s="53" t="n"/>
      <c r="AE573" s="61">
        <f>SUMIFS([1]инфо!$D$15:$D$28,[1]инфо!$A$15:$A$28,F573)</f>
        <v/>
      </c>
      <c r="AF573" s="62">
        <f>IF(H573=0,0,N573/H573)</f>
        <v/>
      </c>
      <c r="AG573" s="63">
        <f>AF573-AE573</f>
        <v/>
      </c>
      <c r="AH573" s="61">
        <f>SUMIFS([1]инфо!$E$15:$E$28,[1]инфо!$A$15:$A$28,F573)</f>
        <v/>
      </c>
      <c r="AI573" s="64">
        <f>IF(H573=0,0,S573/H573)</f>
        <v/>
      </c>
      <c r="AJ573" s="63">
        <f>AI573-AH573</f>
        <v/>
      </c>
      <c r="AK573" s="61">
        <f>SUMIFS([1]инфо!$F$15:$F$28,[1]инфо!$A$15:$A$28,F573)</f>
        <v/>
      </c>
      <c r="AL573" s="64">
        <f>IF(H573=0,0,Y573/H573)</f>
        <v/>
      </c>
      <c r="AM573" s="63">
        <f>AL573-AK573</f>
        <v/>
      </c>
      <c r="AN573" s="61">
        <f>SUMIFS([1]инфо!$G$15:$G$28,[1]инфо!$A$15:$A$28,F573)</f>
        <v/>
      </c>
      <c r="AO573" s="64">
        <f>IF(H573=0,0,AA573/H573)</f>
        <v/>
      </c>
      <c r="AP573" s="63">
        <f>AO573-AN573</f>
        <v/>
      </c>
      <c r="AQ573" s="61">
        <f>SUMIFS([1]инфо!$H$15:$H$28,[1]инфо!$A$15:$A$28,F573)</f>
        <v/>
      </c>
      <c r="AR573" s="62">
        <f>IF(H572=0,0,AC573/H572)</f>
        <v/>
      </c>
      <c r="AS573" s="63">
        <f>AR573-AQ573</f>
        <v/>
      </c>
      <c r="AT573" s="61">
        <f>SUMIFS([1]инфо!$I$15:$I$28,[1]инфо!$A$15:$A$28,F573)</f>
        <v/>
      </c>
      <c r="AU573" s="62">
        <f>IF(H573=0,0,AD573/H573)</f>
        <v/>
      </c>
      <c r="AV573" s="63">
        <f>AU573-AT573</f>
        <v/>
      </c>
      <c r="AX573" s="59">
        <f>SUMIFS([1]инфо!$C$15:$C$28,[1]инфо!$A$15:$A$28,F573)*H572</f>
        <v/>
      </c>
    </row>
    <row r="574">
      <c r="A574" s="71">
        <f>A572+1</f>
        <v/>
      </c>
      <c r="B574" s="88" t="n"/>
      <c r="C574" s="77" t="n"/>
      <c r="D574" s="78" t="n"/>
      <c r="E574" s="66" t="n"/>
      <c r="F574" s="67" t="n"/>
      <c r="G574" s="79" t="n"/>
      <c r="H574" s="67" t="n"/>
      <c r="I574" s="57">
        <f>IFERROR(H574*VLOOKUP(F574,[1]инфо!$A$15:$C$28,3,FALSE)/1000,0)</f>
        <v/>
      </c>
      <c r="J574" s="55" t="n"/>
      <c r="K574" s="55" t="n"/>
      <c r="L574" s="55" t="n"/>
      <c r="M574" s="55" t="n"/>
      <c r="N574" s="56" t="n"/>
      <c r="O574" s="79" t="n"/>
      <c r="P574" s="79" t="n"/>
      <c r="Q574" s="79" t="n"/>
      <c r="R574" s="79" t="n"/>
      <c r="S574" s="80">
        <f>SUM(O574:R574)</f>
        <v/>
      </c>
      <c r="T574" s="77" t="n"/>
      <c r="U574" s="78" t="n"/>
      <c r="V574" s="79" t="n"/>
      <c r="W574" s="68" t="n"/>
      <c r="X574" s="79" t="n"/>
      <c r="Y574" s="77" t="n"/>
      <c r="Z574" s="79" t="n"/>
      <c r="AA574" s="79" t="n"/>
      <c r="AB574" s="79" t="n"/>
      <c r="AC574" s="68" t="n"/>
      <c r="AD574" s="78" t="n"/>
      <c r="AE574" s="81">
        <f>SUMIFS([1]инфо!$D$15:$D$28,[1]инфо!$A$15:$A$28,F574)</f>
        <v/>
      </c>
      <c r="AF574" s="62">
        <f>IF(H574=0,0,N574/H574)</f>
        <v/>
      </c>
      <c r="AG574" s="82">
        <f>AF574-AE574</f>
        <v/>
      </c>
      <c r="AH574" s="81">
        <f>SUMIFS([1]инфо!$E$15:$E$28,[1]инфо!$A$15:$A$28,F574)</f>
        <v/>
      </c>
      <c r="AI574" s="64">
        <f>IF(H574=0,0,S574/H574)</f>
        <v/>
      </c>
      <c r="AJ574" s="82">
        <f>AI574-AH574</f>
        <v/>
      </c>
      <c r="AK574" s="81">
        <f>SUMIFS([1]инфо!$F$15:$F$28,[1]инфо!$A$15:$A$28,F574)</f>
        <v/>
      </c>
      <c r="AL574" s="64">
        <f>IF(H574=0,0,Y574/H574)</f>
        <v/>
      </c>
      <c r="AM574" s="82">
        <f>AL574-AK574</f>
        <v/>
      </c>
      <c r="AN574" s="81">
        <f>SUMIFS([1]инфо!$G$15:$G$28,[1]инфо!$A$15:$A$28,F574)</f>
        <v/>
      </c>
      <c r="AO574" s="64">
        <f>IF(H574=0,0,AA574/H574)</f>
        <v/>
      </c>
      <c r="AP574" s="82">
        <f>AO574-AN574</f>
        <v/>
      </c>
      <c r="AQ574" s="81">
        <f>SUMIFS([1]инфо!$H$15:$H$28,[1]инфо!$A$15:$A$28,F574)</f>
        <v/>
      </c>
      <c r="AR574" s="85">
        <f>IF(H573=0,0,AC574/H573)</f>
        <v/>
      </c>
      <c r="AS574" s="82">
        <f>AR574-AQ574</f>
        <v/>
      </c>
      <c r="AT574" s="81">
        <f>SUMIFS([1]инфо!$I$15:$I$28,[1]инфо!$A$15:$A$28,F574)</f>
        <v/>
      </c>
      <c r="AU574" s="62">
        <f>IF(H574=0,0,AD574/H574)</f>
        <v/>
      </c>
      <c r="AV574" s="82">
        <f>AU574-AT574</f>
        <v/>
      </c>
      <c r="AX574" s="80">
        <f>SUMIFS([1]инфо!$C$15:$C$28,[1]инфо!$A$15:$A$28,F574)*H573</f>
        <v/>
      </c>
    </row>
    <row r="575">
      <c r="A575" s="71">
        <f>A573+1</f>
        <v/>
      </c>
      <c r="B575" s="89" t="n"/>
      <c r="C575" s="72" t="n"/>
      <c r="D575" s="73" t="n"/>
      <c r="E575" s="66" t="n"/>
      <c r="F575" s="67" t="n"/>
      <c r="G575" s="74" t="n"/>
      <c r="H575" s="55" t="n"/>
      <c r="I575" s="57">
        <f>IFERROR(H575*VLOOKUP(F575,[1]инфо!$A$15:$C$28,3,FALSE)/1000,0)</f>
        <v/>
      </c>
      <c r="J575" s="55" t="n"/>
      <c r="K575" s="55" t="n"/>
      <c r="L575" s="55" t="n"/>
      <c r="M575" s="55" t="n"/>
      <c r="N575" s="67" t="n"/>
      <c r="O575" s="74" t="n"/>
      <c r="P575" s="74" t="n"/>
      <c r="Q575" s="74" t="n"/>
      <c r="R575" s="74" t="n"/>
      <c r="S575" s="70">
        <f>SUM(O575:R575)</f>
        <v/>
      </c>
      <c r="T575" s="72" t="n"/>
      <c r="U575" s="73" t="n"/>
      <c r="V575" s="74" t="n"/>
      <c r="W575" s="68" t="n"/>
      <c r="X575" s="74" t="n"/>
      <c r="Y575" s="72" t="n"/>
      <c r="Z575" s="74" t="n"/>
      <c r="AA575" s="74" t="n"/>
      <c r="AB575" s="74" t="n"/>
      <c r="AC575" s="68" t="n"/>
      <c r="AD575" s="73" t="n"/>
      <c r="AE575" s="75">
        <f>SUMIFS([1]инфо!$D$15:$D$28,[1]инфо!$A$15:$A$28,F575)</f>
        <v/>
      </c>
      <c r="AF575" s="62">
        <f>IF(H575=0,0,N575/H575)</f>
        <v/>
      </c>
      <c r="AG575" s="76">
        <f>AF575-AE575</f>
        <v/>
      </c>
      <c r="AH575" s="75">
        <f>SUMIFS([1]инфо!$E$15:$E$28,[1]инфо!$A$15:$A$28,F575)</f>
        <v/>
      </c>
      <c r="AI575" s="64">
        <f>IF(H575=0,0,S575/H575)</f>
        <v/>
      </c>
      <c r="AJ575" s="76">
        <f>AI575-AH575</f>
        <v/>
      </c>
      <c r="AK575" s="75">
        <f>SUMIFS([1]инфо!$F$15:$F$28,[1]инфо!$A$15:$A$28,F575)</f>
        <v/>
      </c>
      <c r="AL575" s="64">
        <f>IF(H575=0,0,Y575/H575)</f>
        <v/>
      </c>
      <c r="AM575" s="76">
        <f>AL575-AK575</f>
        <v/>
      </c>
      <c r="AN575" s="75">
        <f>SUMIFS([1]инфо!$G$15:$G$28,[1]инфо!$A$15:$A$28,F575)</f>
        <v/>
      </c>
      <c r="AO575" s="64">
        <f>IF(H575=0,0,AA575/H575)</f>
        <v/>
      </c>
      <c r="AP575" s="76">
        <f>AO575-AN575</f>
        <v/>
      </c>
      <c r="AQ575" s="75">
        <f>SUMIFS([1]инфо!$H$15:$H$28,[1]инфо!$A$15:$A$28,F575)</f>
        <v/>
      </c>
      <c r="AR575" s="64">
        <f>IF(H574=0,0,AC575/H574)</f>
        <v/>
      </c>
      <c r="AS575" s="76">
        <f>AR575-AQ575</f>
        <v/>
      </c>
      <c r="AT575" s="75">
        <f>SUMIFS([1]инфо!$I$15:$I$28,[1]инфо!$A$15:$A$28,F575)</f>
        <v/>
      </c>
      <c r="AU575" s="62">
        <f>IF(H575=0,0,AD575/H575)</f>
        <v/>
      </c>
      <c r="AV575" s="76">
        <f>AU575-AT575</f>
        <v/>
      </c>
      <c r="AX575" s="70">
        <f>SUMIFS([1]инфо!$C$15:$C$28,[1]инфо!$A$15:$A$28,F575)*H574</f>
        <v/>
      </c>
    </row>
    <row r="576">
      <c r="A576" s="71">
        <f>A574+1</f>
        <v/>
      </c>
      <c r="B576" s="90" t="n"/>
      <c r="C576" s="52" t="n"/>
      <c r="D576" s="53" t="n"/>
      <c r="E576" s="66" t="n"/>
      <c r="F576" s="67" t="n"/>
      <c r="G576" s="58" t="n"/>
      <c r="H576" s="55" t="n"/>
      <c r="I576" s="57">
        <f>IFERROR(H576*VLOOKUP(F576,[1]инфо!$A$15:$C$28,3,FALSE)/1000,0)</f>
        <v/>
      </c>
      <c r="J576" s="55" t="n"/>
      <c r="K576" s="55" t="n"/>
      <c r="L576" s="55" t="n"/>
      <c r="M576" s="55" t="n"/>
      <c r="N576" s="55" t="n"/>
      <c r="O576" s="58" t="n"/>
      <c r="P576" s="58" t="n"/>
      <c r="Q576" s="58" t="n"/>
      <c r="R576" s="58" t="n"/>
      <c r="S576" s="59">
        <f>SUM(O576:R576)</f>
        <v/>
      </c>
      <c r="T576" s="52" t="n"/>
      <c r="U576" s="53" t="n"/>
      <c r="V576" s="58" t="n"/>
      <c r="W576" s="68" t="n"/>
      <c r="X576" s="58" t="n"/>
      <c r="Y576" s="52" t="n"/>
      <c r="Z576" s="58" t="n"/>
      <c r="AA576" s="58" t="n"/>
      <c r="AB576" s="58" t="n"/>
      <c r="AC576" s="68" t="n"/>
      <c r="AD576" s="53" t="n"/>
      <c r="AE576" s="61">
        <f>SUMIFS([1]инфо!$D$15:$D$28,[1]инфо!$A$15:$A$28,F576)</f>
        <v/>
      </c>
      <c r="AF576" s="62">
        <f>IF(H576=0,0,N576/H576)</f>
        <v/>
      </c>
      <c r="AG576" s="63">
        <f>AF576-AE576</f>
        <v/>
      </c>
      <c r="AH576" s="61">
        <f>SUMIFS([1]инфо!$E$15:$E$28,[1]инфо!$A$15:$A$28,F576)</f>
        <v/>
      </c>
      <c r="AI576" s="64">
        <f>IF(H576=0,0,S576/H576)</f>
        <v/>
      </c>
      <c r="AJ576" s="63">
        <f>AI576-AH576</f>
        <v/>
      </c>
      <c r="AK576" s="61">
        <f>SUMIFS([1]инфо!$F$15:$F$28,[1]инфо!$A$15:$A$28,F576)</f>
        <v/>
      </c>
      <c r="AL576" s="64">
        <f>IF(H576=0,0,Y576/H576)</f>
        <v/>
      </c>
      <c r="AM576" s="63">
        <f>AL576-AK576</f>
        <v/>
      </c>
      <c r="AN576" s="61">
        <f>SUMIFS([1]инфо!$G$15:$G$28,[1]инфо!$A$15:$A$28,F576)</f>
        <v/>
      </c>
      <c r="AO576" s="64">
        <f>IF(H576=0,0,AA576/H576)</f>
        <v/>
      </c>
      <c r="AP576" s="63">
        <f>AO576-AN576</f>
        <v/>
      </c>
      <c r="AQ576" s="61">
        <f>SUMIFS([1]инфо!$H$15:$H$28,[1]инфо!$A$15:$A$28,F576)</f>
        <v/>
      </c>
      <c r="AR576" s="62">
        <f>IF(H575=0,0,AC576/H575)</f>
        <v/>
      </c>
      <c r="AS576" s="63">
        <f>AR576-AQ576</f>
        <v/>
      </c>
      <c r="AT576" s="61">
        <f>SUMIFS([1]инфо!$I$15:$I$28,[1]инфо!$A$15:$A$28,F576)</f>
        <v/>
      </c>
      <c r="AU576" s="62">
        <f>IF(H576=0,0,AD576/H576)</f>
        <v/>
      </c>
      <c r="AV576" s="63">
        <f>AU576-AT576</f>
        <v/>
      </c>
      <c r="AX576" s="59">
        <f>SUMIFS([1]инфо!$C$15:$C$28,[1]инфо!$A$15:$A$28,F576)*H575</f>
        <v/>
      </c>
    </row>
    <row r="577">
      <c r="A577" s="71">
        <f>A575+1</f>
        <v/>
      </c>
      <c r="B577" s="90" t="n"/>
      <c r="C577" s="52" t="n"/>
      <c r="D577" s="53" t="n"/>
      <c r="E577" s="66" t="n"/>
      <c r="F577" s="67" t="n"/>
      <c r="G577" s="58" t="n"/>
      <c r="H577" s="56" t="n"/>
      <c r="I577" s="57">
        <f>IFERROR(H577*VLOOKUP(F577,[1]инфо!$A$15:$C$28,3,FALSE)/1000,0)</f>
        <v/>
      </c>
      <c r="J577" s="55" t="n"/>
      <c r="K577" s="55" t="n"/>
      <c r="L577" s="55" t="n"/>
      <c r="M577" s="55" t="n"/>
      <c r="N577" s="55" t="n"/>
      <c r="O577" s="58" t="n"/>
      <c r="P577" s="58" t="n"/>
      <c r="Q577" s="58" t="n"/>
      <c r="R577" s="58" t="n"/>
      <c r="S577" s="59">
        <f>SUM(O577:R577)</f>
        <v/>
      </c>
      <c r="T577" s="52" t="n"/>
      <c r="U577" s="53" t="n"/>
      <c r="V577" s="58" t="n"/>
      <c r="W577" s="68" t="n"/>
      <c r="X577" s="58" t="n"/>
      <c r="Y577" s="52" t="n"/>
      <c r="Z577" s="58" t="n"/>
      <c r="AA577" s="58" t="n"/>
      <c r="AB577" s="58" t="n"/>
      <c r="AC577" s="68" t="n"/>
      <c r="AD577" s="53" t="n"/>
      <c r="AE577" s="61">
        <f>SUMIFS([1]инфо!$D$15:$D$28,[1]инфо!$A$15:$A$28,F577)</f>
        <v/>
      </c>
      <c r="AF577" s="62">
        <f>IF(H577=0,0,N577/H577)</f>
        <v/>
      </c>
      <c r="AG577" s="63">
        <f>AF577-AE577</f>
        <v/>
      </c>
      <c r="AH577" s="61">
        <f>SUMIFS([1]инфо!$E$15:$E$28,[1]инфо!$A$15:$A$28,F577)</f>
        <v/>
      </c>
      <c r="AI577" s="64">
        <f>IF(H577=0,0,S577/H577)</f>
        <v/>
      </c>
      <c r="AJ577" s="63">
        <f>AI577-AH577</f>
        <v/>
      </c>
      <c r="AK577" s="61">
        <f>SUMIFS([1]инфо!$F$15:$F$28,[1]инфо!$A$15:$A$28,F577)</f>
        <v/>
      </c>
      <c r="AL577" s="64">
        <f>IF(H577=0,0,Y577/H577)</f>
        <v/>
      </c>
      <c r="AM577" s="63">
        <f>AL577-AK577</f>
        <v/>
      </c>
      <c r="AN577" s="61">
        <f>SUMIFS([1]инфо!$G$15:$G$28,[1]инфо!$A$15:$A$28,F577)</f>
        <v/>
      </c>
      <c r="AO577" s="64">
        <f>IF(H577=0,0,AA577/H577)</f>
        <v/>
      </c>
      <c r="AP577" s="63">
        <f>AO577-AN577</f>
        <v/>
      </c>
      <c r="AQ577" s="61">
        <f>SUMIFS([1]инфо!$H$15:$H$28,[1]инфо!$A$15:$A$28,F577)</f>
        <v/>
      </c>
      <c r="AR577" s="62">
        <f>IF(H576=0,0,AC577/H576)</f>
        <v/>
      </c>
      <c r="AS577" s="63">
        <f>AR577-AQ577</f>
        <v/>
      </c>
      <c r="AT577" s="61">
        <f>SUMIFS([1]инфо!$I$15:$I$28,[1]инфо!$A$15:$A$28,F577)</f>
        <v/>
      </c>
      <c r="AU577" s="62">
        <f>IF(H577=0,0,AD577/H577)</f>
        <v/>
      </c>
      <c r="AV577" s="63">
        <f>AU577-AT577</f>
        <v/>
      </c>
      <c r="AX577" s="59">
        <f>SUMIFS([1]инфо!$C$15:$C$28,[1]инфо!$A$15:$A$28,F577)*H576</f>
        <v/>
      </c>
    </row>
    <row r="578">
      <c r="A578" s="71">
        <f>A576+1</f>
        <v/>
      </c>
      <c r="B578" s="88" t="n"/>
      <c r="C578" s="77" t="n"/>
      <c r="D578" s="78" t="n"/>
      <c r="E578" s="66" t="n"/>
      <c r="F578" s="67" t="n"/>
      <c r="G578" s="79" t="n"/>
      <c r="H578" s="67" t="n"/>
      <c r="I578" s="57">
        <f>IFERROR(H578*VLOOKUP(F578,[1]инфо!$A$15:$C$28,3,FALSE)/1000,0)</f>
        <v/>
      </c>
      <c r="J578" s="55" t="n"/>
      <c r="K578" s="55" t="n"/>
      <c r="L578" s="55" t="n"/>
      <c r="M578" s="55" t="n"/>
      <c r="N578" s="56" t="n"/>
      <c r="O578" s="79" t="n"/>
      <c r="P578" s="79" t="n"/>
      <c r="Q578" s="79" t="n"/>
      <c r="R578" s="79" t="n"/>
      <c r="S578" s="80">
        <f>SUM(O578:R578)</f>
        <v/>
      </c>
      <c r="T578" s="77" t="n"/>
      <c r="U578" s="78" t="n"/>
      <c r="V578" s="79" t="n"/>
      <c r="W578" s="68" t="n"/>
      <c r="X578" s="79" t="n"/>
      <c r="Y578" s="77" t="n"/>
      <c r="Z578" s="79" t="n"/>
      <c r="AA578" s="79" t="n"/>
      <c r="AB578" s="79" t="n"/>
      <c r="AC578" s="68" t="n"/>
      <c r="AD578" s="78" t="n"/>
      <c r="AE578" s="81">
        <f>SUMIFS([1]инфо!$D$15:$D$28,[1]инфо!$A$15:$A$28,F578)</f>
        <v/>
      </c>
      <c r="AF578" s="62">
        <f>IF(H578=0,0,N578/H578)</f>
        <v/>
      </c>
      <c r="AG578" s="82">
        <f>AF578-AE578</f>
        <v/>
      </c>
      <c r="AH578" s="81">
        <f>SUMIFS([1]инфо!$E$15:$E$28,[1]инфо!$A$15:$A$28,F578)</f>
        <v/>
      </c>
      <c r="AI578" s="64">
        <f>IF(H578=0,0,S578/H578)</f>
        <v/>
      </c>
      <c r="AJ578" s="82">
        <f>AI578-AH578</f>
        <v/>
      </c>
      <c r="AK578" s="81">
        <f>SUMIFS([1]инфо!$F$15:$F$28,[1]инфо!$A$15:$A$28,F578)</f>
        <v/>
      </c>
      <c r="AL578" s="64">
        <f>IF(H578=0,0,Y578/H578)</f>
        <v/>
      </c>
      <c r="AM578" s="82">
        <f>AL578-AK578</f>
        <v/>
      </c>
      <c r="AN578" s="81">
        <f>SUMIFS([1]инфо!$G$15:$G$28,[1]инфо!$A$15:$A$28,F578)</f>
        <v/>
      </c>
      <c r="AO578" s="64">
        <f>IF(H578=0,0,AA578/H578)</f>
        <v/>
      </c>
      <c r="AP578" s="82">
        <f>AO578-AN578</f>
        <v/>
      </c>
      <c r="AQ578" s="81">
        <f>SUMIFS([1]инфо!$H$15:$H$28,[1]инфо!$A$15:$A$28,F578)</f>
        <v/>
      </c>
      <c r="AR578" s="85">
        <f>IF(H577=0,0,AC578/H577)</f>
        <v/>
      </c>
      <c r="AS578" s="82">
        <f>AR578-AQ578</f>
        <v/>
      </c>
      <c r="AT578" s="81">
        <f>SUMIFS([1]инфо!$I$15:$I$28,[1]инфо!$A$15:$A$28,F578)</f>
        <v/>
      </c>
      <c r="AU578" s="62">
        <f>IF(H578=0,0,AD578/H578)</f>
        <v/>
      </c>
      <c r="AV578" s="82">
        <f>AU578-AT578</f>
        <v/>
      </c>
      <c r="AX578" s="80">
        <f>SUMIFS([1]инфо!$C$15:$C$28,[1]инфо!$A$15:$A$28,F578)*H577</f>
        <v/>
      </c>
    </row>
    <row r="579">
      <c r="A579" s="71">
        <f>A577+1</f>
        <v/>
      </c>
      <c r="B579" s="89" t="n"/>
      <c r="C579" s="72" t="n"/>
      <c r="D579" s="73" t="n"/>
      <c r="E579" s="66" t="n"/>
      <c r="F579" s="67" t="n"/>
      <c r="G579" s="74" t="n"/>
      <c r="H579" s="55" t="n"/>
      <c r="I579" s="57">
        <f>IFERROR(H579*VLOOKUP(F579,[1]инфо!$A$15:$C$28,3,FALSE)/1000,0)</f>
        <v/>
      </c>
      <c r="J579" s="55" t="n"/>
      <c r="K579" s="55" t="n"/>
      <c r="L579" s="55" t="n"/>
      <c r="M579" s="55" t="n"/>
      <c r="N579" s="67" t="n"/>
      <c r="O579" s="74" t="n"/>
      <c r="P579" s="74" t="n"/>
      <c r="Q579" s="74" t="n"/>
      <c r="R579" s="74" t="n"/>
      <c r="S579" s="70">
        <f>SUM(O579:R579)</f>
        <v/>
      </c>
      <c r="T579" s="72" t="n"/>
      <c r="U579" s="73" t="n"/>
      <c r="V579" s="74" t="n"/>
      <c r="W579" s="68" t="n"/>
      <c r="X579" s="74" t="n"/>
      <c r="Y579" s="72" t="n"/>
      <c r="Z579" s="74" t="n"/>
      <c r="AA579" s="74" t="n"/>
      <c r="AB579" s="74" t="n"/>
      <c r="AC579" s="68" t="n"/>
      <c r="AD579" s="73" t="n"/>
      <c r="AE579" s="75">
        <f>SUMIFS([1]инфо!$D$15:$D$28,[1]инфо!$A$15:$A$28,F579)</f>
        <v/>
      </c>
      <c r="AF579" s="62">
        <f>IF(H579=0,0,N579/H579)</f>
        <v/>
      </c>
      <c r="AG579" s="76">
        <f>AF579-AE579</f>
        <v/>
      </c>
      <c r="AH579" s="75">
        <f>SUMIFS([1]инфо!$E$15:$E$28,[1]инфо!$A$15:$A$28,F579)</f>
        <v/>
      </c>
      <c r="AI579" s="64">
        <f>IF(H579=0,0,S579/H579)</f>
        <v/>
      </c>
      <c r="AJ579" s="76">
        <f>AI579-AH579</f>
        <v/>
      </c>
      <c r="AK579" s="75">
        <f>SUMIFS([1]инфо!$F$15:$F$28,[1]инфо!$A$15:$A$28,F579)</f>
        <v/>
      </c>
      <c r="AL579" s="64">
        <f>IF(H579=0,0,Y579/H579)</f>
        <v/>
      </c>
      <c r="AM579" s="76">
        <f>AL579-AK579</f>
        <v/>
      </c>
      <c r="AN579" s="75">
        <f>SUMIFS([1]инфо!$G$15:$G$28,[1]инфо!$A$15:$A$28,F579)</f>
        <v/>
      </c>
      <c r="AO579" s="64">
        <f>IF(H579=0,0,AA579/H579)</f>
        <v/>
      </c>
      <c r="AP579" s="76">
        <f>AO579-AN579</f>
        <v/>
      </c>
      <c r="AQ579" s="75">
        <f>SUMIFS([1]инфо!$H$15:$H$28,[1]инфо!$A$15:$A$28,F579)</f>
        <v/>
      </c>
      <c r="AR579" s="64">
        <f>IF(H578=0,0,AC579/H578)</f>
        <v/>
      </c>
      <c r="AS579" s="76">
        <f>AR579-AQ579</f>
        <v/>
      </c>
      <c r="AT579" s="75">
        <f>SUMIFS([1]инфо!$I$15:$I$28,[1]инфо!$A$15:$A$28,F579)</f>
        <v/>
      </c>
      <c r="AU579" s="62">
        <f>IF(H579=0,0,AD579/H579)</f>
        <v/>
      </c>
      <c r="AV579" s="76">
        <f>AU579-AT579</f>
        <v/>
      </c>
      <c r="AX579" s="70">
        <f>SUMIFS([1]инфо!$C$15:$C$28,[1]инфо!$A$15:$A$28,F579)*H578</f>
        <v/>
      </c>
    </row>
    <row r="580">
      <c r="A580" s="71">
        <f>A578+1</f>
        <v/>
      </c>
      <c r="B580" s="90" t="n"/>
      <c r="C580" s="52" t="n"/>
      <c r="D580" s="53" t="n"/>
      <c r="E580" s="66" t="n"/>
      <c r="F580" s="67" t="n"/>
      <c r="G580" s="58" t="n"/>
      <c r="H580" s="55" t="n"/>
      <c r="I580" s="57">
        <f>IFERROR(H580*VLOOKUP(F580,[1]инфо!$A$15:$C$28,3,FALSE)/1000,0)</f>
        <v/>
      </c>
      <c r="J580" s="55" t="n"/>
      <c r="K580" s="55" t="n"/>
      <c r="L580" s="55" t="n"/>
      <c r="M580" s="55" t="n"/>
      <c r="N580" s="55" t="n"/>
      <c r="O580" s="58" t="n"/>
      <c r="P580" s="58" t="n"/>
      <c r="Q580" s="58" t="n"/>
      <c r="R580" s="58" t="n"/>
      <c r="S580" s="59">
        <f>SUM(O580:R580)</f>
        <v/>
      </c>
      <c r="T580" s="52" t="n"/>
      <c r="U580" s="53" t="n"/>
      <c r="V580" s="58" t="n"/>
      <c r="W580" s="68" t="n"/>
      <c r="X580" s="58" t="n"/>
      <c r="Y580" s="52" t="n"/>
      <c r="Z580" s="58" t="n"/>
      <c r="AA580" s="58" t="n"/>
      <c r="AB580" s="58" t="n"/>
      <c r="AC580" s="68" t="n"/>
      <c r="AD580" s="53" t="n"/>
      <c r="AE580" s="61">
        <f>SUMIFS([1]инфо!$D$15:$D$28,[1]инфо!$A$15:$A$28,F580)</f>
        <v/>
      </c>
      <c r="AF580" s="62">
        <f>IF(H580=0,0,N580/H580)</f>
        <v/>
      </c>
      <c r="AG580" s="63">
        <f>AF580-AE580</f>
        <v/>
      </c>
      <c r="AH580" s="61">
        <f>SUMIFS([1]инфо!$E$15:$E$28,[1]инфо!$A$15:$A$28,F580)</f>
        <v/>
      </c>
      <c r="AI580" s="64">
        <f>IF(H580=0,0,S580/H580)</f>
        <v/>
      </c>
      <c r="AJ580" s="63">
        <f>AI580-AH580</f>
        <v/>
      </c>
      <c r="AK580" s="61">
        <f>SUMIFS([1]инфо!$F$15:$F$28,[1]инфо!$A$15:$A$28,F580)</f>
        <v/>
      </c>
      <c r="AL580" s="64">
        <f>IF(H580=0,0,Y580/H580)</f>
        <v/>
      </c>
      <c r="AM580" s="63">
        <f>AL580-AK580</f>
        <v/>
      </c>
      <c r="AN580" s="61">
        <f>SUMIFS([1]инфо!$G$15:$G$28,[1]инфо!$A$15:$A$28,F580)</f>
        <v/>
      </c>
      <c r="AO580" s="64">
        <f>IF(H580=0,0,AA580/H580)</f>
        <v/>
      </c>
      <c r="AP580" s="63">
        <f>AO580-AN580</f>
        <v/>
      </c>
      <c r="AQ580" s="61">
        <f>SUMIFS([1]инфо!$H$15:$H$28,[1]инфо!$A$15:$A$28,F580)</f>
        <v/>
      </c>
      <c r="AR580" s="62">
        <f>IF(H579=0,0,AC580/H579)</f>
        <v/>
      </c>
      <c r="AS580" s="63">
        <f>AR580-AQ580</f>
        <v/>
      </c>
      <c r="AT580" s="61">
        <f>SUMIFS([1]инфо!$I$15:$I$28,[1]инфо!$A$15:$A$28,F580)</f>
        <v/>
      </c>
      <c r="AU580" s="62">
        <f>IF(H580=0,0,AD580/H580)</f>
        <v/>
      </c>
      <c r="AV580" s="63">
        <f>AU580-AT580</f>
        <v/>
      </c>
      <c r="AX580" s="59">
        <f>SUMIFS([1]инфо!$C$15:$C$28,[1]инфо!$A$15:$A$28,F580)*H579</f>
        <v/>
      </c>
    </row>
    <row r="581">
      <c r="A581" s="71">
        <f>A579+1</f>
        <v/>
      </c>
      <c r="B581" s="90" t="n"/>
      <c r="C581" s="52" t="n"/>
      <c r="D581" s="53" t="n"/>
      <c r="E581" s="66" t="n"/>
      <c r="F581" s="67" t="n"/>
      <c r="G581" s="58" t="n"/>
      <c r="H581" s="56" t="n"/>
      <c r="I581" s="57">
        <f>IFERROR(H581*VLOOKUP(F581,[1]инфо!$A$15:$C$28,3,FALSE)/1000,0)</f>
        <v/>
      </c>
      <c r="J581" s="55" t="n"/>
      <c r="K581" s="55" t="n"/>
      <c r="L581" s="55" t="n"/>
      <c r="M581" s="55" t="n"/>
      <c r="N581" s="55" t="n"/>
      <c r="O581" s="58" t="n"/>
      <c r="P581" s="58" t="n"/>
      <c r="Q581" s="58" t="n"/>
      <c r="R581" s="58" t="n"/>
      <c r="S581" s="59">
        <f>SUM(O581:R581)</f>
        <v/>
      </c>
      <c r="T581" s="52" t="n"/>
      <c r="U581" s="53" t="n"/>
      <c r="V581" s="58" t="n"/>
      <c r="W581" s="68" t="n"/>
      <c r="X581" s="58" t="n"/>
      <c r="Y581" s="52" t="n"/>
      <c r="Z581" s="58" t="n"/>
      <c r="AA581" s="58" t="n"/>
      <c r="AB581" s="58" t="n"/>
      <c r="AC581" s="68" t="n"/>
      <c r="AD581" s="53" t="n"/>
      <c r="AE581" s="61">
        <f>SUMIFS([1]инфо!$D$15:$D$28,[1]инфо!$A$15:$A$28,F581)</f>
        <v/>
      </c>
      <c r="AF581" s="62">
        <f>IF(H581=0,0,N581/H581)</f>
        <v/>
      </c>
      <c r="AG581" s="63">
        <f>AF581-AE581</f>
        <v/>
      </c>
      <c r="AH581" s="61">
        <f>SUMIFS([1]инфо!$E$15:$E$28,[1]инфо!$A$15:$A$28,F581)</f>
        <v/>
      </c>
      <c r="AI581" s="64">
        <f>IF(H581=0,0,S581/H581)</f>
        <v/>
      </c>
      <c r="AJ581" s="63">
        <f>AI581-AH581</f>
        <v/>
      </c>
      <c r="AK581" s="61">
        <f>SUMIFS([1]инфо!$F$15:$F$28,[1]инфо!$A$15:$A$28,F581)</f>
        <v/>
      </c>
      <c r="AL581" s="64">
        <f>IF(H581=0,0,Y581/H581)</f>
        <v/>
      </c>
      <c r="AM581" s="63">
        <f>AL581-AK581</f>
        <v/>
      </c>
      <c r="AN581" s="61">
        <f>SUMIFS([1]инфо!$G$15:$G$28,[1]инфо!$A$15:$A$28,F581)</f>
        <v/>
      </c>
      <c r="AO581" s="64">
        <f>IF(H581=0,0,AA581/H581)</f>
        <v/>
      </c>
      <c r="AP581" s="63">
        <f>AO581-AN581</f>
        <v/>
      </c>
      <c r="AQ581" s="61">
        <f>SUMIFS([1]инфо!$H$15:$H$28,[1]инфо!$A$15:$A$28,F581)</f>
        <v/>
      </c>
      <c r="AR581" s="62">
        <f>IF(H580=0,0,AC581/H580)</f>
        <v/>
      </c>
      <c r="AS581" s="63">
        <f>AR581-AQ581</f>
        <v/>
      </c>
      <c r="AT581" s="61">
        <f>SUMIFS([1]инфо!$I$15:$I$28,[1]инфо!$A$15:$A$28,F581)</f>
        <v/>
      </c>
      <c r="AU581" s="62">
        <f>IF(H581=0,0,AD581/H581)</f>
        <v/>
      </c>
      <c r="AV581" s="63">
        <f>AU581-AT581</f>
        <v/>
      </c>
      <c r="AX581" s="59">
        <f>SUMIFS([1]инфо!$C$15:$C$28,[1]инфо!$A$15:$A$28,F581)*H580</f>
        <v/>
      </c>
    </row>
    <row r="582">
      <c r="A582" s="71">
        <f>A580+1</f>
        <v/>
      </c>
      <c r="B582" s="88" t="n"/>
      <c r="C582" s="77" t="n"/>
      <c r="D582" s="78" t="n"/>
      <c r="E582" s="66" t="n"/>
      <c r="F582" s="67" t="n"/>
      <c r="G582" s="79" t="n"/>
      <c r="H582" s="67" t="n"/>
      <c r="I582" s="57">
        <f>IFERROR(H582*VLOOKUP(F582,[1]инфо!$A$15:$C$28,3,FALSE)/1000,0)</f>
        <v/>
      </c>
      <c r="J582" s="55" t="n"/>
      <c r="K582" s="55" t="n"/>
      <c r="L582" s="55" t="n"/>
      <c r="M582" s="55" t="n"/>
      <c r="N582" s="56" t="n"/>
      <c r="O582" s="79" t="n"/>
      <c r="P582" s="79" t="n"/>
      <c r="Q582" s="79" t="n"/>
      <c r="R582" s="79" t="n"/>
      <c r="S582" s="80">
        <f>SUM(O582:R582)</f>
        <v/>
      </c>
      <c r="T582" s="77" t="n"/>
      <c r="U582" s="78" t="n"/>
      <c r="V582" s="79" t="n"/>
      <c r="W582" s="68" t="n"/>
      <c r="X582" s="79" t="n"/>
      <c r="Y582" s="77" t="n"/>
      <c r="Z582" s="79" t="n"/>
      <c r="AA582" s="79" t="n"/>
      <c r="AB582" s="79" t="n"/>
      <c r="AC582" s="68" t="n"/>
      <c r="AD582" s="78" t="n"/>
      <c r="AE582" s="81">
        <f>SUMIFS([1]инфо!$D$15:$D$28,[1]инфо!$A$15:$A$28,F582)</f>
        <v/>
      </c>
      <c r="AF582" s="62">
        <f>IF(H582=0,0,N582/H582)</f>
        <v/>
      </c>
      <c r="AG582" s="82">
        <f>AF582-AE582</f>
        <v/>
      </c>
      <c r="AH582" s="81">
        <f>SUMIFS([1]инфо!$E$15:$E$28,[1]инфо!$A$15:$A$28,F582)</f>
        <v/>
      </c>
      <c r="AI582" s="64">
        <f>IF(H582=0,0,S582/H582)</f>
        <v/>
      </c>
      <c r="AJ582" s="82">
        <f>AI582-AH582</f>
        <v/>
      </c>
      <c r="AK582" s="81">
        <f>SUMIFS([1]инфо!$F$15:$F$28,[1]инфо!$A$15:$A$28,F582)</f>
        <v/>
      </c>
      <c r="AL582" s="64">
        <f>IF(H582=0,0,Y582/H582)</f>
        <v/>
      </c>
      <c r="AM582" s="82">
        <f>AL582-AK582</f>
        <v/>
      </c>
      <c r="AN582" s="81">
        <f>SUMIFS([1]инфо!$G$15:$G$28,[1]инфо!$A$15:$A$28,F582)</f>
        <v/>
      </c>
      <c r="AO582" s="64">
        <f>IF(H582=0,0,AA582/H582)</f>
        <v/>
      </c>
      <c r="AP582" s="82">
        <f>AO582-AN582</f>
        <v/>
      </c>
      <c r="AQ582" s="81">
        <f>SUMIFS([1]инфо!$H$15:$H$28,[1]инфо!$A$15:$A$28,F582)</f>
        <v/>
      </c>
      <c r="AR582" s="85">
        <f>IF(H581=0,0,AC582/H581)</f>
        <v/>
      </c>
      <c r="AS582" s="82">
        <f>AR582-AQ582</f>
        <v/>
      </c>
      <c r="AT582" s="81">
        <f>SUMIFS([1]инфо!$I$15:$I$28,[1]инфо!$A$15:$A$28,F582)</f>
        <v/>
      </c>
      <c r="AU582" s="62">
        <f>IF(H582=0,0,AD582/H582)</f>
        <v/>
      </c>
      <c r="AV582" s="82">
        <f>AU582-AT582</f>
        <v/>
      </c>
      <c r="AX582" s="80">
        <f>SUMIFS([1]инфо!$C$15:$C$28,[1]инфо!$A$15:$A$28,F582)*H581</f>
        <v/>
      </c>
    </row>
    <row r="583">
      <c r="A583" s="71">
        <f>A581+1</f>
        <v/>
      </c>
      <c r="B583" s="89" t="n"/>
      <c r="C583" s="72" t="n"/>
      <c r="D583" s="73" t="n"/>
      <c r="E583" s="66" t="n"/>
      <c r="F583" s="67" t="n"/>
      <c r="G583" s="74" t="n"/>
      <c r="H583" s="55" t="n"/>
      <c r="I583" s="57">
        <f>IFERROR(H583*VLOOKUP(F583,[1]инфо!$A$15:$C$28,3,FALSE)/1000,0)</f>
        <v/>
      </c>
      <c r="J583" s="55" t="n"/>
      <c r="K583" s="55" t="n"/>
      <c r="L583" s="55" t="n"/>
      <c r="M583" s="55" t="n"/>
      <c r="N583" s="67" t="n"/>
      <c r="O583" s="74" t="n"/>
      <c r="P583" s="74" t="n"/>
      <c r="Q583" s="74" t="n"/>
      <c r="R583" s="74" t="n"/>
      <c r="S583" s="70">
        <f>SUM(O583:R583)</f>
        <v/>
      </c>
      <c r="T583" s="72" t="n"/>
      <c r="U583" s="73" t="n"/>
      <c r="V583" s="74" t="n"/>
      <c r="W583" s="68" t="n"/>
      <c r="X583" s="74" t="n"/>
      <c r="Y583" s="72" t="n"/>
      <c r="Z583" s="74" t="n"/>
      <c r="AA583" s="74" t="n"/>
      <c r="AB583" s="74" t="n"/>
      <c r="AC583" s="68" t="n"/>
      <c r="AD583" s="73" t="n"/>
      <c r="AE583" s="75">
        <f>SUMIFS([1]инфо!$D$15:$D$28,[1]инфо!$A$15:$A$28,F583)</f>
        <v/>
      </c>
      <c r="AF583" s="62">
        <f>IF(H583=0,0,N583/H583)</f>
        <v/>
      </c>
      <c r="AG583" s="76">
        <f>AF583-AE583</f>
        <v/>
      </c>
      <c r="AH583" s="75">
        <f>SUMIFS([1]инфо!$E$15:$E$28,[1]инфо!$A$15:$A$28,F583)</f>
        <v/>
      </c>
      <c r="AI583" s="64">
        <f>IF(H583=0,0,S583/H583)</f>
        <v/>
      </c>
      <c r="AJ583" s="76">
        <f>AI583-AH583</f>
        <v/>
      </c>
      <c r="AK583" s="75">
        <f>SUMIFS([1]инфо!$F$15:$F$28,[1]инфо!$A$15:$A$28,F583)</f>
        <v/>
      </c>
      <c r="AL583" s="64">
        <f>IF(H583=0,0,Y583/H583)</f>
        <v/>
      </c>
      <c r="AM583" s="76">
        <f>AL583-AK583</f>
        <v/>
      </c>
      <c r="AN583" s="75">
        <f>SUMIFS([1]инфо!$G$15:$G$28,[1]инфо!$A$15:$A$28,F583)</f>
        <v/>
      </c>
      <c r="AO583" s="64">
        <f>IF(H583=0,0,AA583/H583)</f>
        <v/>
      </c>
      <c r="AP583" s="76">
        <f>AO583-AN583</f>
        <v/>
      </c>
      <c r="AQ583" s="75">
        <f>SUMIFS([1]инфо!$H$15:$H$28,[1]инфо!$A$15:$A$28,F583)</f>
        <v/>
      </c>
      <c r="AR583" s="64">
        <f>IF(H582=0,0,AC583/H582)</f>
        <v/>
      </c>
      <c r="AS583" s="76">
        <f>AR583-AQ583</f>
        <v/>
      </c>
      <c r="AT583" s="75">
        <f>SUMIFS([1]инфо!$I$15:$I$28,[1]инфо!$A$15:$A$28,F583)</f>
        <v/>
      </c>
      <c r="AU583" s="62">
        <f>IF(H583=0,0,AD583/H583)</f>
        <v/>
      </c>
      <c r="AV583" s="76">
        <f>AU583-AT583</f>
        <v/>
      </c>
      <c r="AX583" s="70">
        <f>SUMIFS([1]инфо!$C$15:$C$28,[1]инфо!$A$15:$A$28,F583)*H582</f>
        <v/>
      </c>
    </row>
    <row r="584">
      <c r="A584" s="71">
        <f>A582+1</f>
        <v/>
      </c>
      <c r="B584" s="90" t="n"/>
      <c r="C584" s="52" t="n"/>
      <c r="D584" s="53" t="n"/>
      <c r="E584" s="66" t="n"/>
      <c r="F584" s="67" t="n"/>
      <c r="G584" s="58" t="n"/>
      <c r="H584" s="55" t="n"/>
      <c r="I584" s="57">
        <f>IFERROR(H584*VLOOKUP(F584,[1]инфо!$A$15:$C$28,3,FALSE)/1000,0)</f>
        <v/>
      </c>
      <c r="J584" s="55" t="n"/>
      <c r="K584" s="55" t="n"/>
      <c r="L584" s="55" t="n"/>
      <c r="M584" s="55" t="n"/>
      <c r="N584" s="55" t="n"/>
      <c r="O584" s="58" t="n"/>
      <c r="P584" s="58" t="n"/>
      <c r="Q584" s="58" t="n"/>
      <c r="R584" s="58" t="n"/>
      <c r="S584" s="59">
        <f>SUM(O584:R584)</f>
        <v/>
      </c>
      <c r="T584" s="52" t="n"/>
      <c r="U584" s="53" t="n"/>
      <c r="V584" s="58" t="n"/>
      <c r="W584" s="68" t="n"/>
      <c r="X584" s="58" t="n"/>
      <c r="Y584" s="52" t="n"/>
      <c r="Z584" s="58" t="n"/>
      <c r="AA584" s="58" t="n"/>
      <c r="AB584" s="58" t="n"/>
      <c r="AC584" s="68" t="n"/>
      <c r="AD584" s="53" t="n"/>
      <c r="AE584" s="61">
        <f>SUMIFS([1]инфо!$D$15:$D$28,[1]инфо!$A$15:$A$28,F584)</f>
        <v/>
      </c>
      <c r="AF584" s="62">
        <f>IF(H584=0,0,N584/H584)</f>
        <v/>
      </c>
      <c r="AG584" s="63">
        <f>AF584-AE584</f>
        <v/>
      </c>
      <c r="AH584" s="61">
        <f>SUMIFS([1]инфо!$E$15:$E$28,[1]инфо!$A$15:$A$28,F584)</f>
        <v/>
      </c>
      <c r="AI584" s="64">
        <f>IF(H584=0,0,S584/H584)</f>
        <v/>
      </c>
      <c r="AJ584" s="63">
        <f>AI584-AH584</f>
        <v/>
      </c>
      <c r="AK584" s="61">
        <f>SUMIFS([1]инфо!$F$15:$F$28,[1]инфо!$A$15:$A$28,F584)</f>
        <v/>
      </c>
      <c r="AL584" s="64">
        <f>IF(H584=0,0,Y584/H584)</f>
        <v/>
      </c>
      <c r="AM584" s="63">
        <f>AL584-AK584</f>
        <v/>
      </c>
      <c r="AN584" s="61">
        <f>SUMIFS([1]инфо!$G$15:$G$28,[1]инфо!$A$15:$A$28,F584)</f>
        <v/>
      </c>
      <c r="AO584" s="64">
        <f>IF(H584=0,0,AA584/H584)</f>
        <v/>
      </c>
      <c r="AP584" s="63">
        <f>AO584-AN584</f>
        <v/>
      </c>
      <c r="AQ584" s="61">
        <f>SUMIFS([1]инфо!$H$15:$H$28,[1]инфо!$A$15:$A$28,F584)</f>
        <v/>
      </c>
      <c r="AR584" s="62">
        <f>IF(H583=0,0,AC584/H583)</f>
        <v/>
      </c>
      <c r="AS584" s="63">
        <f>AR584-AQ584</f>
        <v/>
      </c>
      <c r="AT584" s="61">
        <f>SUMIFS([1]инфо!$I$15:$I$28,[1]инфо!$A$15:$A$28,F584)</f>
        <v/>
      </c>
      <c r="AU584" s="62">
        <f>IF(H584=0,0,AD584/H584)</f>
        <v/>
      </c>
      <c r="AV584" s="63">
        <f>AU584-AT584</f>
        <v/>
      </c>
      <c r="AX584" s="59">
        <f>SUMIFS([1]инфо!$C$15:$C$28,[1]инфо!$A$15:$A$28,F584)*H583</f>
        <v/>
      </c>
    </row>
    <row r="585">
      <c r="A585" s="71">
        <f>A583+1</f>
        <v/>
      </c>
      <c r="B585" s="90" t="n"/>
      <c r="C585" s="52" t="n"/>
      <c r="D585" s="53" t="n"/>
      <c r="E585" s="66" t="n"/>
      <c r="F585" s="67" t="n"/>
      <c r="G585" s="58" t="n"/>
      <c r="H585" s="56" t="n"/>
      <c r="I585" s="57">
        <f>IFERROR(H585*VLOOKUP(F585,[1]инфо!$A$15:$C$28,3,FALSE)/1000,0)</f>
        <v/>
      </c>
      <c r="J585" s="55" t="n"/>
      <c r="K585" s="55" t="n"/>
      <c r="L585" s="55" t="n"/>
      <c r="M585" s="55" t="n"/>
      <c r="N585" s="55" t="n"/>
      <c r="O585" s="58" t="n"/>
      <c r="P585" s="58" t="n"/>
      <c r="Q585" s="58" t="n"/>
      <c r="R585" s="58" t="n"/>
      <c r="S585" s="59">
        <f>SUM(O585:R585)</f>
        <v/>
      </c>
      <c r="T585" s="52" t="n"/>
      <c r="U585" s="53" t="n"/>
      <c r="V585" s="58" t="n"/>
      <c r="W585" s="68" t="n"/>
      <c r="X585" s="58" t="n"/>
      <c r="Y585" s="52" t="n"/>
      <c r="Z585" s="58" t="n"/>
      <c r="AA585" s="58" t="n"/>
      <c r="AB585" s="58" t="n"/>
      <c r="AC585" s="68" t="n"/>
      <c r="AD585" s="53" t="n"/>
      <c r="AE585" s="61">
        <f>SUMIFS([1]инфо!$D$15:$D$28,[1]инфо!$A$15:$A$28,F585)</f>
        <v/>
      </c>
      <c r="AF585" s="62">
        <f>IF(H585=0,0,N585/H585)</f>
        <v/>
      </c>
      <c r="AG585" s="63">
        <f>AF585-AE585</f>
        <v/>
      </c>
      <c r="AH585" s="61">
        <f>SUMIFS([1]инфо!$E$15:$E$28,[1]инфо!$A$15:$A$28,F585)</f>
        <v/>
      </c>
      <c r="AI585" s="64">
        <f>IF(H585=0,0,S585/H585)</f>
        <v/>
      </c>
      <c r="AJ585" s="63">
        <f>AI585-AH585</f>
        <v/>
      </c>
      <c r="AK585" s="61">
        <f>SUMIFS([1]инфо!$F$15:$F$28,[1]инфо!$A$15:$A$28,F585)</f>
        <v/>
      </c>
      <c r="AL585" s="64">
        <f>IF(H585=0,0,Y585/H585)</f>
        <v/>
      </c>
      <c r="AM585" s="63">
        <f>AL585-AK585</f>
        <v/>
      </c>
      <c r="AN585" s="61">
        <f>SUMIFS([1]инфо!$G$15:$G$28,[1]инфо!$A$15:$A$28,F585)</f>
        <v/>
      </c>
      <c r="AO585" s="64">
        <f>IF(H585=0,0,AA585/H585)</f>
        <v/>
      </c>
      <c r="AP585" s="63">
        <f>AO585-AN585</f>
        <v/>
      </c>
      <c r="AQ585" s="61">
        <f>SUMIFS([1]инфо!$H$15:$H$28,[1]инфо!$A$15:$A$28,F585)</f>
        <v/>
      </c>
      <c r="AR585" s="62">
        <f>IF(H584=0,0,AC585/H584)</f>
        <v/>
      </c>
      <c r="AS585" s="63">
        <f>AR585-AQ585</f>
        <v/>
      </c>
      <c r="AT585" s="61">
        <f>SUMIFS([1]инфо!$I$15:$I$28,[1]инфо!$A$15:$A$28,F585)</f>
        <v/>
      </c>
      <c r="AU585" s="62">
        <f>IF(H585=0,0,AD585/H585)</f>
        <v/>
      </c>
      <c r="AV585" s="63">
        <f>AU585-AT585</f>
        <v/>
      </c>
      <c r="AX585" s="59">
        <f>SUMIFS([1]инфо!$C$15:$C$28,[1]инфо!$A$15:$A$28,F585)*H584</f>
        <v/>
      </c>
    </row>
    <row r="586">
      <c r="A586" s="71">
        <f>A584+1</f>
        <v/>
      </c>
      <c r="B586" s="88" t="n"/>
      <c r="C586" s="77" t="n"/>
      <c r="D586" s="78" t="n"/>
      <c r="E586" s="66" t="n"/>
      <c r="F586" s="67" t="n"/>
      <c r="G586" s="79" t="n"/>
      <c r="H586" s="67" t="n"/>
      <c r="I586" s="57">
        <f>IFERROR(H586*VLOOKUP(F586,[1]инфо!$A$15:$C$28,3,FALSE)/1000,0)</f>
        <v/>
      </c>
      <c r="J586" s="55" t="n"/>
      <c r="K586" s="55" t="n"/>
      <c r="L586" s="55" t="n"/>
      <c r="M586" s="55" t="n"/>
      <c r="N586" s="56" t="n"/>
      <c r="O586" s="79" t="n"/>
      <c r="P586" s="79" t="n"/>
      <c r="Q586" s="79" t="n"/>
      <c r="R586" s="79" t="n"/>
      <c r="S586" s="80">
        <f>SUM(O586:R586)</f>
        <v/>
      </c>
      <c r="T586" s="77" t="n"/>
      <c r="U586" s="78" t="n"/>
      <c r="V586" s="79" t="n"/>
      <c r="W586" s="68" t="n"/>
      <c r="X586" s="79" t="n"/>
      <c r="Y586" s="77" t="n"/>
      <c r="Z586" s="79" t="n"/>
      <c r="AA586" s="79" t="n"/>
      <c r="AB586" s="79" t="n"/>
      <c r="AC586" s="68" t="n"/>
      <c r="AD586" s="78" t="n"/>
      <c r="AE586" s="81">
        <f>SUMIFS([1]инфо!$D$15:$D$28,[1]инфо!$A$15:$A$28,F586)</f>
        <v/>
      </c>
      <c r="AF586" s="62">
        <f>IF(H586=0,0,N586/H586)</f>
        <v/>
      </c>
      <c r="AG586" s="82">
        <f>AF586-AE586</f>
        <v/>
      </c>
      <c r="AH586" s="81">
        <f>SUMIFS([1]инфо!$E$15:$E$28,[1]инфо!$A$15:$A$28,F586)</f>
        <v/>
      </c>
      <c r="AI586" s="64">
        <f>IF(H586=0,0,S586/H586)</f>
        <v/>
      </c>
      <c r="AJ586" s="82">
        <f>AI586-AH586</f>
        <v/>
      </c>
      <c r="AK586" s="81">
        <f>SUMIFS([1]инфо!$F$15:$F$28,[1]инфо!$A$15:$A$28,F586)</f>
        <v/>
      </c>
      <c r="AL586" s="64">
        <f>IF(H586=0,0,Y586/H586)</f>
        <v/>
      </c>
      <c r="AM586" s="82">
        <f>AL586-AK586</f>
        <v/>
      </c>
      <c r="AN586" s="81">
        <f>SUMIFS([1]инфо!$G$15:$G$28,[1]инфо!$A$15:$A$28,F586)</f>
        <v/>
      </c>
      <c r="AO586" s="64">
        <f>IF(H586=0,0,AA586/H586)</f>
        <v/>
      </c>
      <c r="AP586" s="82">
        <f>AO586-AN586</f>
        <v/>
      </c>
      <c r="AQ586" s="81">
        <f>SUMIFS([1]инфо!$H$15:$H$28,[1]инфо!$A$15:$A$28,F586)</f>
        <v/>
      </c>
      <c r="AR586" s="85">
        <f>IF(H585=0,0,AC586/H585)</f>
        <v/>
      </c>
      <c r="AS586" s="82">
        <f>AR586-AQ586</f>
        <v/>
      </c>
      <c r="AT586" s="81">
        <f>SUMIFS([1]инфо!$I$15:$I$28,[1]инфо!$A$15:$A$28,F586)</f>
        <v/>
      </c>
      <c r="AU586" s="62">
        <f>IF(H586=0,0,AD586/H586)</f>
        <v/>
      </c>
      <c r="AV586" s="82">
        <f>AU586-AT586</f>
        <v/>
      </c>
      <c r="AX586" s="80">
        <f>SUMIFS([1]инфо!$C$15:$C$28,[1]инфо!$A$15:$A$28,F586)*H585</f>
        <v/>
      </c>
    </row>
    <row r="587">
      <c r="A587" s="71">
        <f>A585+1</f>
        <v/>
      </c>
      <c r="B587" s="89" t="n"/>
      <c r="C587" s="72" t="n"/>
      <c r="D587" s="73" t="n"/>
      <c r="E587" s="66" t="n"/>
      <c r="F587" s="67" t="n"/>
      <c r="G587" s="74" t="n"/>
      <c r="H587" s="55" t="n"/>
      <c r="I587" s="57">
        <f>IFERROR(H587*VLOOKUP(F587,[1]инфо!$A$15:$C$28,3,FALSE)/1000,0)</f>
        <v/>
      </c>
      <c r="J587" s="55" t="n"/>
      <c r="K587" s="55" t="n"/>
      <c r="L587" s="55" t="n"/>
      <c r="M587" s="55" t="n"/>
      <c r="N587" s="67" t="n"/>
      <c r="O587" s="74" t="n"/>
      <c r="P587" s="74" t="n"/>
      <c r="Q587" s="74" t="n"/>
      <c r="R587" s="74" t="n"/>
      <c r="S587" s="70">
        <f>SUM(O587:R587)</f>
        <v/>
      </c>
      <c r="T587" s="72" t="n"/>
      <c r="U587" s="73" t="n"/>
      <c r="V587" s="74" t="n"/>
      <c r="W587" s="68" t="n"/>
      <c r="X587" s="74" t="n"/>
      <c r="Y587" s="72" t="n"/>
      <c r="Z587" s="74" t="n"/>
      <c r="AA587" s="74" t="n"/>
      <c r="AB587" s="74" t="n"/>
      <c r="AC587" s="68" t="n"/>
      <c r="AD587" s="73" t="n"/>
      <c r="AE587" s="75">
        <f>SUMIFS([1]инфо!$D$15:$D$28,[1]инфо!$A$15:$A$28,F587)</f>
        <v/>
      </c>
      <c r="AF587" s="62">
        <f>IF(H587=0,0,N587/H587)</f>
        <v/>
      </c>
      <c r="AG587" s="76">
        <f>AF587-AE587</f>
        <v/>
      </c>
      <c r="AH587" s="75">
        <f>SUMIFS([1]инфо!$E$15:$E$28,[1]инфо!$A$15:$A$28,F587)</f>
        <v/>
      </c>
      <c r="AI587" s="64">
        <f>IF(H587=0,0,S587/H587)</f>
        <v/>
      </c>
      <c r="AJ587" s="76">
        <f>AI587-AH587</f>
        <v/>
      </c>
      <c r="AK587" s="75">
        <f>SUMIFS([1]инфо!$F$15:$F$28,[1]инфо!$A$15:$A$28,F587)</f>
        <v/>
      </c>
      <c r="AL587" s="64">
        <f>IF(H587=0,0,Y587/H587)</f>
        <v/>
      </c>
      <c r="AM587" s="76">
        <f>AL587-AK587</f>
        <v/>
      </c>
      <c r="AN587" s="75">
        <f>SUMIFS([1]инфо!$G$15:$G$28,[1]инфо!$A$15:$A$28,F587)</f>
        <v/>
      </c>
      <c r="AO587" s="64">
        <f>IF(H587=0,0,AA587/H587)</f>
        <v/>
      </c>
      <c r="AP587" s="76">
        <f>AO587-AN587</f>
        <v/>
      </c>
      <c r="AQ587" s="75">
        <f>SUMIFS([1]инфо!$H$15:$H$28,[1]инфо!$A$15:$A$28,F587)</f>
        <v/>
      </c>
      <c r="AR587" s="64">
        <f>IF(H586=0,0,AC587/H586)</f>
        <v/>
      </c>
      <c r="AS587" s="76">
        <f>AR587-AQ587</f>
        <v/>
      </c>
      <c r="AT587" s="75">
        <f>SUMIFS([1]инфо!$I$15:$I$28,[1]инфо!$A$15:$A$28,F587)</f>
        <v/>
      </c>
      <c r="AU587" s="62">
        <f>IF(H587=0,0,AD587/H587)</f>
        <v/>
      </c>
      <c r="AV587" s="76">
        <f>AU587-AT587</f>
        <v/>
      </c>
      <c r="AX587" s="70">
        <f>SUMIFS([1]инфо!$C$15:$C$28,[1]инфо!$A$15:$A$28,F587)*H586</f>
        <v/>
      </c>
    </row>
    <row r="588">
      <c r="A588" s="71">
        <f>A586+1</f>
        <v/>
      </c>
      <c r="B588" s="90" t="n"/>
      <c r="C588" s="52" t="n"/>
      <c r="D588" s="53" t="n"/>
      <c r="E588" s="66" t="n"/>
      <c r="F588" s="67" t="n"/>
      <c r="G588" s="58" t="n"/>
      <c r="H588" s="55" t="n"/>
      <c r="I588" s="57">
        <f>IFERROR(H588*VLOOKUP(F588,[1]инфо!$A$15:$C$28,3,FALSE)/1000,0)</f>
        <v/>
      </c>
      <c r="J588" s="55" t="n"/>
      <c r="K588" s="55" t="n"/>
      <c r="L588" s="55" t="n"/>
      <c r="M588" s="55" t="n"/>
      <c r="N588" s="55" t="n"/>
      <c r="O588" s="58" t="n"/>
      <c r="P588" s="58" t="n"/>
      <c r="Q588" s="58" t="n"/>
      <c r="R588" s="58" t="n"/>
      <c r="S588" s="59">
        <f>SUM(O588:R588)</f>
        <v/>
      </c>
      <c r="T588" s="52" t="n"/>
      <c r="U588" s="53" t="n"/>
      <c r="V588" s="58" t="n"/>
      <c r="W588" s="68" t="n"/>
      <c r="X588" s="58" t="n"/>
      <c r="Y588" s="52" t="n"/>
      <c r="Z588" s="58" t="n"/>
      <c r="AA588" s="58" t="n"/>
      <c r="AB588" s="58" t="n"/>
      <c r="AC588" s="68" t="n"/>
      <c r="AD588" s="53" t="n"/>
      <c r="AE588" s="61">
        <f>SUMIFS([1]инфо!$D$15:$D$28,[1]инфо!$A$15:$A$28,F588)</f>
        <v/>
      </c>
      <c r="AF588" s="62">
        <f>IF(H588=0,0,N588/H588)</f>
        <v/>
      </c>
      <c r="AG588" s="63">
        <f>AF588-AE588</f>
        <v/>
      </c>
      <c r="AH588" s="61">
        <f>SUMIFS([1]инфо!$E$15:$E$28,[1]инфо!$A$15:$A$28,F588)</f>
        <v/>
      </c>
      <c r="AI588" s="64">
        <f>IF(H588=0,0,S588/H588)</f>
        <v/>
      </c>
      <c r="AJ588" s="63">
        <f>AI588-AH588</f>
        <v/>
      </c>
      <c r="AK588" s="61">
        <f>SUMIFS([1]инфо!$F$15:$F$28,[1]инфо!$A$15:$A$28,F588)</f>
        <v/>
      </c>
      <c r="AL588" s="64">
        <f>IF(H588=0,0,Y588/H588)</f>
        <v/>
      </c>
      <c r="AM588" s="63">
        <f>AL588-AK588</f>
        <v/>
      </c>
      <c r="AN588" s="61">
        <f>SUMIFS([1]инфо!$G$15:$G$28,[1]инфо!$A$15:$A$28,F588)</f>
        <v/>
      </c>
      <c r="AO588" s="64">
        <f>IF(H588=0,0,AA588/H588)</f>
        <v/>
      </c>
      <c r="AP588" s="63">
        <f>AO588-AN588</f>
        <v/>
      </c>
      <c r="AQ588" s="61">
        <f>SUMIFS([1]инфо!$H$15:$H$28,[1]инфо!$A$15:$A$28,F588)</f>
        <v/>
      </c>
      <c r="AR588" s="62">
        <f>IF(H587=0,0,AC588/H587)</f>
        <v/>
      </c>
      <c r="AS588" s="63">
        <f>AR588-AQ588</f>
        <v/>
      </c>
      <c r="AT588" s="61">
        <f>SUMIFS([1]инфо!$I$15:$I$28,[1]инфо!$A$15:$A$28,F588)</f>
        <v/>
      </c>
      <c r="AU588" s="62">
        <f>IF(H588=0,0,AD588/H588)</f>
        <v/>
      </c>
      <c r="AV588" s="63">
        <f>AU588-AT588</f>
        <v/>
      </c>
      <c r="AX588" s="59">
        <f>SUMIFS([1]инфо!$C$15:$C$28,[1]инфо!$A$15:$A$28,F588)*H587</f>
        <v/>
      </c>
    </row>
    <row r="589">
      <c r="A589" s="71">
        <f>A587+1</f>
        <v/>
      </c>
      <c r="B589" s="90" t="n"/>
      <c r="C589" s="52" t="n"/>
      <c r="D589" s="53" t="n"/>
      <c r="E589" s="66" t="n"/>
      <c r="F589" s="67" t="n"/>
      <c r="G589" s="58" t="n"/>
      <c r="H589" s="56" t="n"/>
      <c r="I589" s="57">
        <f>IFERROR(H589*VLOOKUP(F589,[1]инфо!$A$15:$C$28,3,FALSE)/1000,0)</f>
        <v/>
      </c>
      <c r="J589" s="55" t="n"/>
      <c r="K589" s="55" t="n"/>
      <c r="L589" s="55" t="n"/>
      <c r="M589" s="55" t="n"/>
      <c r="N589" s="55" t="n"/>
      <c r="O589" s="58" t="n"/>
      <c r="P589" s="58" t="n"/>
      <c r="Q589" s="58" t="n"/>
      <c r="R589" s="58" t="n"/>
      <c r="S589" s="59">
        <f>SUM(O589:R589)</f>
        <v/>
      </c>
      <c r="T589" s="52" t="n"/>
      <c r="U589" s="53" t="n"/>
      <c r="V589" s="58" t="n"/>
      <c r="W589" s="68" t="n"/>
      <c r="X589" s="58" t="n"/>
      <c r="Y589" s="52" t="n"/>
      <c r="Z589" s="58" t="n"/>
      <c r="AA589" s="58" t="n"/>
      <c r="AB589" s="58" t="n"/>
      <c r="AC589" s="68" t="n"/>
      <c r="AD589" s="53" t="n"/>
      <c r="AE589" s="61">
        <f>SUMIFS([1]инфо!$D$15:$D$28,[1]инфо!$A$15:$A$28,F589)</f>
        <v/>
      </c>
      <c r="AF589" s="62">
        <f>IF(H589=0,0,N589/H589)</f>
        <v/>
      </c>
      <c r="AG589" s="63">
        <f>AF589-AE589</f>
        <v/>
      </c>
      <c r="AH589" s="61">
        <f>SUMIFS([1]инфо!$E$15:$E$28,[1]инфо!$A$15:$A$28,F589)</f>
        <v/>
      </c>
      <c r="AI589" s="64">
        <f>IF(H589=0,0,S589/H589)</f>
        <v/>
      </c>
      <c r="AJ589" s="63">
        <f>AI589-AH589</f>
        <v/>
      </c>
      <c r="AK589" s="61">
        <f>SUMIFS([1]инфо!$F$15:$F$28,[1]инфо!$A$15:$A$28,F589)</f>
        <v/>
      </c>
      <c r="AL589" s="64">
        <f>IF(H589=0,0,Y589/H589)</f>
        <v/>
      </c>
      <c r="AM589" s="63">
        <f>AL589-AK589</f>
        <v/>
      </c>
      <c r="AN589" s="61">
        <f>SUMIFS([1]инфо!$G$15:$G$28,[1]инфо!$A$15:$A$28,F589)</f>
        <v/>
      </c>
      <c r="AO589" s="64">
        <f>IF(H589=0,0,AA589/H589)</f>
        <v/>
      </c>
      <c r="AP589" s="63">
        <f>AO589-AN589</f>
        <v/>
      </c>
      <c r="AQ589" s="61">
        <f>SUMIFS([1]инфо!$H$15:$H$28,[1]инфо!$A$15:$A$28,F589)</f>
        <v/>
      </c>
      <c r="AR589" s="62">
        <f>IF(H588=0,0,AC589/H588)</f>
        <v/>
      </c>
      <c r="AS589" s="63">
        <f>AR589-AQ589</f>
        <v/>
      </c>
      <c r="AT589" s="61">
        <f>SUMIFS([1]инфо!$I$15:$I$28,[1]инфо!$A$15:$A$28,F589)</f>
        <v/>
      </c>
      <c r="AU589" s="62">
        <f>IF(H589=0,0,AD589/H589)</f>
        <v/>
      </c>
      <c r="AV589" s="63">
        <f>AU589-AT589</f>
        <v/>
      </c>
      <c r="AX589" s="59">
        <f>SUMIFS([1]инфо!$C$15:$C$28,[1]инфо!$A$15:$A$28,F589)*H588</f>
        <v/>
      </c>
    </row>
    <row r="590">
      <c r="A590" s="71">
        <f>A588+1</f>
        <v/>
      </c>
      <c r="B590" s="88" t="n"/>
      <c r="C590" s="77" t="n"/>
      <c r="D590" s="78" t="n"/>
      <c r="E590" s="66" t="n"/>
      <c r="F590" s="67" t="n"/>
      <c r="G590" s="79" t="n"/>
      <c r="H590" s="67" t="n"/>
      <c r="I590" s="57">
        <f>IFERROR(H590*VLOOKUP(F590,[1]инфо!$A$15:$C$28,3,FALSE)/1000,0)</f>
        <v/>
      </c>
      <c r="J590" s="55" t="n"/>
      <c r="K590" s="55" t="n"/>
      <c r="L590" s="55" t="n"/>
      <c r="M590" s="55" t="n"/>
      <c r="N590" s="56" t="n"/>
      <c r="O590" s="79" t="n"/>
      <c r="P590" s="79" t="n"/>
      <c r="Q590" s="79" t="n"/>
      <c r="R590" s="79" t="n"/>
      <c r="S590" s="80">
        <f>SUM(O590:R590)</f>
        <v/>
      </c>
      <c r="T590" s="77" t="n"/>
      <c r="U590" s="78" t="n"/>
      <c r="V590" s="79" t="n"/>
      <c r="W590" s="68" t="n"/>
      <c r="X590" s="79" t="n"/>
      <c r="Y590" s="77" t="n"/>
      <c r="Z590" s="79" t="n"/>
      <c r="AA590" s="79" t="n"/>
      <c r="AB590" s="79" t="n"/>
      <c r="AC590" s="68" t="n"/>
      <c r="AD590" s="78" t="n"/>
      <c r="AE590" s="81">
        <f>SUMIFS([1]инфо!$D$15:$D$28,[1]инфо!$A$15:$A$28,F590)</f>
        <v/>
      </c>
      <c r="AF590" s="62">
        <f>IF(H590=0,0,N590/H590)</f>
        <v/>
      </c>
      <c r="AG590" s="82">
        <f>AF590-AE590</f>
        <v/>
      </c>
      <c r="AH590" s="81">
        <f>SUMIFS([1]инфо!$E$15:$E$28,[1]инфо!$A$15:$A$28,F590)</f>
        <v/>
      </c>
      <c r="AI590" s="64">
        <f>IF(H590=0,0,S590/H590)</f>
        <v/>
      </c>
      <c r="AJ590" s="82">
        <f>AI590-AH590</f>
        <v/>
      </c>
      <c r="AK590" s="81">
        <f>SUMIFS([1]инфо!$F$15:$F$28,[1]инфо!$A$15:$A$28,F590)</f>
        <v/>
      </c>
      <c r="AL590" s="64">
        <f>IF(H590=0,0,Y590/H590)</f>
        <v/>
      </c>
      <c r="AM590" s="82">
        <f>AL590-AK590</f>
        <v/>
      </c>
      <c r="AN590" s="81">
        <f>SUMIFS([1]инфо!$G$15:$G$28,[1]инфо!$A$15:$A$28,F590)</f>
        <v/>
      </c>
      <c r="AO590" s="64">
        <f>IF(H590=0,0,AA590/H590)</f>
        <v/>
      </c>
      <c r="AP590" s="82">
        <f>AO590-AN590</f>
        <v/>
      </c>
      <c r="AQ590" s="81">
        <f>SUMIFS([1]инфо!$H$15:$H$28,[1]инфо!$A$15:$A$28,F590)</f>
        <v/>
      </c>
      <c r="AR590" s="85">
        <f>IF(H589=0,0,AC590/H589)</f>
        <v/>
      </c>
      <c r="AS590" s="82">
        <f>AR590-AQ590</f>
        <v/>
      </c>
      <c r="AT590" s="81">
        <f>SUMIFS([1]инфо!$I$15:$I$28,[1]инфо!$A$15:$A$28,F590)</f>
        <v/>
      </c>
      <c r="AU590" s="62">
        <f>IF(H590=0,0,AD590/H590)</f>
        <v/>
      </c>
      <c r="AV590" s="82">
        <f>AU590-AT590</f>
        <v/>
      </c>
      <c r="AX590" s="80">
        <f>SUMIFS([1]инфо!$C$15:$C$28,[1]инфо!$A$15:$A$28,F590)*H589</f>
        <v/>
      </c>
    </row>
    <row r="591">
      <c r="A591" s="71">
        <f>A589+1</f>
        <v/>
      </c>
      <c r="B591" s="89" t="n"/>
      <c r="C591" s="72" t="n"/>
      <c r="D591" s="73" t="n"/>
      <c r="E591" s="66" t="n"/>
      <c r="F591" s="67" t="n"/>
      <c r="G591" s="74" t="n"/>
      <c r="H591" s="55" t="n"/>
      <c r="I591" s="57">
        <f>IFERROR(H591*VLOOKUP(F591,[1]инфо!$A$15:$C$28,3,FALSE)/1000,0)</f>
        <v/>
      </c>
      <c r="J591" s="55" t="n"/>
      <c r="K591" s="55" t="n"/>
      <c r="L591" s="55" t="n"/>
      <c r="M591" s="55" t="n"/>
      <c r="N591" s="67" t="n"/>
      <c r="O591" s="74" t="n"/>
      <c r="P591" s="74" t="n"/>
      <c r="Q591" s="74" t="n"/>
      <c r="R591" s="74" t="n"/>
      <c r="S591" s="70">
        <f>SUM(O591:R591)</f>
        <v/>
      </c>
      <c r="T591" s="72" t="n"/>
      <c r="U591" s="73" t="n"/>
      <c r="V591" s="74" t="n"/>
      <c r="W591" s="68" t="n"/>
      <c r="X591" s="74" t="n"/>
      <c r="Y591" s="72" t="n"/>
      <c r="Z591" s="74" t="n"/>
      <c r="AA591" s="74" t="n"/>
      <c r="AB591" s="74" t="n"/>
      <c r="AC591" s="68" t="n"/>
      <c r="AD591" s="73" t="n"/>
      <c r="AE591" s="75">
        <f>SUMIFS([1]инфо!$D$15:$D$28,[1]инфо!$A$15:$A$28,F591)</f>
        <v/>
      </c>
      <c r="AF591" s="62">
        <f>IF(H591=0,0,N591/H591)</f>
        <v/>
      </c>
      <c r="AG591" s="76">
        <f>AF591-AE591</f>
        <v/>
      </c>
      <c r="AH591" s="75">
        <f>SUMIFS([1]инфо!$E$15:$E$28,[1]инфо!$A$15:$A$28,F591)</f>
        <v/>
      </c>
      <c r="AI591" s="64">
        <f>IF(H591=0,0,S591/H591)</f>
        <v/>
      </c>
      <c r="AJ591" s="76">
        <f>AI591-AH591</f>
        <v/>
      </c>
      <c r="AK591" s="75">
        <f>SUMIFS([1]инфо!$F$15:$F$28,[1]инфо!$A$15:$A$28,F591)</f>
        <v/>
      </c>
      <c r="AL591" s="64">
        <f>IF(H591=0,0,Y591/H591)</f>
        <v/>
      </c>
      <c r="AM591" s="76">
        <f>AL591-AK591</f>
        <v/>
      </c>
      <c r="AN591" s="75">
        <f>SUMIFS([1]инфо!$G$15:$G$28,[1]инфо!$A$15:$A$28,F591)</f>
        <v/>
      </c>
      <c r="AO591" s="64">
        <f>IF(H591=0,0,AA591/H591)</f>
        <v/>
      </c>
      <c r="AP591" s="76">
        <f>AO591-AN591</f>
        <v/>
      </c>
      <c r="AQ591" s="75">
        <f>SUMIFS([1]инфо!$H$15:$H$28,[1]инфо!$A$15:$A$28,F591)</f>
        <v/>
      </c>
      <c r="AR591" s="64">
        <f>IF(H590=0,0,AC591/H590)</f>
        <v/>
      </c>
      <c r="AS591" s="76">
        <f>AR591-AQ591</f>
        <v/>
      </c>
      <c r="AT591" s="75">
        <f>SUMIFS([1]инфо!$I$15:$I$28,[1]инфо!$A$15:$A$28,F591)</f>
        <v/>
      </c>
      <c r="AU591" s="62">
        <f>IF(H591=0,0,AD591/H591)</f>
        <v/>
      </c>
      <c r="AV591" s="76">
        <f>AU591-AT591</f>
        <v/>
      </c>
      <c r="AX591" s="70">
        <f>SUMIFS([1]инфо!$C$15:$C$28,[1]инфо!$A$15:$A$28,F591)*H590</f>
        <v/>
      </c>
    </row>
    <row r="592">
      <c r="A592" s="71">
        <f>A590+1</f>
        <v/>
      </c>
      <c r="B592" s="90" t="n"/>
      <c r="C592" s="52" t="n"/>
      <c r="D592" s="53" t="n"/>
      <c r="E592" s="66" t="n"/>
      <c r="F592" s="67" t="n"/>
      <c r="G592" s="58" t="n"/>
      <c r="H592" s="55" t="n"/>
      <c r="I592" s="57">
        <f>IFERROR(H592*VLOOKUP(F592,[1]инфо!$A$15:$C$28,3,FALSE)/1000,0)</f>
        <v/>
      </c>
      <c r="J592" s="55" t="n"/>
      <c r="K592" s="55" t="n"/>
      <c r="L592" s="55" t="n"/>
      <c r="M592" s="55" t="n"/>
      <c r="N592" s="55" t="n"/>
      <c r="O592" s="58" t="n"/>
      <c r="P592" s="58" t="n"/>
      <c r="Q592" s="58" t="n"/>
      <c r="R592" s="58" t="n"/>
      <c r="S592" s="59">
        <f>SUM(O592:R592)</f>
        <v/>
      </c>
      <c r="T592" s="52" t="n"/>
      <c r="U592" s="53" t="n"/>
      <c r="V592" s="58" t="n"/>
      <c r="W592" s="68" t="n"/>
      <c r="X592" s="58" t="n"/>
      <c r="Y592" s="52" t="n"/>
      <c r="Z592" s="58" t="n"/>
      <c r="AA592" s="58" t="n"/>
      <c r="AB592" s="58" t="n"/>
      <c r="AC592" s="68" t="n"/>
      <c r="AD592" s="53" t="n"/>
      <c r="AE592" s="61">
        <f>SUMIFS([1]инфо!$D$15:$D$28,[1]инфо!$A$15:$A$28,F592)</f>
        <v/>
      </c>
      <c r="AF592" s="62">
        <f>IF(H592=0,0,N592/H592)</f>
        <v/>
      </c>
      <c r="AG592" s="63">
        <f>AF592-AE592</f>
        <v/>
      </c>
      <c r="AH592" s="61">
        <f>SUMIFS([1]инфо!$E$15:$E$28,[1]инфо!$A$15:$A$28,F592)</f>
        <v/>
      </c>
      <c r="AI592" s="64">
        <f>IF(H592=0,0,S592/H592)</f>
        <v/>
      </c>
      <c r="AJ592" s="63">
        <f>AI592-AH592</f>
        <v/>
      </c>
      <c r="AK592" s="61">
        <f>SUMIFS([1]инфо!$F$15:$F$28,[1]инфо!$A$15:$A$28,F592)</f>
        <v/>
      </c>
      <c r="AL592" s="64">
        <f>IF(H592=0,0,Y592/H592)</f>
        <v/>
      </c>
      <c r="AM592" s="63">
        <f>AL592-AK592</f>
        <v/>
      </c>
      <c r="AN592" s="61">
        <f>SUMIFS([1]инфо!$G$15:$G$28,[1]инфо!$A$15:$A$28,F592)</f>
        <v/>
      </c>
      <c r="AO592" s="64">
        <f>IF(H592=0,0,AA592/H592)</f>
        <v/>
      </c>
      <c r="AP592" s="63">
        <f>AO592-AN592</f>
        <v/>
      </c>
      <c r="AQ592" s="61">
        <f>SUMIFS([1]инфо!$H$15:$H$28,[1]инфо!$A$15:$A$28,F592)</f>
        <v/>
      </c>
      <c r="AR592" s="62">
        <f>IF(H591=0,0,AC592/H591)</f>
        <v/>
      </c>
      <c r="AS592" s="63">
        <f>AR592-AQ592</f>
        <v/>
      </c>
      <c r="AT592" s="61">
        <f>SUMIFS([1]инфо!$I$15:$I$28,[1]инфо!$A$15:$A$28,F592)</f>
        <v/>
      </c>
      <c r="AU592" s="62">
        <f>IF(H592=0,0,AD592/H592)</f>
        <v/>
      </c>
      <c r="AV592" s="63">
        <f>AU592-AT592</f>
        <v/>
      </c>
      <c r="AX592" s="59">
        <f>SUMIFS([1]инфо!$C$15:$C$28,[1]инфо!$A$15:$A$28,F592)*H591</f>
        <v/>
      </c>
    </row>
    <row r="593">
      <c r="A593" s="71">
        <f>A591+1</f>
        <v/>
      </c>
      <c r="B593" s="90" t="n"/>
      <c r="C593" s="52" t="n"/>
      <c r="D593" s="53" t="n"/>
      <c r="E593" s="66" t="n"/>
      <c r="F593" s="67" t="n"/>
      <c r="G593" s="58" t="n"/>
      <c r="H593" s="56" t="n"/>
      <c r="I593" s="57">
        <f>IFERROR(H593*VLOOKUP(F593,[1]инфо!$A$15:$C$28,3,FALSE)/1000,0)</f>
        <v/>
      </c>
      <c r="J593" s="55" t="n"/>
      <c r="K593" s="55" t="n"/>
      <c r="L593" s="55" t="n"/>
      <c r="M593" s="55" t="n"/>
      <c r="N593" s="55" t="n"/>
      <c r="O593" s="58" t="n"/>
      <c r="P593" s="58" t="n"/>
      <c r="Q593" s="58" t="n"/>
      <c r="R593" s="58" t="n"/>
      <c r="S593" s="59">
        <f>SUM(O593:R593)</f>
        <v/>
      </c>
      <c r="T593" s="52" t="n"/>
      <c r="U593" s="53" t="n"/>
      <c r="V593" s="58" t="n"/>
      <c r="W593" s="68" t="n"/>
      <c r="X593" s="58" t="n"/>
      <c r="Y593" s="52" t="n"/>
      <c r="Z593" s="58" t="n"/>
      <c r="AA593" s="58" t="n"/>
      <c r="AB593" s="58" t="n"/>
      <c r="AC593" s="68" t="n"/>
      <c r="AD593" s="53" t="n"/>
      <c r="AE593" s="61">
        <f>SUMIFS([1]инфо!$D$15:$D$28,[1]инфо!$A$15:$A$28,F593)</f>
        <v/>
      </c>
      <c r="AF593" s="62">
        <f>IF(H593=0,0,N593/H593)</f>
        <v/>
      </c>
      <c r="AG593" s="63">
        <f>AF593-AE593</f>
        <v/>
      </c>
      <c r="AH593" s="61">
        <f>SUMIFS([1]инфо!$E$15:$E$28,[1]инфо!$A$15:$A$28,F593)</f>
        <v/>
      </c>
      <c r="AI593" s="64">
        <f>IF(H593=0,0,S593/H593)</f>
        <v/>
      </c>
      <c r="AJ593" s="63">
        <f>AI593-AH593</f>
        <v/>
      </c>
      <c r="AK593" s="61">
        <f>SUMIFS([1]инфо!$F$15:$F$28,[1]инфо!$A$15:$A$28,F593)</f>
        <v/>
      </c>
      <c r="AL593" s="64">
        <f>IF(H593=0,0,Y593/H593)</f>
        <v/>
      </c>
      <c r="AM593" s="63">
        <f>AL593-AK593</f>
        <v/>
      </c>
      <c r="AN593" s="61">
        <f>SUMIFS([1]инфо!$G$15:$G$28,[1]инфо!$A$15:$A$28,F593)</f>
        <v/>
      </c>
      <c r="AO593" s="64">
        <f>IF(H593=0,0,AA593/H593)</f>
        <v/>
      </c>
      <c r="AP593" s="63">
        <f>AO593-AN593</f>
        <v/>
      </c>
      <c r="AQ593" s="61">
        <f>SUMIFS([1]инфо!$H$15:$H$28,[1]инфо!$A$15:$A$28,F593)</f>
        <v/>
      </c>
      <c r="AR593" s="62">
        <f>IF(H592=0,0,AC593/H592)</f>
        <v/>
      </c>
      <c r="AS593" s="63">
        <f>AR593-AQ593</f>
        <v/>
      </c>
      <c r="AT593" s="61">
        <f>SUMIFS([1]инфо!$I$15:$I$28,[1]инфо!$A$15:$A$28,F593)</f>
        <v/>
      </c>
      <c r="AU593" s="62">
        <f>IF(H593=0,0,AD593/H593)</f>
        <v/>
      </c>
      <c r="AV593" s="63">
        <f>AU593-AT593</f>
        <v/>
      </c>
      <c r="AX593" s="59">
        <f>SUMIFS([1]инфо!$C$15:$C$28,[1]инфо!$A$15:$A$28,F593)*H592</f>
        <v/>
      </c>
    </row>
    <row r="594">
      <c r="A594" s="71">
        <f>A592+1</f>
        <v/>
      </c>
      <c r="B594" s="88" t="n"/>
      <c r="C594" s="77" t="n"/>
      <c r="D594" s="78" t="n"/>
      <c r="E594" s="66" t="n"/>
      <c r="F594" s="67" t="n"/>
      <c r="G594" s="79" t="n"/>
      <c r="H594" s="67" t="n"/>
      <c r="I594" s="57">
        <f>IFERROR(H594*VLOOKUP(F594,[1]инфо!$A$15:$C$28,3,FALSE)/1000,0)</f>
        <v/>
      </c>
      <c r="J594" s="55" t="n"/>
      <c r="K594" s="55" t="n"/>
      <c r="L594" s="55" t="n"/>
      <c r="M594" s="55" t="n"/>
      <c r="N594" s="56" t="n"/>
      <c r="O594" s="79" t="n"/>
      <c r="P594" s="79" t="n"/>
      <c r="Q594" s="79" t="n"/>
      <c r="R594" s="79" t="n"/>
      <c r="S594" s="80">
        <f>SUM(O594:R594)</f>
        <v/>
      </c>
      <c r="T594" s="77" t="n"/>
      <c r="U594" s="78" t="n"/>
      <c r="V594" s="79" t="n"/>
      <c r="W594" s="68" t="n"/>
      <c r="X594" s="79" t="n"/>
      <c r="Y594" s="77" t="n"/>
      <c r="Z594" s="79" t="n"/>
      <c r="AA594" s="79" t="n"/>
      <c r="AB594" s="79" t="n"/>
      <c r="AC594" s="68" t="n"/>
      <c r="AD594" s="78" t="n"/>
      <c r="AE594" s="81">
        <f>SUMIFS([1]инфо!$D$15:$D$28,[1]инфо!$A$15:$A$28,F594)</f>
        <v/>
      </c>
      <c r="AF594" s="62">
        <f>IF(H594=0,0,N594/H594)</f>
        <v/>
      </c>
      <c r="AG594" s="82">
        <f>AF594-AE594</f>
        <v/>
      </c>
      <c r="AH594" s="81">
        <f>SUMIFS([1]инфо!$E$15:$E$28,[1]инфо!$A$15:$A$28,F594)</f>
        <v/>
      </c>
      <c r="AI594" s="64">
        <f>IF(H594=0,0,S594/H594)</f>
        <v/>
      </c>
      <c r="AJ594" s="82">
        <f>AI594-AH594</f>
        <v/>
      </c>
      <c r="AK594" s="81">
        <f>SUMIFS([1]инфо!$F$15:$F$28,[1]инфо!$A$15:$A$28,F594)</f>
        <v/>
      </c>
      <c r="AL594" s="64">
        <f>IF(H594=0,0,Y594/H594)</f>
        <v/>
      </c>
      <c r="AM594" s="82">
        <f>AL594-AK594</f>
        <v/>
      </c>
      <c r="AN594" s="81">
        <f>SUMIFS([1]инфо!$G$15:$G$28,[1]инфо!$A$15:$A$28,F594)</f>
        <v/>
      </c>
      <c r="AO594" s="64">
        <f>IF(H594=0,0,AA594/H594)</f>
        <v/>
      </c>
      <c r="AP594" s="82">
        <f>AO594-AN594</f>
        <v/>
      </c>
      <c r="AQ594" s="81">
        <f>SUMIFS([1]инфо!$H$15:$H$28,[1]инфо!$A$15:$A$28,F594)</f>
        <v/>
      </c>
      <c r="AR594" s="85">
        <f>IF(H593=0,0,AC594/H593)</f>
        <v/>
      </c>
      <c r="AS594" s="82">
        <f>AR594-AQ594</f>
        <v/>
      </c>
      <c r="AT594" s="81">
        <f>SUMIFS([1]инфо!$I$15:$I$28,[1]инфо!$A$15:$A$28,F594)</f>
        <v/>
      </c>
      <c r="AU594" s="62">
        <f>IF(H594=0,0,AD594/H594)</f>
        <v/>
      </c>
      <c r="AV594" s="82">
        <f>AU594-AT594</f>
        <v/>
      </c>
      <c r="AX594" s="80">
        <f>SUMIFS([1]инфо!$C$15:$C$28,[1]инфо!$A$15:$A$28,F594)*H593</f>
        <v/>
      </c>
    </row>
    <row r="595">
      <c r="A595" s="71">
        <f>A593+1</f>
        <v/>
      </c>
      <c r="B595" s="89" t="n"/>
      <c r="C595" s="72" t="n"/>
      <c r="D595" s="73" t="n"/>
      <c r="E595" s="66" t="n"/>
      <c r="F595" s="67" t="n"/>
      <c r="G595" s="74" t="n"/>
      <c r="H595" s="55" t="n"/>
      <c r="I595" s="57">
        <f>IFERROR(H595*VLOOKUP(F595,[1]инфо!$A$15:$C$28,3,FALSE)/1000,0)</f>
        <v/>
      </c>
      <c r="J595" s="55" t="n"/>
      <c r="K595" s="55" t="n"/>
      <c r="L595" s="55" t="n"/>
      <c r="M595" s="55" t="n"/>
      <c r="N595" s="67" t="n"/>
      <c r="O595" s="74" t="n"/>
      <c r="P595" s="74" t="n"/>
      <c r="Q595" s="74" t="n"/>
      <c r="R595" s="74" t="n"/>
      <c r="S595" s="70">
        <f>SUM(O595:R595)</f>
        <v/>
      </c>
      <c r="T595" s="72" t="n"/>
      <c r="U595" s="73" t="n"/>
      <c r="V595" s="74" t="n"/>
      <c r="W595" s="68" t="n"/>
      <c r="X595" s="74" t="n"/>
      <c r="Y595" s="72" t="n"/>
      <c r="Z595" s="74" t="n"/>
      <c r="AA595" s="74" t="n"/>
      <c r="AB595" s="74" t="n"/>
      <c r="AC595" s="68" t="n"/>
      <c r="AD595" s="73" t="n"/>
      <c r="AE595" s="75">
        <f>SUMIFS([1]инфо!$D$15:$D$28,[1]инфо!$A$15:$A$28,F595)</f>
        <v/>
      </c>
      <c r="AF595" s="62">
        <f>IF(H595=0,0,N595/H595)</f>
        <v/>
      </c>
      <c r="AG595" s="76">
        <f>AF595-AE595</f>
        <v/>
      </c>
      <c r="AH595" s="75">
        <f>SUMIFS([1]инфо!$E$15:$E$28,[1]инфо!$A$15:$A$28,F595)</f>
        <v/>
      </c>
      <c r="AI595" s="64">
        <f>IF(H595=0,0,S595/H595)</f>
        <v/>
      </c>
      <c r="AJ595" s="76">
        <f>AI595-AH595</f>
        <v/>
      </c>
      <c r="AK595" s="75">
        <f>SUMIFS([1]инфо!$F$15:$F$28,[1]инфо!$A$15:$A$28,F595)</f>
        <v/>
      </c>
      <c r="AL595" s="64">
        <f>IF(H595=0,0,Y595/H595)</f>
        <v/>
      </c>
      <c r="AM595" s="76">
        <f>AL595-AK595</f>
        <v/>
      </c>
      <c r="AN595" s="75">
        <f>SUMIFS([1]инфо!$G$15:$G$28,[1]инфо!$A$15:$A$28,F595)</f>
        <v/>
      </c>
      <c r="AO595" s="64">
        <f>IF(H595=0,0,AA595/H595)</f>
        <v/>
      </c>
      <c r="AP595" s="76">
        <f>AO595-AN595</f>
        <v/>
      </c>
      <c r="AQ595" s="75">
        <f>SUMIFS([1]инфо!$H$15:$H$28,[1]инфо!$A$15:$A$28,F595)</f>
        <v/>
      </c>
      <c r="AR595" s="64">
        <f>IF(H594=0,0,AC595/H594)</f>
        <v/>
      </c>
      <c r="AS595" s="76">
        <f>AR595-AQ595</f>
        <v/>
      </c>
      <c r="AT595" s="75">
        <f>SUMIFS([1]инфо!$I$15:$I$28,[1]инфо!$A$15:$A$28,F595)</f>
        <v/>
      </c>
      <c r="AU595" s="62">
        <f>IF(H595=0,0,AD595/H595)</f>
        <v/>
      </c>
      <c r="AV595" s="76">
        <f>AU595-AT595</f>
        <v/>
      </c>
      <c r="AX595" s="70">
        <f>SUMIFS([1]инфо!$C$15:$C$28,[1]инфо!$A$15:$A$28,F595)*H594</f>
        <v/>
      </c>
    </row>
    <row r="596">
      <c r="A596" s="71">
        <f>A594+1</f>
        <v/>
      </c>
      <c r="B596" s="90" t="n"/>
      <c r="C596" s="52" t="n"/>
      <c r="D596" s="53" t="n"/>
      <c r="E596" s="66" t="n"/>
      <c r="F596" s="67" t="n"/>
      <c r="G596" s="58" t="n"/>
      <c r="H596" s="55" t="n"/>
      <c r="I596" s="57">
        <f>IFERROR(H596*VLOOKUP(F596,[1]инфо!$A$15:$C$28,3,FALSE)/1000,0)</f>
        <v/>
      </c>
      <c r="J596" s="55" t="n"/>
      <c r="K596" s="55" t="n"/>
      <c r="L596" s="55" t="n"/>
      <c r="M596" s="55" t="n"/>
      <c r="N596" s="55" t="n"/>
      <c r="O596" s="58" t="n"/>
      <c r="P596" s="58" t="n"/>
      <c r="Q596" s="58" t="n"/>
      <c r="R596" s="58" t="n"/>
      <c r="S596" s="59">
        <f>SUM(O596:R596)</f>
        <v/>
      </c>
      <c r="T596" s="52" t="n"/>
      <c r="U596" s="53" t="n"/>
      <c r="V596" s="58" t="n"/>
      <c r="W596" s="68" t="n"/>
      <c r="X596" s="58" t="n"/>
      <c r="Y596" s="52" t="n"/>
      <c r="Z596" s="58" t="n"/>
      <c r="AA596" s="58" t="n"/>
      <c r="AB596" s="58" t="n"/>
      <c r="AC596" s="68" t="n"/>
      <c r="AD596" s="53" t="n"/>
      <c r="AE596" s="61">
        <f>SUMIFS([1]инфо!$D$15:$D$28,[1]инфо!$A$15:$A$28,F596)</f>
        <v/>
      </c>
      <c r="AF596" s="62">
        <f>IF(H596=0,0,N596/H596)</f>
        <v/>
      </c>
      <c r="AG596" s="63">
        <f>AF596-AE596</f>
        <v/>
      </c>
      <c r="AH596" s="61">
        <f>SUMIFS([1]инфо!$E$15:$E$28,[1]инфо!$A$15:$A$28,F596)</f>
        <v/>
      </c>
      <c r="AI596" s="64">
        <f>IF(H596=0,0,S596/H596)</f>
        <v/>
      </c>
      <c r="AJ596" s="63">
        <f>AI596-AH596</f>
        <v/>
      </c>
      <c r="AK596" s="61">
        <f>SUMIFS([1]инфо!$F$15:$F$28,[1]инфо!$A$15:$A$28,F596)</f>
        <v/>
      </c>
      <c r="AL596" s="64">
        <f>IF(H596=0,0,Y596/H596)</f>
        <v/>
      </c>
      <c r="AM596" s="63">
        <f>AL596-AK596</f>
        <v/>
      </c>
      <c r="AN596" s="61">
        <f>SUMIFS([1]инфо!$G$15:$G$28,[1]инфо!$A$15:$A$28,F596)</f>
        <v/>
      </c>
      <c r="AO596" s="64">
        <f>IF(H596=0,0,AA596/H596)</f>
        <v/>
      </c>
      <c r="AP596" s="63">
        <f>AO596-AN596</f>
        <v/>
      </c>
      <c r="AQ596" s="61">
        <f>SUMIFS([1]инфо!$H$15:$H$28,[1]инфо!$A$15:$A$28,F596)</f>
        <v/>
      </c>
      <c r="AR596" s="62">
        <f>IF(H595=0,0,AC596/H595)</f>
        <v/>
      </c>
      <c r="AS596" s="63">
        <f>AR596-AQ596</f>
        <v/>
      </c>
      <c r="AT596" s="61">
        <f>SUMIFS([1]инфо!$I$15:$I$28,[1]инфо!$A$15:$A$28,F596)</f>
        <v/>
      </c>
      <c r="AU596" s="62">
        <f>IF(H596=0,0,AD596/H596)</f>
        <v/>
      </c>
      <c r="AV596" s="63">
        <f>AU596-AT596</f>
        <v/>
      </c>
      <c r="AX596" s="59">
        <f>SUMIFS([1]инфо!$C$15:$C$28,[1]инфо!$A$15:$A$28,F596)*H595</f>
        <v/>
      </c>
    </row>
    <row r="597">
      <c r="A597" s="71">
        <f>A595+1</f>
        <v/>
      </c>
      <c r="B597" s="90" t="n"/>
      <c r="C597" s="52" t="n"/>
      <c r="D597" s="53" t="n"/>
      <c r="E597" s="66" t="n"/>
      <c r="F597" s="67" t="n"/>
      <c r="G597" s="58" t="n"/>
      <c r="H597" s="56" t="n"/>
      <c r="I597" s="57">
        <f>IFERROR(H597*VLOOKUP(F597,[1]инфо!$A$15:$C$28,3,FALSE)/1000,0)</f>
        <v/>
      </c>
      <c r="J597" s="55" t="n"/>
      <c r="K597" s="55" t="n"/>
      <c r="L597" s="55" t="n"/>
      <c r="M597" s="55" t="n"/>
      <c r="N597" s="55" t="n"/>
      <c r="O597" s="58" t="n"/>
      <c r="P597" s="58" t="n"/>
      <c r="Q597" s="58" t="n"/>
      <c r="R597" s="58" t="n"/>
      <c r="S597" s="59">
        <f>SUM(O597:R597)</f>
        <v/>
      </c>
      <c r="T597" s="52" t="n"/>
      <c r="U597" s="53" t="n"/>
      <c r="V597" s="58" t="n"/>
      <c r="W597" s="68" t="n"/>
      <c r="X597" s="58" t="n"/>
      <c r="Y597" s="52" t="n"/>
      <c r="Z597" s="58" t="n"/>
      <c r="AA597" s="58" t="n"/>
      <c r="AB597" s="58" t="n"/>
      <c r="AC597" s="68" t="n"/>
      <c r="AD597" s="53" t="n"/>
      <c r="AE597" s="61">
        <f>SUMIFS([1]инфо!$D$15:$D$28,[1]инфо!$A$15:$A$28,F597)</f>
        <v/>
      </c>
      <c r="AF597" s="62">
        <f>IF(H597=0,0,N597/H597)</f>
        <v/>
      </c>
      <c r="AG597" s="63">
        <f>AF597-AE597</f>
        <v/>
      </c>
      <c r="AH597" s="61">
        <f>SUMIFS([1]инфо!$E$15:$E$28,[1]инфо!$A$15:$A$28,F597)</f>
        <v/>
      </c>
      <c r="AI597" s="64">
        <f>IF(H597=0,0,S597/H597)</f>
        <v/>
      </c>
      <c r="AJ597" s="63">
        <f>AI597-AH597</f>
        <v/>
      </c>
      <c r="AK597" s="61">
        <f>SUMIFS([1]инфо!$F$15:$F$28,[1]инфо!$A$15:$A$28,F597)</f>
        <v/>
      </c>
      <c r="AL597" s="64">
        <f>IF(H597=0,0,Y597/H597)</f>
        <v/>
      </c>
      <c r="AM597" s="63">
        <f>AL597-AK597</f>
        <v/>
      </c>
      <c r="AN597" s="61">
        <f>SUMIFS([1]инфо!$G$15:$G$28,[1]инфо!$A$15:$A$28,F597)</f>
        <v/>
      </c>
      <c r="AO597" s="64">
        <f>IF(H597=0,0,AA597/H597)</f>
        <v/>
      </c>
      <c r="AP597" s="63">
        <f>AO597-AN597</f>
        <v/>
      </c>
      <c r="AQ597" s="61">
        <f>SUMIFS([1]инфо!$H$15:$H$28,[1]инфо!$A$15:$A$28,F597)</f>
        <v/>
      </c>
      <c r="AR597" s="62">
        <f>IF(H596=0,0,AC597/H596)</f>
        <v/>
      </c>
      <c r="AS597" s="63">
        <f>AR597-AQ597</f>
        <v/>
      </c>
      <c r="AT597" s="61">
        <f>SUMIFS([1]инфо!$I$15:$I$28,[1]инфо!$A$15:$A$28,F597)</f>
        <v/>
      </c>
      <c r="AU597" s="62">
        <f>IF(H597=0,0,AD597/H597)</f>
        <v/>
      </c>
      <c r="AV597" s="63">
        <f>AU597-AT597</f>
        <v/>
      </c>
      <c r="AX597" s="59">
        <f>SUMIFS([1]инфо!$C$15:$C$28,[1]инфо!$A$15:$A$28,F597)*H596</f>
        <v/>
      </c>
    </row>
    <row r="598">
      <c r="A598" s="71">
        <f>A596+1</f>
        <v/>
      </c>
      <c r="B598" s="88" t="n"/>
      <c r="C598" s="77" t="n"/>
      <c r="D598" s="78" t="n"/>
      <c r="E598" s="66" t="n"/>
      <c r="F598" s="67" t="n"/>
      <c r="G598" s="79" t="n"/>
      <c r="H598" s="67" t="n"/>
      <c r="I598" s="57">
        <f>IFERROR(H598*VLOOKUP(F598,[1]инфо!$A$15:$C$28,3,FALSE)/1000,0)</f>
        <v/>
      </c>
      <c r="J598" s="55" t="n"/>
      <c r="K598" s="55" t="n"/>
      <c r="L598" s="55" t="n"/>
      <c r="M598" s="55" t="n"/>
      <c r="N598" s="56" t="n"/>
      <c r="O598" s="79" t="n"/>
      <c r="P598" s="79" t="n"/>
      <c r="Q598" s="79" t="n"/>
      <c r="R598" s="79" t="n"/>
      <c r="S598" s="80">
        <f>SUM(O598:R598)</f>
        <v/>
      </c>
      <c r="T598" s="77" t="n"/>
      <c r="U598" s="78" t="n"/>
      <c r="V598" s="79" t="n"/>
      <c r="W598" s="68" t="n"/>
      <c r="X598" s="79" t="n"/>
      <c r="Y598" s="77" t="n"/>
      <c r="Z598" s="79" t="n"/>
      <c r="AA598" s="79" t="n"/>
      <c r="AB598" s="79" t="n"/>
      <c r="AC598" s="68" t="n"/>
      <c r="AD598" s="78" t="n"/>
      <c r="AE598" s="81">
        <f>SUMIFS([1]инфо!$D$15:$D$28,[1]инфо!$A$15:$A$28,F598)</f>
        <v/>
      </c>
      <c r="AF598" s="62">
        <f>IF(H598=0,0,N598/H598)</f>
        <v/>
      </c>
      <c r="AG598" s="82">
        <f>AF598-AE598</f>
        <v/>
      </c>
      <c r="AH598" s="81">
        <f>SUMIFS([1]инфо!$E$15:$E$28,[1]инфо!$A$15:$A$28,F598)</f>
        <v/>
      </c>
      <c r="AI598" s="64">
        <f>IF(H598=0,0,S598/H598)</f>
        <v/>
      </c>
      <c r="AJ598" s="82">
        <f>AI598-AH598</f>
        <v/>
      </c>
      <c r="AK598" s="81">
        <f>SUMIFS([1]инфо!$F$15:$F$28,[1]инфо!$A$15:$A$28,F598)</f>
        <v/>
      </c>
      <c r="AL598" s="64">
        <f>IF(H598=0,0,Y598/H598)</f>
        <v/>
      </c>
      <c r="AM598" s="82">
        <f>AL598-AK598</f>
        <v/>
      </c>
      <c r="AN598" s="81">
        <f>SUMIFS([1]инфо!$G$15:$G$28,[1]инфо!$A$15:$A$28,F598)</f>
        <v/>
      </c>
      <c r="AO598" s="64">
        <f>IF(H598=0,0,AA598/H598)</f>
        <v/>
      </c>
      <c r="AP598" s="82">
        <f>AO598-AN598</f>
        <v/>
      </c>
      <c r="AQ598" s="81">
        <f>SUMIFS([1]инфо!$H$15:$H$28,[1]инфо!$A$15:$A$28,F598)</f>
        <v/>
      </c>
      <c r="AR598" s="85">
        <f>IF(H597=0,0,AC598/H597)</f>
        <v/>
      </c>
      <c r="AS598" s="82">
        <f>AR598-AQ598</f>
        <v/>
      </c>
      <c r="AT598" s="81">
        <f>SUMIFS([1]инфо!$I$15:$I$28,[1]инфо!$A$15:$A$28,F598)</f>
        <v/>
      </c>
      <c r="AU598" s="62">
        <f>IF(H598=0,0,AD598/H598)</f>
        <v/>
      </c>
      <c r="AV598" s="82">
        <f>AU598-AT598</f>
        <v/>
      </c>
      <c r="AX598" s="80">
        <f>SUMIFS([1]инфо!$C$15:$C$28,[1]инфо!$A$15:$A$28,F598)*H597</f>
        <v/>
      </c>
    </row>
    <row r="599">
      <c r="A599" s="71">
        <f>A597+1</f>
        <v/>
      </c>
      <c r="B599" s="89" t="n"/>
      <c r="C599" s="72" t="n"/>
      <c r="D599" s="73" t="n"/>
      <c r="E599" s="66" t="n"/>
      <c r="F599" s="67" t="n"/>
      <c r="G599" s="74" t="n"/>
      <c r="H599" s="55" t="n"/>
      <c r="I599" s="57">
        <f>IFERROR(H599*VLOOKUP(F599,[1]инфо!$A$15:$C$28,3,FALSE)/1000,0)</f>
        <v/>
      </c>
      <c r="J599" s="55" t="n"/>
      <c r="K599" s="55" t="n"/>
      <c r="L599" s="55" t="n"/>
      <c r="M599" s="55" t="n"/>
      <c r="N599" s="67" t="n"/>
      <c r="O599" s="74" t="n"/>
      <c r="P599" s="74" t="n"/>
      <c r="Q599" s="74" t="n"/>
      <c r="R599" s="74" t="n"/>
      <c r="S599" s="70">
        <f>SUM(O599:R599)</f>
        <v/>
      </c>
      <c r="T599" s="72" t="n"/>
      <c r="U599" s="73" t="n"/>
      <c r="V599" s="74" t="n"/>
      <c r="W599" s="68" t="n"/>
      <c r="X599" s="74" t="n"/>
      <c r="Y599" s="72" t="n"/>
      <c r="Z599" s="74" t="n"/>
      <c r="AA599" s="74" t="n"/>
      <c r="AB599" s="74" t="n"/>
      <c r="AC599" s="68" t="n"/>
      <c r="AD599" s="73" t="n"/>
      <c r="AE599" s="75">
        <f>SUMIFS([1]инфо!$D$15:$D$28,[1]инфо!$A$15:$A$28,F599)</f>
        <v/>
      </c>
      <c r="AF599" s="62">
        <f>IF(H599=0,0,N599/H599)</f>
        <v/>
      </c>
      <c r="AG599" s="76">
        <f>AF599-AE599</f>
        <v/>
      </c>
      <c r="AH599" s="75">
        <f>SUMIFS([1]инфо!$E$15:$E$28,[1]инфо!$A$15:$A$28,F599)</f>
        <v/>
      </c>
      <c r="AI599" s="64">
        <f>IF(H599=0,0,S599/H599)</f>
        <v/>
      </c>
      <c r="AJ599" s="76">
        <f>AI599-AH599</f>
        <v/>
      </c>
      <c r="AK599" s="75">
        <f>SUMIFS([1]инфо!$F$15:$F$28,[1]инфо!$A$15:$A$28,F599)</f>
        <v/>
      </c>
      <c r="AL599" s="64">
        <f>IF(H599=0,0,Y599/H599)</f>
        <v/>
      </c>
      <c r="AM599" s="76">
        <f>AL599-AK599</f>
        <v/>
      </c>
      <c r="AN599" s="75">
        <f>SUMIFS([1]инфо!$G$15:$G$28,[1]инфо!$A$15:$A$28,F599)</f>
        <v/>
      </c>
      <c r="AO599" s="64">
        <f>IF(H599=0,0,AA599/H599)</f>
        <v/>
      </c>
      <c r="AP599" s="76">
        <f>AO599-AN599</f>
        <v/>
      </c>
      <c r="AQ599" s="75">
        <f>SUMIFS([1]инфо!$H$15:$H$28,[1]инфо!$A$15:$A$28,F599)</f>
        <v/>
      </c>
      <c r="AR599" s="64">
        <f>IF(H598=0,0,AC599/H598)</f>
        <v/>
      </c>
      <c r="AS599" s="76">
        <f>AR599-AQ599</f>
        <v/>
      </c>
      <c r="AT599" s="75">
        <f>SUMIFS([1]инфо!$I$15:$I$28,[1]инфо!$A$15:$A$28,F599)</f>
        <v/>
      </c>
      <c r="AU599" s="62">
        <f>IF(H599=0,0,AD599/H599)</f>
        <v/>
      </c>
      <c r="AV599" s="76">
        <f>AU599-AT599</f>
        <v/>
      </c>
      <c r="AX599" s="70">
        <f>SUMIFS([1]инфо!$C$15:$C$28,[1]инфо!$A$15:$A$28,F599)*H598</f>
        <v/>
      </c>
    </row>
    <row r="600">
      <c r="A600" s="71">
        <f>A598+1</f>
        <v/>
      </c>
      <c r="B600" s="90" t="n"/>
      <c r="C600" s="52" t="n"/>
      <c r="D600" s="53" t="n"/>
      <c r="E600" s="66" t="n"/>
      <c r="F600" s="67" t="n"/>
      <c r="G600" s="58" t="n"/>
      <c r="H600" s="55" t="n"/>
      <c r="I600" s="57">
        <f>IFERROR(H600*VLOOKUP(F600,[1]инфо!$A$15:$C$28,3,FALSE)/1000,0)</f>
        <v/>
      </c>
      <c r="J600" s="55" t="n"/>
      <c r="K600" s="55" t="n"/>
      <c r="L600" s="55" t="n"/>
      <c r="M600" s="55" t="n"/>
      <c r="N600" s="55" t="n"/>
      <c r="O600" s="58" t="n"/>
      <c r="P600" s="58" t="n"/>
      <c r="Q600" s="58" t="n"/>
      <c r="R600" s="58" t="n"/>
      <c r="S600" s="59">
        <f>SUM(O600:R600)</f>
        <v/>
      </c>
      <c r="T600" s="52" t="n"/>
      <c r="U600" s="53" t="n"/>
      <c r="V600" s="58" t="n"/>
      <c r="W600" s="68" t="n"/>
      <c r="X600" s="58" t="n"/>
      <c r="Y600" s="52" t="n"/>
      <c r="Z600" s="58" t="n"/>
      <c r="AA600" s="58" t="n"/>
      <c r="AB600" s="58" t="n"/>
      <c r="AC600" s="68" t="n"/>
      <c r="AD600" s="53" t="n"/>
      <c r="AE600" s="61">
        <f>SUMIFS([1]инфо!$D$15:$D$28,[1]инфо!$A$15:$A$28,F600)</f>
        <v/>
      </c>
      <c r="AF600" s="62">
        <f>IF(H600=0,0,N600/H600)</f>
        <v/>
      </c>
      <c r="AG600" s="63">
        <f>AF600-AE600</f>
        <v/>
      </c>
      <c r="AH600" s="61">
        <f>SUMIFS([1]инфо!$E$15:$E$28,[1]инфо!$A$15:$A$28,F600)</f>
        <v/>
      </c>
      <c r="AI600" s="64">
        <f>IF(H600=0,0,S600/H600)</f>
        <v/>
      </c>
      <c r="AJ600" s="63">
        <f>AI600-AH600</f>
        <v/>
      </c>
      <c r="AK600" s="61">
        <f>SUMIFS([1]инфо!$F$15:$F$28,[1]инфо!$A$15:$A$28,F600)</f>
        <v/>
      </c>
      <c r="AL600" s="64">
        <f>IF(H600=0,0,Y600/H600)</f>
        <v/>
      </c>
      <c r="AM600" s="63">
        <f>AL600-AK600</f>
        <v/>
      </c>
      <c r="AN600" s="61">
        <f>SUMIFS([1]инфо!$G$15:$G$28,[1]инфо!$A$15:$A$28,F600)</f>
        <v/>
      </c>
      <c r="AO600" s="64">
        <f>IF(H600=0,0,AA600/H600)</f>
        <v/>
      </c>
      <c r="AP600" s="63">
        <f>AO600-AN600</f>
        <v/>
      </c>
      <c r="AQ600" s="61">
        <f>SUMIFS([1]инфо!$H$15:$H$28,[1]инфо!$A$15:$A$28,F600)</f>
        <v/>
      </c>
      <c r="AR600" s="62">
        <f>IF(H599=0,0,AC600/H599)</f>
        <v/>
      </c>
      <c r="AS600" s="63">
        <f>AR600-AQ600</f>
        <v/>
      </c>
      <c r="AT600" s="61">
        <f>SUMIFS([1]инфо!$I$15:$I$28,[1]инфо!$A$15:$A$28,F600)</f>
        <v/>
      </c>
      <c r="AU600" s="62">
        <f>IF(H600=0,0,AD600/H600)</f>
        <v/>
      </c>
      <c r="AV600" s="63">
        <f>AU600-AT600</f>
        <v/>
      </c>
      <c r="AX600" s="59">
        <f>SUMIFS([1]инфо!$C$15:$C$28,[1]инфо!$A$15:$A$28,F600)*H599</f>
        <v/>
      </c>
    </row>
    <row r="601">
      <c r="A601" s="71">
        <f>A599+1</f>
        <v/>
      </c>
      <c r="B601" s="90" t="n"/>
      <c r="C601" s="52" t="n"/>
      <c r="D601" s="53" t="n"/>
      <c r="E601" s="66" t="n"/>
      <c r="F601" s="67" t="n"/>
      <c r="G601" s="58" t="n"/>
      <c r="H601" s="56" t="n"/>
      <c r="I601" s="57">
        <f>IFERROR(H601*VLOOKUP(F601,[1]инфо!$A$15:$C$28,3,FALSE)/1000,0)</f>
        <v/>
      </c>
      <c r="J601" s="55" t="n"/>
      <c r="K601" s="55" t="n"/>
      <c r="L601" s="55" t="n"/>
      <c r="M601" s="55" t="n"/>
      <c r="N601" s="55" t="n"/>
      <c r="O601" s="58" t="n"/>
      <c r="P601" s="58" t="n"/>
      <c r="Q601" s="58" t="n"/>
      <c r="R601" s="58" t="n"/>
      <c r="S601" s="59">
        <f>SUM(O601:R601)</f>
        <v/>
      </c>
      <c r="T601" s="52" t="n"/>
      <c r="U601" s="53" t="n"/>
      <c r="V601" s="58" t="n"/>
      <c r="W601" s="68" t="n"/>
      <c r="X601" s="58" t="n"/>
      <c r="Y601" s="52" t="n"/>
      <c r="Z601" s="58" t="n"/>
      <c r="AA601" s="58" t="n"/>
      <c r="AB601" s="58" t="n"/>
      <c r="AC601" s="68" t="n"/>
      <c r="AD601" s="53" t="n"/>
      <c r="AE601" s="61">
        <f>SUMIFS([1]инфо!$D$15:$D$28,[1]инфо!$A$15:$A$28,F601)</f>
        <v/>
      </c>
      <c r="AF601" s="62">
        <f>IF(H601=0,0,N601/H601)</f>
        <v/>
      </c>
      <c r="AG601" s="63">
        <f>AF601-AE601</f>
        <v/>
      </c>
      <c r="AH601" s="61">
        <f>SUMIFS([1]инфо!$E$15:$E$28,[1]инфо!$A$15:$A$28,F601)</f>
        <v/>
      </c>
      <c r="AI601" s="64">
        <f>IF(H601=0,0,S601/H601)</f>
        <v/>
      </c>
      <c r="AJ601" s="63">
        <f>AI601-AH601</f>
        <v/>
      </c>
      <c r="AK601" s="61">
        <f>SUMIFS([1]инфо!$F$15:$F$28,[1]инфо!$A$15:$A$28,F601)</f>
        <v/>
      </c>
      <c r="AL601" s="64">
        <f>IF(H601=0,0,Y601/H601)</f>
        <v/>
      </c>
      <c r="AM601" s="63">
        <f>AL601-AK601</f>
        <v/>
      </c>
      <c r="AN601" s="61">
        <f>SUMIFS([1]инфо!$G$15:$G$28,[1]инфо!$A$15:$A$28,F601)</f>
        <v/>
      </c>
      <c r="AO601" s="64">
        <f>IF(H601=0,0,AA601/H601)</f>
        <v/>
      </c>
      <c r="AP601" s="63">
        <f>AO601-AN601</f>
        <v/>
      </c>
      <c r="AQ601" s="61">
        <f>SUMIFS([1]инфо!$H$15:$H$28,[1]инфо!$A$15:$A$28,F601)</f>
        <v/>
      </c>
      <c r="AR601" s="62">
        <f>IF(H600=0,0,AC601/H600)</f>
        <v/>
      </c>
      <c r="AS601" s="63">
        <f>AR601-AQ601</f>
        <v/>
      </c>
      <c r="AT601" s="61">
        <f>SUMIFS([1]инфо!$I$15:$I$28,[1]инфо!$A$15:$A$28,F601)</f>
        <v/>
      </c>
      <c r="AU601" s="62">
        <f>IF(H601=0,0,AD601/H601)</f>
        <v/>
      </c>
      <c r="AV601" s="63">
        <f>AU601-AT601</f>
        <v/>
      </c>
      <c r="AX601" s="59">
        <f>SUMIFS([1]инфо!$C$15:$C$28,[1]инфо!$A$15:$A$28,F601)*H600</f>
        <v/>
      </c>
    </row>
    <row r="602">
      <c r="A602" s="71">
        <f>A600+1</f>
        <v/>
      </c>
      <c r="B602" s="88" t="n"/>
      <c r="C602" s="77" t="n"/>
      <c r="D602" s="78" t="n"/>
      <c r="E602" s="66" t="n"/>
      <c r="F602" s="67" t="n"/>
      <c r="G602" s="79" t="n"/>
      <c r="H602" s="67" t="n"/>
      <c r="I602" s="57">
        <f>IFERROR(H602*VLOOKUP(F602,[1]инфо!$A$15:$C$28,3,FALSE)/1000,0)</f>
        <v/>
      </c>
      <c r="J602" s="55" t="n"/>
      <c r="K602" s="55" t="n"/>
      <c r="L602" s="55" t="n"/>
      <c r="M602" s="55" t="n"/>
      <c r="N602" s="56" t="n"/>
      <c r="O602" s="79" t="n"/>
      <c r="P602" s="79" t="n"/>
      <c r="Q602" s="79" t="n"/>
      <c r="R602" s="79" t="n"/>
      <c r="S602" s="80">
        <f>SUM(O602:R602)</f>
        <v/>
      </c>
      <c r="T602" s="77" t="n"/>
      <c r="U602" s="78" t="n"/>
      <c r="V602" s="79" t="n"/>
      <c r="W602" s="68" t="n"/>
      <c r="X602" s="79" t="n"/>
      <c r="Y602" s="77" t="n"/>
      <c r="Z602" s="79" t="n"/>
      <c r="AA602" s="79" t="n"/>
      <c r="AB602" s="79" t="n"/>
      <c r="AC602" s="68" t="n"/>
      <c r="AD602" s="78" t="n"/>
      <c r="AE602" s="81">
        <f>SUMIFS([1]инфо!$D$15:$D$28,[1]инфо!$A$15:$A$28,F602)</f>
        <v/>
      </c>
      <c r="AF602" s="62">
        <f>IF(H602=0,0,N602/H602)</f>
        <v/>
      </c>
      <c r="AG602" s="82">
        <f>AF602-AE602</f>
        <v/>
      </c>
      <c r="AH602" s="81">
        <f>SUMIFS([1]инфо!$E$15:$E$28,[1]инфо!$A$15:$A$28,F602)</f>
        <v/>
      </c>
      <c r="AI602" s="64">
        <f>IF(H602=0,0,S602/H602)</f>
        <v/>
      </c>
      <c r="AJ602" s="82">
        <f>AI602-AH602</f>
        <v/>
      </c>
      <c r="AK602" s="81">
        <f>SUMIFS([1]инфо!$F$15:$F$28,[1]инфо!$A$15:$A$28,F602)</f>
        <v/>
      </c>
      <c r="AL602" s="64">
        <f>IF(H602=0,0,Y602/H602)</f>
        <v/>
      </c>
      <c r="AM602" s="82">
        <f>AL602-AK602</f>
        <v/>
      </c>
      <c r="AN602" s="81">
        <f>SUMIFS([1]инфо!$G$15:$G$28,[1]инфо!$A$15:$A$28,F602)</f>
        <v/>
      </c>
      <c r="AO602" s="64">
        <f>IF(H602=0,0,AA602/H602)</f>
        <v/>
      </c>
      <c r="AP602" s="82">
        <f>AO602-AN602</f>
        <v/>
      </c>
      <c r="AQ602" s="81">
        <f>SUMIFS([1]инфо!$H$15:$H$28,[1]инфо!$A$15:$A$28,F602)</f>
        <v/>
      </c>
      <c r="AR602" s="85">
        <f>IF(H601=0,0,AC602/H601)</f>
        <v/>
      </c>
      <c r="AS602" s="82">
        <f>AR602-AQ602</f>
        <v/>
      </c>
      <c r="AT602" s="81">
        <f>SUMIFS([1]инфо!$I$15:$I$28,[1]инфо!$A$15:$A$28,F602)</f>
        <v/>
      </c>
      <c r="AU602" s="62">
        <f>IF(H602=0,0,AD602/H602)</f>
        <v/>
      </c>
      <c r="AV602" s="82">
        <f>AU602-AT602</f>
        <v/>
      </c>
      <c r="AX602" s="80">
        <f>SUMIFS([1]инфо!$C$15:$C$28,[1]инфо!$A$15:$A$28,F602)*H601</f>
        <v/>
      </c>
    </row>
    <row r="603">
      <c r="A603" s="71">
        <f>A601+1</f>
        <v/>
      </c>
      <c r="B603" s="89" t="n"/>
      <c r="C603" s="72" t="n"/>
      <c r="D603" s="73" t="n"/>
      <c r="E603" s="66" t="n"/>
      <c r="F603" s="67" t="n"/>
      <c r="G603" s="74" t="n"/>
      <c r="H603" s="55" t="n"/>
      <c r="I603" s="57">
        <f>IFERROR(H603*VLOOKUP(F603,[1]инфо!$A$15:$C$28,3,FALSE)/1000,0)</f>
        <v/>
      </c>
      <c r="J603" s="55" t="n"/>
      <c r="K603" s="55" t="n"/>
      <c r="L603" s="55" t="n"/>
      <c r="M603" s="55" t="n"/>
      <c r="N603" s="67" t="n"/>
      <c r="O603" s="74" t="n"/>
      <c r="P603" s="74" t="n"/>
      <c r="Q603" s="74" t="n"/>
      <c r="R603" s="74" t="n"/>
      <c r="S603" s="70">
        <f>SUM(O603:R603)</f>
        <v/>
      </c>
      <c r="T603" s="72" t="n"/>
      <c r="U603" s="73" t="n"/>
      <c r="V603" s="74" t="n"/>
      <c r="W603" s="68" t="n"/>
      <c r="X603" s="74" t="n"/>
      <c r="Y603" s="72" t="n"/>
      <c r="Z603" s="74" t="n"/>
      <c r="AA603" s="74" t="n"/>
      <c r="AB603" s="74" t="n"/>
      <c r="AC603" s="68" t="n"/>
      <c r="AD603" s="73" t="n"/>
      <c r="AE603" s="75">
        <f>SUMIFS([1]инфо!$D$15:$D$28,[1]инфо!$A$15:$A$28,F603)</f>
        <v/>
      </c>
      <c r="AF603" s="62">
        <f>IF(H603=0,0,N603/H603)</f>
        <v/>
      </c>
      <c r="AG603" s="76">
        <f>AF603-AE603</f>
        <v/>
      </c>
      <c r="AH603" s="75">
        <f>SUMIFS([1]инфо!$E$15:$E$28,[1]инфо!$A$15:$A$28,F603)</f>
        <v/>
      </c>
      <c r="AI603" s="64">
        <f>IF(H603=0,0,S603/H603)</f>
        <v/>
      </c>
      <c r="AJ603" s="76">
        <f>AI603-AH603</f>
        <v/>
      </c>
      <c r="AK603" s="75">
        <f>SUMIFS([1]инфо!$F$15:$F$28,[1]инфо!$A$15:$A$28,F603)</f>
        <v/>
      </c>
      <c r="AL603" s="64">
        <f>IF(H603=0,0,Y603/H603)</f>
        <v/>
      </c>
      <c r="AM603" s="76">
        <f>AL603-AK603</f>
        <v/>
      </c>
      <c r="AN603" s="75">
        <f>SUMIFS([1]инфо!$G$15:$G$28,[1]инфо!$A$15:$A$28,F603)</f>
        <v/>
      </c>
      <c r="AO603" s="64">
        <f>IF(H603=0,0,AA603/H603)</f>
        <v/>
      </c>
      <c r="AP603" s="76">
        <f>AO603-AN603</f>
        <v/>
      </c>
      <c r="AQ603" s="75">
        <f>SUMIFS([1]инфо!$H$15:$H$28,[1]инфо!$A$15:$A$28,F603)</f>
        <v/>
      </c>
      <c r="AR603" s="64">
        <f>IF(H602=0,0,AC603/H602)</f>
        <v/>
      </c>
      <c r="AS603" s="76">
        <f>AR603-AQ603</f>
        <v/>
      </c>
      <c r="AT603" s="75">
        <f>SUMIFS([1]инфо!$I$15:$I$28,[1]инфо!$A$15:$A$28,F603)</f>
        <v/>
      </c>
      <c r="AU603" s="62">
        <f>IF(H603=0,0,AD603/H603)</f>
        <v/>
      </c>
      <c r="AV603" s="76">
        <f>AU603-AT603</f>
        <v/>
      </c>
      <c r="AX603" s="70">
        <f>SUMIFS([1]инфо!$C$15:$C$28,[1]инфо!$A$15:$A$28,F603)*H602</f>
        <v/>
      </c>
    </row>
    <row r="604">
      <c r="A604" s="71">
        <f>A602+1</f>
        <v/>
      </c>
      <c r="B604" s="90" t="n"/>
      <c r="C604" s="52" t="n"/>
      <c r="D604" s="53" t="n"/>
      <c r="E604" s="66" t="n"/>
      <c r="F604" s="67" t="n"/>
      <c r="G604" s="58" t="n"/>
      <c r="H604" s="55" t="n"/>
      <c r="I604" s="57">
        <f>IFERROR(H604*VLOOKUP(F604,[1]инфо!$A$15:$C$28,3,FALSE)/1000,0)</f>
        <v/>
      </c>
      <c r="J604" s="55" t="n"/>
      <c r="K604" s="55" t="n"/>
      <c r="L604" s="55" t="n"/>
      <c r="M604" s="55" t="n"/>
      <c r="N604" s="55" t="n"/>
      <c r="O604" s="58" t="n"/>
      <c r="P604" s="58" t="n"/>
      <c r="Q604" s="58" t="n"/>
      <c r="R604" s="58" t="n"/>
      <c r="S604" s="59">
        <f>SUM(O604:R604)</f>
        <v/>
      </c>
      <c r="T604" s="52" t="n"/>
      <c r="U604" s="53" t="n"/>
      <c r="V604" s="58" t="n"/>
      <c r="W604" s="68" t="n"/>
      <c r="X604" s="58" t="n"/>
      <c r="Y604" s="52" t="n"/>
      <c r="Z604" s="58" t="n"/>
      <c r="AA604" s="58" t="n"/>
      <c r="AB604" s="58" t="n"/>
      <c r="AC604" s="68" t="n"/>
      <c r="AD604" s="53" t="n"/>
      <c r="AE604" s="61">
        <f>SUMIFS([1]инфо!$D$15:$D$28,[1]инфо!$A$15:$A$28,F604)</f>
        <v/>
      </c>
      <c r="AF604" s="62">
        <f>IF(H604=0,0,N604/H604)</f>
        <v/>
      </c>
      <c r="AG604" s="63">
        <f>AF604-AE604</f>
        <v/>
      </c>
      <c r="AH604" s="61">
        <f>SUMIFS([1]инфо!$E$15:$E$28,[1]инфо!$A$15:$A$28,F604)</f>
        <v/>
      </c>
      <c r="AI604" s="64">
        <f>IF(H604=0,0,S604/H604)</f>
        <v/>
      </c>
      <c r="AJ604" s="63">
        <f>AI604-AH604</f>
        <v/>
      </c>
      <c r="AK604" s="61">
        <f>SUMIFS([1]инфо!$F$15:$F$28,[1]инфо!$A$15:$A$28,F604)</f>
        <v/>
      </c>
      <c r="AL604" s="64">
        <f>IF(H604=0,0,Y604/H604)</f>
        <v/>
      </c>
      <c r="AM604" s="63">
        <f>AL604-AK604</f>
        <v/>
      </c>
      <c r="AN604" s="61">
        <f>SUMIFS([1]инфо!$G$15:$G$28,[1]инфо!$A$15:$A$28,F604)</f>
        <v/>
      </c>
      <c r="AO604" s="64">
        <f>IF(H604=0,0,AA604/H604)</f>
        <v/>
      </c>
      <c r="AP604" s="63">
        <f>AO604-AN604</f>
        <v/>
      </c>
      <c r="AQ604" s="61">
        <f>SUMIFS([1]инфо!$H$15:$H$28,[1]инфо!$A$15:$A$28,F604)</f>
        <v/>
      </c>
      <c r="AR604" s="62">
        <f>IF(H603=0,0,AC604/H603)</f>
        <v/>
      </c>
      <c r="AS604" s="63">
        <f>AR604-AQ604</f>
        <v/>
      </c>
      <c r="AT604" s="61">
        <f>SUMIFS([1]инфо!$I$15:$I$28,[1]инфо!$A$15:$A$28,F604)</f>
        <v/>
      </c>
      <c r="AU604" s="62">
        <f>IF(H604=0,0,AD604/H604)</f>
        <v/>
      </c>
      <c r="AV604" s="63">
        <f>AU604-AT604</f>
        <v/>
      </c>
      <c r="AX604" s="59">
        <f>SUMIFS([1]инфо!$C$15:$C$28,[1]инфо!$A$15:$A$28,F604)*H603</f>
        <v/>
      </c>
    </row>
    <row r="605">
      <c r="A605" s="71">
        <f>A603+1</f>
        <v/>
      </c>
      <c r="B605" s="90" t="n"/>
      <c r="C605" s="52" t="n"/>
      <c r="D605" s="53" t="n"/>
      <c r="E605" s="66" t="n"/>
      <c r="F605" s="67" t="n"/>
      <c r="G605" s="58" t="n"/>
      <c r="H605" s="56" t="n"/>
      <c r="I605" s="57">
        <f>IFERROR(H605*VLOOKUP(F605,[1]инфо!$A$15:$C$28,3,FALSE)/1000,0)</f>
        <v/>
      </c>
      <c r="J605" s="55" t="n"/>
      <c r="K605" s="55" t="n"/>
      <c r="L605" s="55" t="n"/>
      <c r="M605" s="55" t="n"/>
      <c r="N605" s="55" t="n"/>
      <c r="O605" s="58" t="n"/>
      <c r="P605" s="58" t="n"/>
      <c r="Q605" s="58" t="n"/>
      <c r="R605" s="58" t="n"/>
      <c r="S605" s="59">
        <f>SUM(O605:R605)</f>
        <v/>
      </c>
      <c r="T605" s="52" t="n"/>
      <c r="U605" s="53" t="n"/>
      <c r="V605" s="58" t="n"/>
      <c r="W605" s="68" t="n"/>
      <c r="X605" s="58" t="n"/>
      <c r="Y605" s="52" t="n"/>
      <c r="Z605" s="58" t="n"/>
      <c r="AA605" s="58" t="n"/>
      <c r="AB605" s="58" t="n"/>
      <c r="AC605" s="68" t="n"/>
      <c r="AD605" s="53" t="n"/>
      <c r="AE605" s="61">
        <f>SUMIFS([1]инфо!$D$15:$D$28,[1]инфо!$A$15:$A$28,F605)</f>
        <v/>
      </c>
      <c r="AF605" s="62">
        <f>IF(H605=0,0,N605/H605)</f>
        <v/>
      </c>
      <c r="AG605" s="63">
        <f>AF605-AE605</f>
        <v/>
      </c>
      <c r="AH605" s="61">
        <f>SUMIFS([1]инфо!$E$15:$E$28,[1]инфо!$A$15:$A$28,F605)</f>
        <v/>
      </c>
      <c r="AI605" s="64">
        <f>IF(H605=0,0,S605/H605)</f>
        <v/>
      </c>
      <c r="AJ605" s="63">
        <f>AI605-AH605</f>
        <v/>
      </c>
      <c r="AK605" s="61">
        <f>SUMIFS([1]инфо!$F$15:$F$28,[1]инфо!$A$15:$A$28,F605)</f>
        <v/>
      </c>
      <c r="AL605" s="64">
        <f>IF(H605=0,0,Y605/H605)</f>
        <v/>
      </c>
      <c r="AM605" s="63">
        <f>AL605-AK605</f>
        <v/>
      </c>
      <c r="AN605" s="61">
        <f>SUMIFS([1]инфо!$G$15:$G$28,[1]инфо!$A$15:$A$28,F605)</f>
        <v/>
      </c>
      <c r="AO605" s="64">
        <f>IF(H605=0,0,AA605/H605)</f>
        <v/>
      </c>
      <c r="AP605" s="63">
        <f>AO605-AN605</f>
        <v/>
      </c>
      <c r="AQ605" s="61">
        <f>SUMIFS([1]инфо!$H$15:$H$28,[1]инфо!$A$15:$A$28,F605)</f>
        <v/>
      </c>
      <c r="AR605" s="62">
        <f>IF(H604=0,0,AC605/H604)</f>
        <v/>
      </c>
      <c r="AS605" s="63">
        <f>AR605-AQ605</f>
        <v/>
      </c>
      <c r="AT605" s="61">
        <f>SUMIFS([1]инфо!$I$15:$I$28,[1]инфо!$A$15:$A$28,F605)</f>
        <v/>
      </c>
      <c r="AU605" s="62">
        <f>IF(H605=0,0,AD605/H605)</f>
        <v/>
      </c>
      <c r="AV605" s="63">
        <f>AU605-AT605</f>
        <v/>
      </c>
      <c r="AX605" s="59">
        <f>SUMIFS([1]инфо!$C$15:$C$28,[1]инфо!$A$15:$A$28,F605)*H604</f>
        <v/>
      </c>
    </row>
    <row r="606">
      <c r="A606" s="71">
        <f>A604+1</f>
        <v/>
      </c>
      <c r="B606" s="88" t="n"/>
      <c r="C606" s="77" t="n"/>
      <c r="D606" s="78" t="n"/>
      <c r="E606" s="66" t="n"/>
      <c r="F606" s="67" t="n"/>
      <c r="G606" s="79" t="n"/>
      <c r="H606" s="67" t="n"/>
      <c r="I606" s="57">
        <f>IFERROR(H606*VLOOKUP(F606,[1]инфо!$A$15:$C$28,3,FALSE)/1000,0)</f>
        <v/>
      </c>
      <c r="J606" s="55" t="n"/>
      <c r="K606" s="55" t="n"/>
      <c r="L606" s="55" t="n"/>
      <c r="M606" s="55" t="n"/>
      <c r="N606" s="56" t="n"/>
      <c r="O606" s="79" t="n"/>
      <c r="P606" s="79" t="n"/>
      <c r="Q606" s="79" t="n"/>
      <c r="R606" s="79" t="n"/>
      <c r="S606" s="80">
        <f>SUM(O606:R606)</f>
        <v/>
      </c>
      <c r="T606" s="77" t="n"/>
      <c r="U606" s="78" t="n"/>
      <c r="V606" s="79" t="n"/>
      <c r="W606" s="68" t="n"/>
      <c r="X606" s="79" t="n"/>
      <c r="Y606" s="77" t="n"/>
      <c r="Z606" s="79" t="n"/>
      <c r="AA606" s="79" t="n"/>
      <c r="AB606" s="79" t="n"/>
      <c r="AC606" s="68" t="n"/>
      <c r="AD606" s="78" t="n"/>
      <c r="AE606" s="81">
        <f>SUMIFS([1]инфо!$D$15:$D$28,[1]инфо!$A$15:$A$28,F606)</f>
        <v/>
      </c>
      <c r="AF606" s="62">
        <f>IF(H606=0,0,N606/H606)</f>
        <v/>
      </c>
      <c r="AG606" s="82">
        <f>AF606-AE606</f>
        <v/>
      </c>
      <c r="AH606" s="81">
        <f>SUMIFS([1]инфо!$E$15:$E$28,[1]инфо!$A$15:$A$28,F606)</f>
        <v/>
      </c>
      <c r="AI606" s="64">
        <f>IF(H606=0,0,S606/H606)</f>
        <v/>
      </c>
      <c r="AJ606" s="82">
        <f>AI606-AH606</f>
        <v/>
      </c>
      <c r="AK606" s="81">
        <f>SUMIFS([1]инфо!$F$15:$F$28,[1]инфо!$A$15:$A$28,F606)</f>
        <v/>
      </c>
      <c r="AL606" s="64">
        <f>IF(H606=0,0,Y606/H606)</f>
        <v/>
      </c>
      <c r="AM606" s="82">
        <f>AL606-AK606</f>
        <v/>
      </c>
      <c r="AN606" s="81">
        <f>SUMIFS([1]инфо!$G$15:$G$28,[1]инфо!$A$15:$A$28,F606)</f>
        <v/>
      </c>
      <c r="AO606" s="64">
        <f>IF(H606=0,0,AA606/H606)</f>
        <v/>
      </c>
      <c r="AP606" s="82">
        <f>AO606-AN606</f>
        <v/>
      </c>
      <c r="AQ606" s="81">
        <f>SUMIFS([1]инфо!$H$15:$H$28,[1]инфо!$A$15:$A$28,F606)</f>
        <v/>
      </c>
      <c r="AR606" s="85">
        <f>IF(H605=0,0,AC606/H605)</f>
        <v/>
      </c>
      <c r="AS606" s="82">
        <f>AR606-AQ606</f>
        <v/>
      </c>
      <c r="AT606" s="81">
        <f>SUMIFS([1]инфо!$I$15:$I$28,[1]инфо!$A$15:$A$28,F606)</f>
        <v/>
      </c>
      <c r="AU606" s="62">
        <f>IF(H606=0,0,AD606/H606)</f>
        <v/>
      </c>
      <c r="AV606" s="82">
        <f>AU606-AT606</f>
        <v/>
      </c>
      <c r="AX606" s="80">
        <f>SUMIFS([1]инфо!$C$15:$C$28,[1]инфо!$A$15:$A$28,F606)*H605</f>
        <v/>
      </c>
    </row>
    <row r="607">
      <c r="A607" s="71">
        <f>A605+1</f>
        <v/>
      </c>
      <c r="B607" s="89" t="n"/>
      <c r="C607" s="72" t="n"/>
      <c r="D607" s="73" t="n"/>
      <c r="E607" s="66" t="n"/>
      <c r="F607" s="67" t="n"/>
      <c r="G607" s="74" t="n"/>
      <c r="H607" s="55" t="n"/>
      <c r="I607" s="57">
        <f>IFERROR(H607*VLOOKUP(F607,[1]инфо!$A$15:$C$28,3,FALSE)/1000,0)</f>
        <v/>
      </c>
      <c r="J607" s="55" t="n"/>
      <c r="K607" s="55" t="n"/>
      <c r="L607" s="55" t="n"/>
      <c r="M607" s="55" t="n"/>
      <c r="N607" s="67" t="n"/>
      <c r="O607" s="74" t="n"/>
      <c r="P607" s="74" t="n"/>
      <c r="Q607" s="74" t="n"/>
      <c r="R607" s="74" t="n"/>
      <c r="S607" s="70">
        <f>SUM(O607:R607)</f>
        <v/>
      </c>
      <c r="T607" s="72" t="n"/>
      <c r="U607" s="73" t="n"/>
      <c r="V607" s="74" t="n"/>
      <c r="W607" s="68" t="n"/>
      <c r="X607" s="74" t="n"/>
      <c r="Y607" s="72" t="n"/>
      <c r="Z607" s="74" t="n"/>
      <c r="AA607" s="74" t="n"/>
      <c r="AB607" s="74" t="n"/>
      <c r="AC607" s="68" t="n"/>
      <c r="AD607" s="73" t="n"/>
      <c r="AE607" s="75">
        <f>SUMIFS([1]инфо!$D$15:$D$28,[1]инфо!$A$15:$A$28,F607)</f>
        <v/>
      </c>
      <c r="AF607" s="62">
        <f>IF(H607=0,0,N607/H607)</f>
        <v/>
      </c>
      <c r="AG607" s="76">
        <f>AF607-AE607</f>
        <v/>
      </c>
      <c r="AH607" s="75">
        <f>SUMIFS([1]инфо!$E$15:$E$28,[1]инфо!$A$15:$A$28,F607)</f>
        <v/>
      </c>
      <c r="AI607" s="64">
        <f>IF(H607=0,0,S607/H607)</f>
        <v/>
      </c>
      <c r="AJ607" s="76">
        <f>AI607-AH607</f>
        <v/>
      </c>
      <c r="AK607" s="75">
        <f>SUMIFS([1]инфо!$F$15:$F$28,[1]инфо!$A$15:$A$28,F607)</f>
        <v/>
      </c>
      <c r="AL607" s="64">
        <f>IF(H607=0,0,Y607/H607)</f>
        <v/>
      </c>
      <c r="AM607" s="76">
        <f>AL607-AK607</f>
        <v/>
      </c>
      <c r="AN607" s="75">
        <f>SUMIFS([1]инфо!$G$15:$G$28,[1]инфо!$A$15:$A$28,F607)</f>
        <v/>
      </c>
      <c r="AO607" s="64">
        <f>IF(H607=0,0,AA607/H607)</f>
        <v/>
      </c>
      <c r="AP607" s="76">
        <f>AO607-AN607</f>
        <v/>
      </c>
      <c r="AQ607" s="75">
        <f>SUMIFS([1]инфо!$H$15:$H$28,[1]инфо!$A$15:$A$28,F607)</f>
        <v/>
      </c>
      <c r="AR607" s="64">
        <f>IF(H606=0,0,AC607/H606)</f>
        <v/>
      </c>
      <c r="AS607" s="76">
        <f>AR607-AQ607</f>
        <v/>
      </c>
      <c r="AT607" s="75">
        <f>SUMIFS([1]инфо!$I$15:$I$28,[1]инфо!$A$15:$A$28,F607)</f>
        <v/>
      </c>
      <c r="AU607" s="62">
        <f>IF(H607=0,0,AD607/H607)</f>
        <v/>
      </c>
      <c r="AV607" s="76">
        <f>AU607-AT607</f>
        <v/>
      </c>
      <c r="AX607" s="70">
        <f>SUMIFS([1]инфо!$C$15:$C$28,[1]инфо!$A$15:$A$28,F607)*H606</f>
        <v/>
      </c>
    </row>
    <row r="608">
      <c r="A608" s="71">
        <f>A606+1</f>
        <v/>
      </c>
      <c r="B608" s="90" t="n"/>
      <c r="C608" s="52" t="n"/>
      <c r="D608" s="53" t="n"/>
      <c r="E608" s="66" t="n"/>
      <c r="F608" s="67" t="n"/>
      <c r="G608" s="58" t="n"/>
      <c r="H608" s="55" t="n"/>
      <c r="I608" s="57">
        <f>IFERROR(H608*VLOOKUP(F608,[1]инфо!$A$15:$C$28,3,FALSE)/1000,0)</f>
        <v/>
      </c>
      <c r="J608" s="55" t="n"/>
      <c r="K608" s="55" t="n"/>
      <c r="L608" s="55" t="n"/>
      <c r="M608" s="55" t="n"/>
      <c r="N608" s="55" t="n"/>
      <c r="O608" s="58" t="n"/>
      <c r="P608" s="58" t="n"/>
      <c r="Q608" s="58" t="n"/>
      <c r="R608" s="58" t="n"/>
      <c r="S608" s="59">
        <f>SUM(O608:R608)</f>
        <v/>
      </c>
      <c r="T608" s="52" t="n"/>
      <c r="U608" s="53" t="n"/>
      <c r="V608" s="58" t="n"/>
      <c r="W608" s="68" t="n"/>
      <c r="X608" s="58" t="n"/>
      <c r="Y608" s="52" t="n"/>
      <c r="Z608" s="58" t="n"/>
      <c r="AA608" s="58" t="n"/>
      <c r="AB608" s="58" t="n"/>
      <c r="AC608" s="68" t="n"/>
      <c r="AD608" s="53" t="n"/>
      <c r="AE608" s="61">
        <f>SUMIFS([1]инфо!$D$15:$D$28,[1]инфо!$A$15:$A$28,F608)</f>
        <v/>
      </c>
      <c r="AF608" s="62">
        <f>IF(H608=0,0,N608/H608)</f>
        <v/>
      </c>
      <c r="AG608" s="63">
        <f>AF608-AE608</f>
        <v/>
      </c>
      <c r="AH608" s="61">
        <f>SUMIFS([1]инфо!$E$15:$E$28,[1]инфо!$A$15:$A$28,F608)</f>
        <v/>
      </c>
      <c r="AI608" s="64">
        <f>IF(H608=0,0,S608/H608)</f>
        <v/>
      </c>
      <c r="AJ608" s="63">
        <f>AI608-AH608</f>
        <v/>
      </c>
      <c r="AK608" s="61">
        <f>SUMIFS([1]инфо!$F$15:$F$28,[1]инфо!$A$15:$A$28,F608)</f>
        <v/>
      </c>
      <c r="AL608" s="64">
        <f>IF(H608=0,0,Y608/H608)</f>
        <v/>
      </c>
      <c r="AM608" s="63">
        <f>AL608-AK608</f>
        <v/>
      </c>
      <c r="AN608" s="61">
        <f>SUMIFS([1]инфо!$G$15:$G$28,[1]инфо!$A$15:$A$28,F608)</f>
        <v/>
      </c>
      <c r="AO608" s="64">
        <f>IF(H608=0,0,AA608/H608)</f>
        <v/>
      </c>
      <c r="AP608" s="63">
        <f>AO608-AN608</f>
        <v/>
      </c>
      <c r="AQ608" s="61">
        <f>SUMIFS([1]инфо!$H$15:$H$28,[1]инфо!$A$15:$A$28,F608)</f>
        <v/>
      </c>
      <c r="AR608" s="62">
        <f>IF(H607=0,0,AC608/H607)</f>
        <v/>
      </c>
      <c r="AS608" s="63">
        <f>AR608-AQ608</f>
        <v/>
      </c>
      <c r="AT608" s="61">
        <f>SUMIFS([1]инфо!$I$15:$I$28,[1]инфо!$A$15:$A$28,F608)</f>
        <v/>
      </c>
      <c r="AU608" s="62">
        <f>IF(H608=0,0,AD608/H608)</f>
        <v/>
      </c>
      <c r="AV608" s="63">
        <f>AU608-AT608</f>
        <v/>
      </c>
      <c r="AX608" s="59">
        <f>SUMIFS([1]инфо!$C$15:$C$28,[1]инфо!$A$15:$A$28,F608)*H607</f>
        <v/>
      </c>
    </row>
    <row r="609">
      <c r="A609" s="71">
        <f>A607+1</f>
        <v/>
      </c>
      <c r="B609" s="90" t="n"/>
      <c r="C609" s="52" t="n"/>
      <c r="D609" s="53" t="n"/>
      <c r="E609" s="66" t="n"/>
      <c r="F609" s="67" t="n"/>
      <c r="G609" s="58" t="n"/>
      <c r="H609" s="56" t="n"/>
      <c r="I609" s="57">
        <f>IFERROR(H609*VLOOKUP(F609,[1]инфо!$A$15:$C$28,3,FALSE)/1000,0)</f>
        <v/>
      </c>
      <c r="J609" s="55" t="n"/>
      <c r="K609" s="55" t="n"/>
      <c r="L609" s="55" t="n"/>
      <c r="M609" s="55" t="n"/>
      <c r="N609" s="55" t="n"/>
      <c r="O609" s="58" t="n"/>
      <c r="P609" s="58" t="n"/>
      <c r="Q609" s="58" t="n"/>
      <c r="R609" s="58" t="n"/>
      <c r="S609" s="59">
        <f>SUM(O609:R609)</f>
        <v/>
      </c>
      <c r="T609" s="52" t="n"/>
      <c r="U609" s="53" t="n"/>
      <c r="V609" s="58" t="n"/>
      <c r="W609" s="68" t="n"/>
      <c r="X609" s="58" t="n"/>
      <c r="Y609" s="52" t="n"/>
      <c r="Z609" s="58" t="n"/>
      <c r="AA609" s="58" t="n"/>
      <c r="AB609" s="58" t="n"/>
      <c r="AC609" s="68" t="n"/>
      <c r="AD609" s="53" t="n"/>
      <c r="AE609" s="61">
        <f>SUMIFS([1]инфо!$D$15:$D$28,[1]инфо!$A$15:$A$28,F609)</f>
        <v/>
      </c>
      <c r="AF609" s="62">
        <f>IF(H609=0,0,N609/H609)</f>
        <v/>
      </c>
      <c r="AG609" s="63">
        <f>AF609-AE609</f>
        <v/>
      </c>
      <c r="AH609" s="61">
        <f>SUMIFS([1]инфо!$E$15:$E$28,[1]инфо!$A$15:$A$28,F609)</f>
        <v/>
      </c>
      <c r="AI609" s="64">
        <f>IF(H609=0,0,S609/H609)</f>
        <v/>
      </c>
      <c r="AJ609" s="63">
        <f>AI609-AH609</f>
        <v/>
      </c>
      <c r="AK609" s="61">
        <f>SUMIFS([1]инфо!$F$15:$F$28,[1]инфо!$A$15:$A$28,F609)</f>
        <v/>
      </c>
      <c r="AL609" s="64">
        <f>IF(H609=0,0,Y609/H609)</f>
        <v/>
      </c>
      <c r="AM609" s="63">
        <f>AL609-AK609</f>
        <v/>
      </c>
      <c r="AN609" s="61">
        <f>SUMIFS([1]инфо!$G$15:$G$28,[1]инфо!$A$15:$A$28,F609)</f>
        <v/>
      </c>
      <c r="AO609" s="64">
        <f>IF(H609=0,0,AA609/H609)</f>
        <v/>
      </c>
      <c r="AP609" s="63">
        <f>AO609-AN609</f>
        <v/>
      </c>
      <c r="AQ609" s="61">
        <f>SUMIFS([1]инфо!$H$15:$H$28,[1]инфо!$A$15:$A$28,F609)</f>
        <v/>
      </c>
      <c r="AR609" s="62">
        <f>IF(H608=0,0,AC609/H608)</f>
        <v/>
      </c>
      <c r="AS609" s="63">
        <f>AR609-AQ609</f>
        <v/>
      </c>
      <c r="AT609" s="61">
        <f>SUMIFS([1]инфо!$I$15:$I$28,[1]инфо!$A$15:$A$28,F609)</f>
        <v/>
      </c>
      <c r="AU609" s="62">
        <f>IF(H609=0,0,AD609/H609)</f>
        <v/>
      </c>
      <c r="AV609" s="63">
        <f>AU609-AT609</f>
        <v/>
      </c>
      <c r="AX609" s="59">
        <f>SUMIFS([1]инфо!$C$15:$C$28,[1]инфо!$A$15:$A$28,F609)*H608</f>
        <v/>
      </c>
    </row>
    <row r="610">
      <c r="A610" s="71">
        <f>A608+1</f>
        <v/>
      </c>
      <c r="B610" s="88" t="n"/>
      <c r="C610" s="77" t="n"/>
      <c r="D610" s="78" t="n"/>
      <c r="E610" s="66" t="n"/>
      <c r="F610" s="67" t="n"/>
      <c r="G610" s="79" t="n"/>
      <c r="H610" s="67" t="n"/>
      <c r="I610" s="57">
        <f>IFERROR(H610*VLOOKUP(F610,[1]инфо!$A$15:$C$28,3,FALSE)/1000,0)</f>
        <v/>
      </c>
      <c r="J610" s="55" t="n"/>
      <c r="K610" s="55" t="n"/>
      <c r="L610" s="55" t="n"/>
      <c r="M610" s="55" t="n"/>
      <c r="N610" s="56" t="n"/>
      <c r="O610" s="79" t="n"/>
      <c r="P610" s="79" t="n"/>
      <c r="Q610" s="79" t="n"/>
      <c r="R610" s="79" t="n"/>
      <c r="S610" s="80">
        <f>SUM(O610:R610)</f>
        <v/>
      </c>
      <c r="T610" s="77" t="n"/>
      <c r="U610" s="78" t="n"/>
      <c r="V610" s="79" t="n"/>
      <c r="W610" s="68" t="n"/>
      <c r="X610" s="79" t="n"/>
      <c r="Y610" s="77" t="n"/>
      <c r="Z610" s="79" t="n"/>
      <c r="AA610" s="79" t="n"/>
      <c r="AB610" s="79" t="n"/>
      <c r="AC610" s="68" t="n"/>
      <c r="AD610" s="78" t="n"/>
      <c r="AE610" s="81">
        <f>SUMIFS([1]инфо!$D$15:$D$28,[1]инфо!$A$15:$A$28,F610)</f>
        <v/>
      </c>
      <c r="AF610" s="62">
        <f>IF(H610=0,0,N610/H610)</f>
        <v/>
      </c>
      <c r="AG610" s="82">
        <f>AF610-AE610</f>
        <v/>
      </c>
      <c r="AH610" s="81">
        <f>SUMIFS([1]инфо!$E$15:$E$28,[1]инфо!$A$15:$A$28,F610)</f>
        <v/>
      </c>
      <c r="AI610" s="64">
        <f>IF(H610=0,0,S610/H610)</f>
        <v/>
      </c>
      <c r="AJ610" s="82">
        <f>AI610-AH610</f>
        <v/>
      </c>
      <c r="AK610" s="81">
        <f>SUMIFS([1]инфо!$F$15:$F$28,[1]инфо!$A$15:$A$28,F610)</f>
        <v/>
      </c>
      <c r="AL610" s="64">
        <f>IF(H610=0,0,Y610/H610)</f>
        <v/>
      </c>
      <c r="AM610" s="82">
        <f>AL610-AK610</f>
        <v/>
      </c>
      <c r="AN610" s="81">
        <f>SUMIFS([1]инфо!$G$15:$G$28,[1]инфо!$A$15:$A$28,F610)</f>
        <v/>
      </c>
      <c r="AO610" s="64">
        <f>IF(H610=0,0,AA610/H610)</f>
        <v/>
      </c>
      <c r="AP610" s="82">
        <f>AO610-AN610</f>
        <v/>
      </c>
      <c r="AQ610" s="81">
        <f>SUMIFS([1]инфо!$H$15:$H$28,[1]инфо!$A$15:$A$28,F610)</f>
        <v/>
      </c>
      <c r="AR610" s="85">
        <f>IF(H609=0,0,AC610/H609)</f>
        <v/>
      </c>
      <c r="AS610" s="82">
        <f>AR610-AQ610</f>
        <v/>
      </c>
      <c r="AT610" s="81">
        <f>SUMIFS([1]инфо!$I$15:$I$28,[1]инфо!$A$15:$A$28,F610)</f>
        <v/>
      </c>
      <c r="AU610" s="62">
        <f>IF(H610=0,0,AD610/H610)</f>
        <v/>
      </c>
      <c r="AV610" s="82">
        <f>AU610-AT610</f>
        <v/>
      </c>
      <c r="AX610" s="80">
        <f>SUMIFS([1]инфо!$C$15:$C$28,[1]инфо!$A$15:$A$28,F610)*H609</f>
        <v/>
      </c>
    </row>
    <row r="611">
      <c r="A611" s="71">
        <f>A609+1</f>
        <v/>
      </c>
      <c r="B611" s="89" t="n"/>
      <c r="C611" s="72" t="n"/>
      <c r="D611" s="73" t="n"/>
      <c r="E611" s="66" t="n"/>
      <c r="F611" s="67" t="n"/>
      <c r="G611" s="74" t="n"/>
      <c r="H611" s="55" t="n"/>
      <c r="I611" s="57">
        <f>IFERROR(H611*VLOOKUP(F611,[1]инфо!$A$15:$C$28,3,FALSE)/1000,0)</f>
        <v/>
      </c>
      <c r="J611" s="55" t="n"/>
      <c r="K611" s="55" t="n"/>
      <c r="L611" s="55" t="n"/>
      <c r="M611" s="55" t="n"/>
      <c r="N611" s="67" t="n"/>
      <c r="O611" s="74" t="n"/>
      <c r="P611" s="74" t="n"/>
      <c r="Q611" s="74" t="n"/>
      <c r="R611" s="74" t="n"/>
      <c r="S611" s="70">
        <f>SUM(O611:R611)</f>
        <v/>
      </c>
      <c r="T611" s="72" t="n"/>
      <c r="U611" s="73" t="n"/>
      <c r="V611" s="74" t="n"/>
      <c r="W611" s="68" t="n"/>
      <c r="X611" s="74" t="n"/>
      <c r="Y611" s="72" t="n"/>
      <c r="Z611" s="74" t="n"/>
      <c r="AA611" s="74" t="n"/>
      <c r="AB611" s="74" t="n"/>
      <c r="AC611" s="68" t="n"/>
      <c r="AD611" s="73" t="n"/>
      <c r="AE611" s="75">
        <f>SUMIFS([1]инфо!$D$15:$D$28,[1]инфо!$A$15:$A$28,F611)</f>
        <v/>
      </c>
      <c r="AF611" s="62">
        <f>IF(H611=0,0,N611/H611)</f>
        <v/>
      </c>
      <c r="AG611" s="76">
        <f>AF611-AE611</f>
        <v/>
      </c>
      <c r="AH611" s="75">
        <f>SUMIFS([1]инфо!$E$15:$E$28,[1]инфо!$A$15:$A$28,F611)</f>
        <v/>
      </c>
      <c r="AI611" s="64">
        <f>IF(H611=0,0,S611/H611)</f>
        <v/>
      </c>
      <c r="AJ611" s="76">
        <f>AI611-AH611</f>
        <v/>
      </c>
      <c r="AK611" s="75">
        <f>SUMIFS([1]инфо!$F$15:$F$28,[1]инфо!$A$15:$A$28,F611)</f>
        <v/>
      </c>
      <c r="AL611" s="64">
        <f>IF(H611=0,0,Y611/H611)</f>
        <v/>
      </c>
      <c r="AM611" s="76">
        <f>AL611-AK611</f>
        <v/>
      </c>
      <c r="AN611" s="75">
        <f>SUMIFS([1]инфо!$G$15:$G$28,[1]инфо!$A$15:$A$28,F611)</f>
        <v/>
      </c>
      <c r="AO611" s="64">
        <f>IF(H611=0,0,AA611/H611)</f>
        <v/>
      </c>
      <c r="AP611" s="76">
        <f>AO611-AN611</f>
        <v/>
      </c>
      <c r="AQ611" s="75">
        <f>SUMIFS([1]инфо!$H$15:$H$28,[1]инфо!$A$15:$A$28,F611)</f>
        <v/>
      </c>
      <c r="AR611" s="64">
        <f>IF(H610=0,0,AC611/H610)</f>
        <v/>
      </c>
      <c r="AS611" s="76">
        <f>AR611-AQ611</f>
        <v/>
      </c>
      <c r="AT611" s="75">
        <f>SUMIFS([1]инфо!$I$15:$I$28,[1]инфо!$A$15:$A$28,F611)</f>
        <v/>
      </c>
      <c r="AU611" s="62">
        <f>IF(H611=0,0,AD611/H611)</f>
        <v/>
      </c>
      <c r="AV611" s="76">
        <f>AU611-AT611</f>
        <v/>
      </c>
      <c r="AX611" s="70">
        <f>SUMIFS([1]инфо!$C$15:$C$28,[1]инфо!$A$15:$A$28,F611)*H610</f>
        <v/>
      </c>
    </row>
    <row r="612">
      <c r="A612" s="71">
        <f>A610+1</f>
        <v/>
      </c>
      <c r="B612" s="90" t="n"/>
      <c r="C612" s="52" t="n"/>
      <c r="D612" s="53" t="n"/>
      <c r="E612" s="66" t="n"/>
      <c r="F612" s="67" t="n"/>
      <c r="G612" s="58" t="n"/>
      <c r="H612" s="55" t="n"/>
      <c r="I612" s="57">
        <f>IFERROR(H612*VLOOKUP(F612,[1]инфо!$A$15:$C$28,3,FALSE)/1000,0)</f>
        <v/>
      </c>
      <c r="J612" s="55" t="n"/>
      <c r="K612" s="55" t="n"/>
      <c r="L612" s="55" t="n"/>
      <c r="M612" s="55" t="n"/>
      <c r="N612" s="55" t="n"/>
      <c r="O612" s="58" t="n"/>
      <c r="P612" s="58" t="n"/>
      <c r="Q612" s="58" t="n"/>
      <c r="R612" s="58" t="n"/>
      <c r="S612" s="59">
        <f>SUM(O612:R612)</f>
        <v/>
      </c>
      <c r="T612" s="52" t="n"/>
      <c r="U612" s="53" t="n"/>
      <c r="V612" s="58" t="n"/>
      <c r="W612" s="68" t="n"/>
      <c r="X612" s="58" t="n"/>
      <c r="Y612" s="52" t="n"/>
      <c r="Z612" s="58" t="n"/>
      <c r="AA612" s="58" t="n"/>
      <c r="AB612" s="58" t="n"/>
      <c r="AC612" s="68" t="n"/>
      <c r="AD612" s="53" t="n"/>
      <c r="AE612" s="61">
        <f>SUMIFS([1]инфо!$D$15:$D$28,[1]инфо!$A$15:$A$28,F612)</f>
        <v/>
      </c>
      <c r="AF612" s="62">
        <f>IF(H612=0,0,N612/H612)</f>
        <v/>
      </c>
      <c r="AG612" s="63">
        <f>AF612-AE612</f>
        <v/>
      </c>
      <c r="AH612" s="61">
        <f>SUMIFS([1]инфо!$E$15:$E$28,[1]инфо!$A$15:$A$28,F612)</f>
        <v/>
      </c>
      <c r="AI612" s="64">
        <f>IF(H612=0,0,S612/H612)</f>
        <v/>
      </c>
      <c r="AJ612" s="63">
        <f>AI612-AH612</f>
        <v/>
      </c>
      <c r="AK612" s="61">
        <f>SUMIFS([1]инфо!$F$15:$F$28,[1]инфо!$A$15:$A$28,F612)</f>
        <v/>
      </c>
      <c r="AL612" s="64">
        <f>IF(H612=0,0,Y612/H612)</f>
        <v/>
      </c>
      <c r="AM612" s="63">
        <f>AL612-AK612</f>
        <v/>
      </c>
      <c r="AN612" s="61">
        <f>SUMIFS([1]инфо!$G$15:$G$28,[1]инфо!$A$15:$A$28,F612)</f>
        <v/>
      </c>
      <c r="AO612" s="64">
        <f>IF(H612=0,0,AA612/H612)</f>
        <v/>
      </c>
      <c r="AP612" s="63">
        <f>AO612-AN612</f>
        <v/>
      </c>
      <c r="AQ612" s="61">
        <f>SUMIFS([1]инфо!$H$15:$H$28,[1]инфо!$A$15:$A$28,F612)</f>
        <v/>
      </c>
      <c r="AR612" s="62">
        <f>IF(H611=0,0,AC612/H611)</f>
        <v/>
      </c>
      <c r="AS612" s="63">
        <f>AR612-AQ612</f>
        <v/>
      </c>
      <c r="AT612" s="61">
        <f>SUMIFS([1]инфо!$I$15:$I$28,[1]инфо!$A$15:$A$28,F612)</f>
        <v/>
      </c>
      <c r="AU612" s="62">
        <f>IF(H612=0,0,AD612/H612)</f>
        <v/>
      </c>
      <c r="AV612" s="63">
        <f>AU612-AT612</f>
        <v/>
      </c>
      <c r="AX612" s="59">
        <f>SUMIFS([1]инфо!$C$15:$C$28,[1]инфо!$A$15:$A$28,F612)*H611</f>
        <v/>
      </c>
    </row>
    <row r="613">
      <c r="A613" s="71">
        <f>A611+1</f>
        <v/>
      </c>
      <c r="B613" s="90" t="n"/>
      <c r="C613" s="52" t="n"/>
      <c r="D613" s="53" t="n"/>
      <c r="E613" s="66" t="n"/>
      <c r="F613" s="67" t="n"/>
      <c r="G613" s="58" t="n"/>
      <c r="H613" s="56" t="n"/>
      <c r="I613" s="57">
        <f>IFERROR(H613*VLOOKUP(F613,[1]инфо!$A$15:$C$28,3,FALSE)/1000,0)</f>
        <v/>
      </c>
      <c r="J613" s="55" t="n"/>
      <c r="K613" s="55" t="n"/>
      <c r="L613" s="55" t="n"/>
      <c r="M613" s="55" t="n"/>
      <c r="N613" s="55" t="n"/>
      <c r="O613" s="58" t="n"/>
      <c r="P613" s="58" t="n"/>
      <c r="Q613" s="58" t="n"/>
      <c r="R613" s="58" t="n"/>
      <c r="S613" s="59">
        <f>SUM(O613:R613)</f>
        <v/>
      </c>
      <c r="T613" s="52" t="n"/>
      <c r="U613" s="53" t="n"/>
      <c r="V613" s="58" t="n"/>
      <c r="W613" s="68" t="n"/>
      <c r="X613" s="58" t="n"/>
      <c r="Y613" s="52" t="n"/>
      <c r="Z613" s="58" t="n"/>
      <c r="AA613" s="58" t="n"/>
      <c r="AB613" s="58" t="n"/>
      <c r="AC613" s="68" t="n"/>
      <c r="AD613" s="53" t="n"/>
      <c r="AE613" s="61">
        <f>SUMIFS([1]инфо!$D$15:$D$28,[1]инфо!$A$15:$A$28,F613)</f>
        <v/>
      </c>
      <c r="AF613" s="62">
        <f>IF(H613=0,0,N613/H613)</f>
        <v/>
      </c>
      <c r="AG613" s="63">
        <f>AF613-AE613</f>
        <v/>
      </c>
      <c r="AH613" s="61">
        <f>SUMIFS([1]инфо!$E$15:$E$28,[1]инфо!$A$15:$A$28,F613)</f>
        <v/>
      </c>
      <c r="AI613" s="64">
        <f>IF(H613=0,0,S613/H613)</f>
        <v/>
      </c>
      <c r="AJ613" s="63">
        <f>AI613-AH613</f>
        <v/>
      </c>
      <c r="AK613" s="61">
        <f>SUMIFS([1]инфо!$F$15:$F$28,[1]инфо!$A$15:$A$28,F613)</f>
        <v/>
      </c>
      <c r="AL613" s="64">
        <f>IF(H613=0,0,Y613/H613)</f>
        <v/>
      </c>
      <c r="AM613" s="63">
        <f>AL613-AK613</f>
        <v/>
      </c>
      <c r="AN613" s="61">
        <f>SUMIFS([1]инфо!$G$15:$G$28,[1]инфо!$A$15:$A$28,F613)</f>
        <v/>
      </c>
      <c r="AO613" s="64">
        <f>IF(H613=0,0,AA613/H613)</f>
        <v/>
      </c>
      <c r="AP613" s="63">
        <f>AO613-AN613</f>
        <v/>
      </c>
      <c r="AQ613" s="61">
        <f>SUMIFS([1]инфо!$H$15:$H$28,[1]инфо!$A$15:$A$28,F613)</f>
        <v/>
      </c>
      <c r="AR613" s="62">
        <f>IF(H612=0,0,AC613/H612)</f>
        <v/>
      </c>
      <c r="AS613" s="63">
        <f>AR613-AQ613</f>
        <v/>
      </c>
      <c r="AT613" s="61">
        <f>SUMIFS([1]инфо!$I$15:$I$28,[1]инфо!$A$15:$A$28,F613)</f>
        <v/>
      </c>
      <c r="AU613" s="62">
        <f>IF(H613=0,0,AD613/H613)</f>
        <v/>
      </c>
      <c r="AV613" s="63">
        <f>AU613-AT613</f>
        <v/>
      </c>
      <c r="AX613" s="59">
        <f>SUMIFS([1]инфо!$C$15:$C$28,[1]инфо!$A$15:$A$28,F613)*H612</f>
        <v/>
      </c>
    </row>
    <row r="614">
      <c r="A614" s="71">
        <f>A612+1</f>
        <v/>
      </c>
      <c r="B614" s="88" t="n"/>
      <c r="C614" s="77" t="n"/>
      <c r="D614" s="78" t="n"/>
      <c r="E614" s="66" t="n"/>
      <c r="F614" s="67" t="n"/>
      <c r="G614" s="79" t="n"/>
      <c r="H614" s="67" t="n"/>
      <c r="I614" s="57">
        <f>IFERROR(H614*VLOOKUP(F614,[1]инфо!$A$15:$C$28,3,FALSE)/1000,0)</f>
        <v/>
      </c>
      <c r="J614" s="55" t="n"/>
      <c r="K614" s="55" t="n"/>
      <c r="L614" s="55" t="n"/>
      <c r="M614" s="55" t="n"/>
      <c r="N614" s="56" t="n"/>
      <c r="O614" s="79" t="n"/>
      <c r="P614" s="79" t="n"/>
      <c r="Q614" s="79" t="n"/>
      <c r="R614" s="79" t="n"/>
      <c r="S614" s="80">
        <f>SUM(O614:R614)</f>
        <v/>
      </c>
      <c r="T614" s="77" t="n"/>
      <c r="U614" s="78" t="n"/>
      <c r="V614" s="79" t="n"/>
      <c r="W614" s="68" t="n"/>
      <c r="X614" s="79" t="n"/>
      <c r="Y614" s="77" t="n"/>
      <c r="Z614" s="79" t="n"/>
      <c r="AA614" s="79" t="n"/>
      <c r="AB614" s="79" t="n"/>
      <c r="AC614" s="68" t="n"/>
      <c r="AD614" s="78" t="n"/>
      <c r="AE614" s="81">
        <f>SUMIFS([1]инфо!$D$15:$D$28,[1]инфо!$A$15:$A$28,F614)</f>
        <v/>
      </c>
      <c r="AF614" s="62">
        <f>IF(H614=0,0,N614/H614)</f>
        <v/>
      </c>
      <c r="AG614" s="82">
        <f>AF614-AE614</f>
        <v/>
      </c>
      <c r="AH614" s="81">
        <f>SUMIFS([1]инфо!$E$15:$E$28,[1]инфо!$A$15:$A$28,F614)</f>
        <v/>
      </c>
      <c r="AI614" s="64">
        <f>IF(H614=0,0,S614/H614)</f>
        <v/>
      </c>
      <c r="AJ614" s="82">
        <f>AI614-AH614</f>
        <v/>
      </c>
      <c r="AK614" s="81">
        <f>SUMIFS([1]инфо!$F$15:$F$28,[1]инфо!$A$15:$A$28,F614)</f>
        <v/>
      </c>
      <c r="AL614" s="64">
        <f>IF(H614=0,0,Y614/H614)</f>
        <v/>
      </c>
      <c r="AM614" s="82">
        <f>AL614-AK614</f>
        <v/>
      </c>
      <c r="AN614" s="81">
        <f>SUMIFS([1]инфо!$G$15:$G$28,[1]инфо!$A$15:$A$28,F614)</f>
        <v/>
      </c>
      <c r="AO614" s="64">
        <f>IF(H614=0,0,AA614/H614)</f>
        <v/>
      </c>
      <c r="AP614" s="82">
        <f>AO614-AN614</f>
        <v/>
      </c>
      <c r="AQ614" s="81">
        <f>SUMIFS([1]инфо!$H$15:$H$28,[1]инфо!$A$15:$A$28,F614)</f>
        <v/>
      </c>
      <c r="AR614" s="85">
        <f>IF(H613=0,0,AC614/H613)</f>
        <v/>
      </c>
      <c r="AS614" s="82">
        <f>AR614-AQ614</f>
        <v/>
      </c>
      <c r="AT614" s="81">
        <f>SUMIFS([1]инфо!$I$15:$I$28,[1]инфо!$A$15:$A$28,F614)</f>
        <v/>
      </c>
      <c r="AU614" s="62">
        <f>IF(H614=0,0,AD614/H614)</f>
        <v/>
      </c>
      <c r="AV614" s="82">
        <f>AU614-AT614</f>
        <v/>
      </c>
      <c r="AX614" s="80">
        <f>SUMIFS([1]инфо!$C$15:$C$28,[1]инфо!$A$15:$A$28,F614)*H613</f>
        <v/>
      </c>
    </row>
    <row r="615">
      <c r="A615" s="71">
        <f>A613+1</f>
        <v/>
      </c>
      <c r="B615" s="89" t="n"/>
      <c r="C615" s="72" t="n"/>
      <c r="D615" s="73" t="n"/>
      <c r="E615" s="66" t="n"/>
      <c r="F615" s="67" t="n"/>
      <c r="G615" s="74" t="n"/>
      <c r="H615" s="55" t="n"/>
      <c r="I615" s="57">
        <f>IFERROR(H615*VLOOKUP(F615,[1]инфо!$A$15:$C$28,3,FALSE)/1000,0)</f>
        <v/>
      </c>
      <c r="J615" s="55" t="n"/>
      <c r="K615" s="55" t="n"/>
      <c r="L615" s="55" t="n"/>
      <c r="M615" s="55" t="n"/>
      <c r="N615" s="67" t="n"/>
      <c r="O615" s="74" t="n"/>
      <c r="P615" s="74" t="n"/>
      <c r="Q615" s="74" t="n"/>
      <c r="R615" s="74" t="n"/>
      <c r="S615" s="70">
        <f>SUM(O615:R615)</f>
        <v/>
      </c>
      <c r="T615" s="72" t="n"/>
      <c r="U615" s="73" t="n"/>
      <c r="V615" s="74" t="n"/>
      <c r="W615" s="68" t="n"/>
      <c r="X615" s="74" t="n"/>
      <c r="Y615" s="72" t="n"/>
      <c r="Z615" s="74" t="n"/>
      <c r="AA615" s="74" t="n"/>
      <c r="AB615" s="74" t="n"/>
      <c r="AC615" s="68" t="n"/>
      <c r="AD615" s="73" t="n"/>
      <c r="AE615" s="75">
        <f>SUMIFS([1]инфо!$D$15:$D$28,[1]инфо!$A$15:$A$28,F615)</f>
        <v/>
      </c>
      <c r="AF615" s="62">
        <f>IF(H615=0,0,N615/H615)</f>
        <v/>
      </c>
      <c r="AG615" s="76">
        <f>AF615-AE615</f>
        <v/>
      </c>
      <c r="AH615" s="75">
        <f>SUMIFS([1]инфо!$E$15:$E$28,[1]инфо!$A$15:$A$28,F615)</f>
        <v/>
      </c>
      <c r="AI615" s="64">
        <f>IF(H615=0,0,S615/H615)</f>
        <v/>
      </c>
      <c r="AJ615" s="76">
        <f>AI615-AH615</f>
        <v/>
      </c>
      <c r="AK615" s="75">
        <f>SUMIFS([1]инфо!$F$15:$F$28,[1]инфо!$A$15:$A$28,F615)</f>
        <v/>
      </c>
      <c r="AL615" s="64">
        <f>IF(H615=0,0,Y615/H615)</f>
        <v/>
      </c>
      <c r="AM615" s="76">
        <f>AL615-AK615</f>
        <v/>
      </c>
      <c r="AN615" s="75">
        <f>SUMIFS([1]инфо!$G$15:$G$28,[1]инфо!$A$15:$A$28,F615)</f>
        <v/>
      </c>
      <c r="AO615" s="64">
        <f>IF(H615=0,0,AA615/H615)</f>
        <v/>
      </c>
      <c r="AP615" s="76">
        <f>AO615-AN615</f>
        <v/>
      </c>
      <c r="AQ615" s="75">
        <f>SUMIFS([1]инфо!$H$15:$H$28,[1]инфо!$A$15:$A$28,F615)</f>
        <v/>
      </c>
      <c r="AR615" s="64">
        <f>IF(H614=0,0,AC615/H614)</f>
        <v/>
      </c>
      <c r="AS615" s="76">
        <f>AR615-AQ615</f>
        <v/>
      </c>
      <c r="AT615" s="75">
        <f>SUMIFS([1]инфо!$I$15:$I$28,[1]инфо!$A$15:$A$28,F615)</f>
        <v/>
      </c>
      <c r="AU615" s="62">
        <f>IF(H615=0,0,AD615/H615)</f>
        <v/>
      </c>
      <c r="AV615" s="76">
        <f>AU615-AT615</f>
        <v/>
      </c>
      <c r="AX615" s="70">
        <f>SUMIFS([1]инфо!$C$15:$C$28,[1]инфо!$A$15:$A$28,F615)*H614</f>
        <v/>
      </c>
    </row>
    <row r="616">
      <c r="A616" s="71">
        <f>A614+1</f>
        <v/>
      </c>
      <c r="B616" s="90" t="n"/>
      <c r="C616" s="52" t="n"/>
      <c r="D616" s="53" t="n"/>
      <c r="E616" s="66" t="n"/>
      <c r="F616" s="67" t="n"/>
      <c r="G616" s="58" t="n"/>
      <c r="H616" s="55" t="n"/>
      <c r="I616" s="57">
        <f>IFERROR(H616*VLOOKUP(F616,[1]инфо!$A$15:$C$28,3,FALSE)/1000,0)</f>
        <v/>
      </c>
      <c r="J616" s="55" t="n"/>
      <c r="K616" s="55" t="n"/>
      <c r="L616" s="55" t="n"/>
      <c r="M616" s="55" t="n"/>
      <c r="N616" s="55" t="n"/>
      <c r="O616" s="58" t="n"/>
      <c r="P616" s="58" t="n"/>
      <c r="Q616" s="58" t="n"/>
      <c r="R616" s="58" t="n"/>
      <c r="S616" s="59">
        <f>SUM(O616:R616)</f>
        <v/>
      </c>
      <c r="T616" s="52" t="n"/>
      <c r="U616" s="53" t="n"/>
      <c r="V616" s="58" t="n"/>
      <c r="W616" s="68" t="n"/>
      <c r="X616" s="58" t="n"/>
      <c r="Y616" s="52" t="n"/>
      <c r="Z616" s="58" t="n"/>
      <c r="AA616" s="58" t="n"/>
      <c r="AB616" s="58" t="n"/>
      <c r="AC616" s="68" t="n"/>
      <c r="AD616" s="53" t="n"/>
      <c r="AE616" s="61">
        <f>SUMIFS([1]инфо!$D$15:$D$28,[1]инфо!$A$15:$A$28,F616)</f>
        <v/>
      </c>
      <c r="AF616" s="62">
        <f>IF(H616=0,0,N616/H616)</f>
        <v/>
      </c>
      <c r="AG616" s="63">
        <f>AF616-AE616</f>
        <v/>
      </c>
      <c r="AH616" s="61">
        <f>SUMIFS([1]инфо!$E$15:$E$28,[1]инфо!$A$15:$A$28,F616)</f>
        <v/>
      </c>
      <c r="AI616" s="64">
        <f>IF(H616=0,0,S616/H616)</f>
        <v/>
      </c>
      <c r="AJ616" s="63">
        <f>AI616-AH616</f>
        <v/>
      </c>
      <c r="AK616" s="61">
        <f>SUMIFS([1]инфо!$F$15:$F$28,[1]инфо!$A$15:$A$28,F616)</f>
        <v/>
      </c>
      <c r="AL616" s="64">
        <f>IF(H616=0,0,Y616/H616)</f>
        <v/>
      </c>
      <c r="AM616" s="63">
        <f>AL616-AK616</f>
        <v/>
      </c>
      <c r="AN616" s="61">
        <f>SUMIFS([1]инфо!$G$15:$G$28,[1]инфо!$A$15:$A$28,F616)</f>
        <v/>
      </c>
      <c r="AO616" s="64">
        <f>IF(H616=0,0,AA616/H616)</f>
        <v/>
      </c>
      <c r="AP616" s="63">
        <f>AO616-AN616</f>
        <v/>
      </c>
      <c r="AQ616" s="61">
        <f>SUMIFS([1]инфо!$H$15:$H$28,[1]инфо!$A$15:$A$28,F616)</f>
        <v/>
      </c>
      <c r="AR616" s="62">
        <f>IF(H615=0,0,AC616/H615)</f>
        <v/>
      </c>
      <c r="AS616" s="63">
        <f>AR616-AQ616</f>
        <v/>
      </c>
      <c r="AT616" s="61">
        <f>SUMIFS([1]инфо!$I$15:$I$28,[1]инфо!$A$15:$A$28,F616)</f>
        <v/>
      </c>
      <c r="AU616" s="62">
        <f>IF(H616=0,0,AD616/H616)</f>
        <v/>
      </c>
      <c r="AV616" s="63">
        <f>AU616-AT616</f>
        <v/>
      </c>
      <c r="AX616" s="59">
        <f>SUMIFS([1]инфо!$C$15:$C$28,[1]инфо!$A$15:$A$28,F616)*H615</f>
        <v/>
      </c>
    </row>
    <row r="617">
      <c r="A617" s="71">
        <f>A615+1</f>
        <v/>
      </c>
      <c r="B617" s="90" t="n"/>
      <c r="C617" s="52" t="n"/>
      <c r="D617" s="53" t="n"/>
      <c r="E617" s="66" t="n"/>
      <c r="F617" s="67" t="n"/>
      <c r="G617" s="58" t="n"/>
      <c r="H617" s="56" t="n"/>
      <c r="I617" s="57">
        <f>IFERROR(H617*VLOOKUP(F617,[1]инфо!$A$15:$C$28,3,FALSE)/1000,0)</f>
        <v/>
      </c>
      <c r="J617" s="55" t="n"/>
      <c r="K617" s="55" t="n"/>
      <c r="L617" s="55" t="n"/>
      <c r="M617" s="55" t="n"/>
      <c r="N617" s="55" t="n"/>
      <c r="O617" s="58" t="n"/>
      <c r="P617" s="58" t="n"/>
      <c r="Q617" s="58" t="n"/>
      <c r="R617" s="58" t="n"/>
      <c r="S617" s="59">
        <f>SUM(O617:R617)</f>
        <v/>
      </c>
      <c r="T617" s="52" t="n"/>
      <c r="U617" s="53" t="n"/>
      <c r="V617" s="58" t="n"/>
      <c r="W617" s="68" t="n"/>
      <c r="X617" s="58" t="n"/>
      <c r="Y617" s="52" t="n"/>
      <c r="Z617" s="58" t="n"/>
      <c r="AA617" s="58" t="n"/>
      <c r="AB617" s="58" t="n"/>
      <c r="AC617" s="68" t="n"/>
      <c r="AD617" s="53" t="n"/>
      <c r="AE617" s="61">
        <f>SUMIFS([1]инфо!$D$15:$D$28,[1]инфо!$A$15:$A$28,F617)</f>
        <v/>
      </c>
      <c r="AF617" s="62">
        <f>IF(H617=0,0,N617/H617)</f>
        <v/>
      </c>
      <c r="AG617" s="63">
        <f>AF617-AE617</f>
        <v/>
      </c>
      <c r="AH617" s="61">
        <f>SUMIFS([1]инфо!$E$15:$E$28,[1]инфо!$A$15:$A$28,F617)</f>
        <v/>
      </c>
      <c r="AI617" s="64">
        <f>IF(H617=0,0,S617/H617)</f>
        <v/>
      </c>
      <c r="AJ617" s="63">
        <f>AI617-AH617</f>
        <v/>
      </c>
      <c r="AK617" s="61">
        <f>SUMIFS([1]инфо!$F$15:$F$28,[1]инфо!$A$15:$A$28,F617)</f>
        <v/>
      </c>
      <c r="AL617" s="64">
        <f>IF(H617=0,0,Y617/H617)</f>
        <v/>
      </c>
      <c r="AM617" s="63">
        <f>AL617-AK617</f>
        <v/>
      </c>
      <c r="AN617" s="61">
        <f>SUMIFS([1]инфо!$G$15:$G$28,[1]инфо!$A$15:$A$28,F617)</f>
        <v/>
      </c>
      <c r="AO617" s="64">
        <f>IF(H617=0,0,AA617/H617)</f>
        <v/>
      </c>
      <c r="AP617" s="63">
        <f>AO617-AN617</f>
        <v/>
      </c>
      <c r="AQ617" s="61">
        <f>SUMIFS([1]инфо!$H$15:$H$28,[1]инфо!$A$15:$A$28,F617)</f>
        <v/>
      </c>
      <c r="AR617" s="62">
        <f>IF(H616=0,0,AC617/H616)</f>
        <v/>
      </c>
      <c r="AS617" s="63">
        <f>AR617-AQ617</f>
        <v/>
      </c>
      <c r="AT617" s="61">
        <f>SUMIFS([1]инфо!$I$15:$I$28,[1]инфо!$A$15:$A$28,F617)</f>
        <v/>
      </c>
      <c r="AU617" s="62">
        <f>IF(H617=0,0,AD617/H617)</f>
        <v/>
      </c>
      <c r="AV617" s="63">
        <f>AU617-AT617</f>
        <v/>
      </c>
      <c r="AX617" s="59">
        <f>SUMIFS([1]инфо!$C$15:$C$28,[1]инфо!$A$15:$A$28,F617)*H616</f>
        <v/>
      </c>
    </row>
    <row r="618">
      <c r="A618" s="71">
        <f>A616+1</f>
        <v/>
      </c>
      <c r="B618" s="88" t="n"/>
      <c r="C618" s="77" t="n"/>
      <c r="D618" s="78" t="n"/>
      <c r="E618" s="66" t="n"/>
      <c r="F618" s="67" t="n"/>
      <c r="G618" s="79" t="n"/>
      <c r="H618" s="67" t="n"/>
      <c r="I618" s="57">
        <f>IFERROR(H618*VLOOKUP(F618,[1]инфо!$A$15:$C$28,3,FALSE)/1000,0)</f>
        <v/>
      </c>
      <c r="J618" s="55" t="n"/>
      <c r="K618" s="55" t="n"/>
      <c r="L618" s="55" t="n"/>
      <c r="M618" s="55" t="n"/>
      <c r="N618" s="56" t="n"/>
      <c r="O618" s="79" t="n"/>
      <c r="P618" s="79" t="n"/>
      <c r="Q618" s="79" t="n"/>
      <c r="R618" s="79" t="n"/>
      <c r="S618" s="80">
        <f>SUM(O618:R618)</f>
        <v/>
      </c>
      <c r="T618" s="77" t="n"/>
      <c r="U618" s="78" t="n"/>
      <c r="V618" s="79" t="n"/>
      <c r="W618" s="68" t="n"/>
      <c r="X618" s="79" t="n"/>
      <c r="Y618" s="77" t="n"/>
      <c r="Z618" s="79" t="n"/>
      <c r="AA618" s="79" t="n"/>
      <c r="AB618" s="79" t="n"/>
      <c r="AC618" s="68" t="n"/>
      <c r="AD618" s="78" t="n"/>
      <c r="AE618" s="81">
        <f>SUMIFS([1]инфо!$D$15:$D$28,[1]инфо!$A$15:$A$28,F618)</f>
        <v/>
      </c>
      <c r="AF618" s="62">
        <f>IF(H618=0,0,N618/H618)</f>
        <v/>
      </c>
      <c r="AG618" s="82">
        <f>AF618-AE618</f>
        <v/>
      </c>
      <c r="AH618" s="81">
        <f>SUMIFS([1]инфо!$E$15:$E$28,[1]инфо!$A$15:$A$28,F618)</f>
        <v/>
      </c>
      <c r="AI618" s="64">
        <f>IF(H618=0,0,S618/H618)</f>
        <v/>
      </c>
      <c r="AJ618" s="82">
        <f>AI618-AH618</f>
        <v/>
      </c>
      <c r="AK618" s="81">
        <f>SUMIFS([1]инфо!$F$15:$F$28,[1]инфо!$A$15:$A$28,F618)</f>
        <v/>
      </c>
      <c r="AL618" s="64">
        <f>IF(H618=0,0,Y618/H618)</f>
        <v/>
      </c>
      <c r="AM618" s="82">
        <f>AL618-AK618</f>
        <v/>
      </c>
      <c r="AN618" s="81">
        <f>SUMIFS([1]инфо!$G$15:$G$28,[1]инфо!$A$15:$A$28,F618)</f>
        <v/>
      </c>
      <c r="AO618" s="64">
        <f>IF(H618=0,0,AA618/H618)</f>
        <v/>
      </c>
      <c r="AP618" s="82">
        <f>AO618-AN618</f>
        <v/>
      </c>
      <c r="AQ618" s="81">
        <f>SUMIFS([1]инфо!$H$15:$H$28,[1]инфо!$A$15:$A$28,F618)</f>
        <v/>
      </c>
      <c r="AR618" s="85">
        <f>IF(H617=0,0,AC618/H617)</f>
        <v/>
      </c>
      <c r="AS618" s="82">
        <f>AR618-AQ618</f>
        <v/>
      </c>
      <c r="AT618" s="81">
        <f>SUMIFS([1]инфо!$I$15:$I$28,[1]инфо!$A$15:$A$28,F618)</f>
        <v/>
      </c>
      <c r="AU618" s="62">
        <f>IF(H618=0,0,AD618/H618)</f>
        <v/>
      </c>
      <c r="AV618" s="82">
        <f>AU618-AT618</f>
        <v/>
      </c>
      <c r="AX618" s="80">
        <f>SUMIFS([1]инфо!$C$15:$C$28,[1]инфо!$A$15:$A$28,F618)*H617</f>
        <v/>
      </c>
    </row>
    <row r="619">
      <c r="A619" s="71">
        <f>A617+1</f>
        <v/>
      </c>
      <c r="B619" s="89" t="n"/>
      <c r="C619" s="72" t="n"/>
      <c r="D619" s="73" t="n"/>
      <c r="E619" s="66" t="n"/>
      <c r="F619" s="67" t="n"/>
      <c r="G619" s="74" t="n"/>
      <c r="H619" s="55" t="n"/>
      <c r="I619" s="57">
        <f>IFERROR(H619*VLOOKUP(F619,[1]инфо!$A$15:$C$28,3,FALSE)/1000,0)</f>
        <v/>
      </c>
      <c r="J619" s="55" t="n"/>
      <c r="K619" s="55" t="n"/>
      <c r="L619" s="55" t="n"/>
      <c r="M619" s="55" t="n"/>
      <c r="N619" s="67" t="n"/>
      <c r="O619" s="74" t="n"/>
      <c r="P619" s="74" t="n"/>
      <c r="Q619" s="74" t="n"/>
      <c r="R619" s="74" t="n"/>
      <c r="S619" s="70">
        <f>SUM(O619:R619)</f>
        <v/>
      </c>
      <c r="T619" s="72" t="n"/>
      <c r="U619" s="73" t="n"/>
      <c r="V619" s="74" t="n"/>
      <c r="W619" s="68" t="n"/>
      <c r="X619" s="74" t="n"/>
      <c r="Y619" s="72" t="n"/>
      <c r="Z619" s="74" t="n"/>
      <c r="AA619" s="74" t="n"/>
      <c r="AB619" s="74" t="n"/>
      <c r="AC619" s="68" t="n"/>
      <c r="AD619" s="73" t="n"/>
      <c r="AE619" s="75">
        <f>SUMIFS([1]инфо!$D$15:$D$28,[1]инфо!$A$15:$A$28,F619)</f>
        <v/>
      </c>
      <c r="AF619" s="62">
        <f>IF(H619=0,0,N619/H619)</f>
        <v/>
      </c>
      <c r="AG619" s="76">
        <f>AF619-AE619</f>
        <v/>
      </c>
      <c r="AH619" s="75">
        <f>SUMIFS([1]инфо!$E$15:$E$28,[1]инфо!$A$15:$A$28,F619)</f>
        <v/>
      </c>
      <c r="AI619" s="64">
        <f>IF(H619=0,0,S619/H619)</f>
        <v/>
      </c>
      <c r="AJ619" s="76">
        <f>AI619-AH619</f>
        <v/>
      </c>
      <c r="AK619" s="75">
        <f>SUMIFS([1]инфо!$F$15:$F$28,[1]инфо!$A$15:$A$28,F619)</f>
        <v/>
      </c>
      <c r="AL619" s="64">
        <f>IF(H619=0,0,Y619/H619)</f>
        <v/>
      </c>
      <c r="AM619" s="76">
        <f>AL619-AK619</f>
        <v/>
      </c>
      <c r="AN619" s="75">
        <f>SUMIFS([1]инфо!$G$15:$G$28,[1]инфо!$A$15:$A$28,F619)</f>
        <v/>
      </c>
      <c r="AO619" s="64">
        <f>IF(H619=0,0,AA619/H619)</f>
        <v/>
      </c>
      <c r="AP619" s="76">
        <f>AO619-AN619</f>
        <v/>
      </c>
      <c r="AQ619" s="75">
        <f>SUMIFS([1]инфо!$H$15:$H$28,[1]инфо!$A$15:$A$28,F619)</f>
        <v/>
      </c>
      <c r="AR619" s="64">
        <f>IF(H618=0,0,AC619/H618)</f>
        <v/>
      </c>
      <c r="AS619" s="76">
        <f>AR619-AQ619</f>
        <v/>
      </c>
      <c r="AT619" s="75">
        <f>SUMIFS([1]инфо!$I$15:$I$28,[1]инфо!$A$15:$A$28,F619)</f>
        <v/>
      </c>
      <c r="AU619" s="62">
        <f>IF(H619=0,0,AD619/H619)</f>
        <v/>
      </c>
      <c r="AV619" s="76">
        <f>AU619-AT619</f>
        <v/>
      </c>
      <c r="AX619" s="70">
        <f>SUMIFS([1]инфо!$C$15:$C$28,[1]инфо!$A$15:$A$28,F619)*H618</f>
        <v/>
      </c>
    </row>
    <row r="620">
      <c r="A620" s="71">
        <f>A618+1</f>
        <v/>
      </c>
      <c r="B620" s="90" t="n"/>
      <c r="C620" s="52" t="n"/>
      <c r="D620" s="53" t="n"/>
      <c r="E620" s="66" t="n"/>
      <c r="F620" s="67" t="n"/>
      <c r="G620" s="58" t="n"/>
      <c r="H620" s="55" t="n"/>
      <c r="I620" s="57">
        <f>IFERROR(H620*VLOOKUP(F620,[1]инфо!$A$15:$C$28,3,FALSE)/1000,0)</f>
        <v/>
      </c>
      <c r="J620" s="55" t="n"/>
      <c r="K620" s="55" t="n"/>
      <c r="L620" s="55" t="n"/>
      <c r="M620" s="55" t="n"/>
      <c r="N620" s="55" t="n"/>
      <c r="O620" s="58" t="n"/>
      <c r="P620" s="58" t="n"/>
      <c r="Q620" s="58" t="n"/>
      <c r="R620" s="58" t="n"/>
      <c r="S620" s="59">
        <f>SUM(O620:R620)</f>
        <v/>
      </c>
      <c r="T620" s="52" t="n"/>
      <c r="U620" s="53" t="n"/>
      <c r="V620" s="58" t="n"/>
      <c r="W620" s="68" t="n"/>
      <c r="X620" s="58" t="n"/>
      <c r="Y620" s="52" t="n"/>
      <c r="Z620" s="58" t="n"/>
      <c r="AA620" s="58" t="n"/>
      <c r="AB620" s="58" t="n"/>
      <c r="AC620" s="68" t="n"/>
      <c r="AD620" s="53" t="n"/>
      <c r="AE620" s="61">
        <f>SUMIFS([1]инфо!$D$15:$D$28,[1]инфо!$A$15:$A$28,F620)</f>
        <v/>
      </c>
      <c r="AF620" s="62">
        <f>IF(H620=0,0,N620/H620)</f>
        <v/>
      </c>
      <c r="AG620" s="63">
        <f>AF620-AE620</f>
        <v/>
      </c>
      <c r="AH620" s="61">
        <f>SUMIFS([1]инфо!$E$15:$E$28,[1]инфо!$A$15:$A$28,F620)</f>
        <v/>
      </c>
      <c r="AI620" s="64">
        <f>IF(H620=0,0,S620/H620)</f>
        <v/>
      </c>
      <c r="AJ620" s="63">
        <f>AI620-AH620</f>
        <v/>
      </c>
      <c r="AK620" s="61">
        <f>SUMIFS([1]инфо!$F$15:$F$28,[1]инфо!$A$15:$A$28,F620)</f>
        <v/>
      </c>
      <c r="AL620" s="64">
        <f>IF(H620=0,0,Y620/H620)</f>
        <v/>
      </c>
      <c r="AM620" s="63">
        <f>AL620-AK620</f>
        <v/>
      </c>
      <c r="AN620" s="61">
        <f>SUMIFS([1]инфо!$G$15:$G$28,[1]инфо!$A$15:$A$28,F620)</f>
        <v/>
      </c>
      <c r="AO620" s="64">
        <f>IF(H620=0,0,AA620/H620)</f>
        <v/>
      </c>
      <c r="AP620" s="63">
        <f>AO620-AN620</f>
        <v/>
      </c>
      <c r="AQ620" s="61">
        <f>SUMIFS([1]инфо!$H$15:$H$28,[1]инфо!$A$15:$A$28,F620)</f>
        <v/>
      </c>
      <c r="AR620" s="62">
        <f>IF(H619=0,0,AC620/H619)</f>
        <v/>
      </c>
      <c r="AS620" s="63">
        <f>AR620-AQ620</f>
        <v/>
      </c>
      <c r="AT620" s="61">
        <f>SUMIFS([1]инфо!$I$15:$I$28,[1]инфо!$A$15:$A$28,F620)</f>
        <v/>
      </c>
      <c r="AU620" s="62">
        <f>IF(H620=0,0,AD620/H620)</f>
        <v/>
      </c>
      <c r="AV620" s="63">
        <f>AU620-AT620</f>
        <v/>
      </c>
      <c r="AX620" s="59">
        <f>SUMIFS([1]инфо!$C$15:$C$28,[1]инфо!$A$15:$A$28,F620)*H619</f>
        <v/>
      </c>
    </row>
    <row r="621">
      <c r="A621" s="71">
        <f>A619+1</f>
        <v/>
      </c>
      <c r="B621" s="90" t="n"/>
      <c r="C621" s="52" t="n"/>
      <c r="D621" s="53" t="n"/>
      <c r="E621" s="66" t="n"/>
      <c r="F621" s="67" t="n"/>
      <c r="G621" s="58" t="n"/>
      <c r="H621" s="56" t="n"/>
      <c r="I621" s="57">
        <f>IFERROR(H621*VLOOKUP(F621,[1]инфо!$A$15:$C$28,3,FALSE)/1000,0)</f>
        <v/>
      </c>
      <c r="J621" s="55" t="n"/>
      <c r="K621" s="55" t="n"/>
      <c r="L621" s="55" t="n"/>
      <c r="M621" s="55" t="n"/>
      <c r="N621" s="55" t="n"/>
      <c r="O621" s="58" t="n"/>
      <c r="P621" s="58" t="n"/>
      <c r="Q621" s="58" t="n"/>
      <c r="R621" s="58" t="n"/>
      <c r="S621" s="59">
        <f>SUM(O621:R621)</f>
        <v/>
      </c>
      <c r="T621" s="52" t="n"/>
      <c r="U621" s="53" t="n"/>
      <c r="V621" s="58" t="n"/>
      <c r="W621" s="68" t="n"/>
      <c r="X621" s="58" t="n"/>
      <c r="Y621" s="52" t="n"/>
      <c r="Z621" s="58" t="n"/>
      <c r="AA621" s="58" t="n"/>
      <c r="AB621" s="58" t="n"/>
      <c r="AC621" s="68" t="n"/>
      <c r="AD621" s="53" t="n"/>
      <c r="AE621" s="61">
        <f>SUMIFS([1]инфо!$D$15:$D$28,[1]инфо!$A$15:$A$28,F621)</f>
        <v/>
      </c>
      <c r="AF621" s="62">
        <f>IF(H621=0,0,N621/H621)</f>
        <v/>
      </c>
      <c r="AG621" s="63">
        <f>AF621-AE621</f>
        <v/>
      </c>
      <c r="AH621" s="61">
        <f>SUMIFS([1]инфо!$E$15:$E$28,[1]инфо!$A$15:$A$28,F621)</f>
        <v/>
      </c>
      <c r="AI621" s="64">
        <f>IF(H621=0,0,S621/H621)</f>
        <v/>
      </c>
      <c r="AJ621" s="63">
        <f>AI621-AH621</f>
        <v/>
      </c>
      <c r="AK621" s="61">
        <f>SUMIFS([1]инфо!$F$15:$F$28,[1]инфо!$A$15:$A$28,F621)</f>
        <v/>
      </c>
      <c r="AL621" s="64">
        <f>IF(H621=0,0,Y621/H621)</f>
        <v/>
      </c>
      <c r="AM621" s="63">
        <f>AL621-AK621</f>
        <v/>
      </c>
      <c r="AN621" s="61">
        <f>SUMIFS([1]инфо!$G$15:$G$28,[1]инфо!$A$15:$A$28,F621)</f>
        <v/>
      </c>
      <c r="AO621" s="64">
        <f>IF(H621=0,0,AA621/H621)</f>
        <v/>
      </c>
      <c r="AP621" s="63">
        <f>AO621-AN621</f>
        <v/>
      </c>
      <c r="AQ621" s="61">
        <f>SUMIFS([1]инфо!$H$15:$H$28,[1]инфо!$A$15:$A$28,F621)</f>
        <v/>
      </c>
      <c r="AR621" s="62">
        <f>IF(H620=0,0,AC621/H620)</f>
        <v/>
      </c>
      <c r="AS621" s="63">
        <f>AR621-AQ621</f>
        <v/>
      </c>
      <c r="AT621" s="61">
        <f>SUMIFS([1]инфо!$I$15:$I$28,[1]инфо!$A$15:$A$28,F621)</f>
        <v/>
      </c>
      <c r="AU621" s="62">
        <f>IF(H621=0,0,AD621/H621)</f>
        <v/>
      </c>
      <c r="AV621" s="63">
        <f>AU621-AT621</f>
        <v/>
      </c>
      <c r="AX621" s="59">
        <f>SUMIFS([1]инфо!$C$15:$C$28,[1]инфо!$A$15:$A$28,F621)*H620</f>
        <v/>
      </c>
    </row>
    <row r="622">
      <c r="A622" s="71">
        <f>A620+1</f>
        <v/>
      </c>
      <c r="B622" s="88" t="n"/>
      <c r="C622" s="77" t="n"/>
      <c r="D622" s="78" t="n"/>
      <c r="E622" s="66" t="n"/>
      <c r="F622" s="67" t="n"/>
      <c r="G622" s="79" t="n"/>
      <c r="H622" s="67" t="n"/>
      <c r="I622" s="57">
        <f>IFERROR(H622*VLOOKUP(F622,[1]инфо!$A$15:$C$28,3,FALSE)/1000,0)</f>
        <v/>
      </c>
      <c r="J622" s="55" t="n"/>
      <c r="K622" s="55" t="n"/>
      <c r="L622" s="55" t="n"/>
      <c r="M622" s="55" t="n"/>
      <c r="N622" s="56" t="n"/>
      <c r="O622" s="79" t="n"/>
      <c r="P622" s="79" t="n"/>
      <c r="Q622" s="79" t="n"/>
      <c r="R622" s="79" t="n"/>
      <c r="S622" s="80">
        <f>SUM(O622:R622)</f>
        <v/>
      </c>
      <c r="T622" s="77" t="n"/>
      <c r="U622" s="78" t="n"/>
      <c r="V622" s="79" t="n"/>
      <c r="W622" s="68" t="n"/>
      <c r="X622" s="79" t="n"/>
      <c r="Y622" s="77" t="n"/>
      <c r="Z622" s="79" t="n"/>
      <c r="AA622" s="79" t="n"/>
      <c r="AB622" s="79" t="n"/>
      <c r="AC622" s="68" t="n"/>
      <c r="AD622" s="78" t="n"/>
      <c r="AE622" s="81">
        <f>SUMIFS([1]инфо!$D$15:$D$28,[1]инфо!$A$15:$A$28,F622)</f>
        <v/>
      </c>
      <c r="AF622" s="62">
        <f>IF(H622=0,0,N622/H622)</f>
        <v/>
      </c>
      <c r="AG622" s="82">
        <f>AF622-AE622</f>
        <v/>
      </c>
      <c r="AH622" s="81">
        <f>SUMIFS([1]инфо!$E$15:$E$28,[1]инфо!$A$15:$A$28,F622)</f>
        <v/>
      </c>
      <c r="AI622" s="64">
        <f>IF(H622=0,0,S622/H622)</f>
        <v/>
      </c>
      <c r="AJ622" s="82">
        <f>AI622-AH622</f>
        <v/>
      </c>
      <c r="AK622" s="81">
        <f>SUMIFS([1]инфо!$F$15:$F$28,[1]инфо!$A$15:$A$28,F622)</f>
        <v/>
      </c>
      <c r="AL622" s="64">
        <f>IF(H622=0,0,Y622/H622)</f>
        <v/>
      </c>
      <c r="AM622" s="82">
        <f>AL622-AK622</f>
        <v/>
      </c>
      <c r="AN622" s="81">
        <f>SUMIFS([1]инфо!$G$15:$G$28,[1]инфо!$A$15:$A$28,F622)</f>
        <v/>
      </c>
      <c r="AO622" s="64">
        <f>IF(H622=0,0,AA622/H622)</f>
        <v/>
      </c>
      <c r="AP622" s="82">
        <f>AO622-AN622</f>
        <v/>
      </c>
      <c r="AQ622" s="81">
        <f>SUMIFS([1]инфо!$H$15:$H$28,[1]инфо!$A$15:$A$28,F622)</f>
        <v/>
      </c>
      <c r="AR622" s="85">
        <f>IF(H621=0,0,AC622/H621)</f>
        <v/>
      </c>
      <c r="AS622" s="82">
        <f>AR622-AQ622</f>
        <v/>
      </c>
      <c r="AT622" s="81">
        <f>SUMIFS([1]инфо!$I$15:$I$28,[1]инфо!$A$15:$A$28,F622)</f>
        <v/>
      </c>
      <c r="AU622" s="62">
        <f>IF(H622=0,0,AD622/H622)</f>
        <v/>
      </c>
      <c r="AV622" s="82">
        <f>AU622-AT622</f>
        <v/>
      </c>
      <c r="AX622" s="80">
        <f>SUMIFS([1]инфо!$C$15:$C$28,[1]инфо!$A$15:$A$28,F622)*H621</f>
        <v/>
      </c>
    </row>
    <row r="623">
      <c r="A623" s="71">
        <f>A621+1</f>
        <v/>
      </c>
      <c r="B623" s="89" t="n"/>
      <c r="C623" s="72" t="n"/>
      <c r="D623" s="73" t="n"/>
      <c r="E623" s="66" t="n"/>
      <c r="F623" s="67" t="n"/>
      <c r="G623" s="74" t="n"/>
      <c r="H623" s="55" t="n"/>
      <c r="I623" s="57">
        <f>IFERROR(H623*VLOOKUP(F623,[1]инфо!$A$15:$C$28,3,FALSE)/1000,0)</f>
        <v/>
      </c>
      <c r="J623" s="55" t="n"/>
      <c r="K623" s="55" t="n"/>
      <c r="L623" s="55" t="n"/>
      <c r="M623" s="55" t="n"/>
      <c r="N623" s="67" t="n"/>
      <c r="O623" s="74" t="n"/>
      <c r="P623" s="74" t="n"/>
      <c r="Q623" s="74" t="n"/>
      <c r="R623" s="74" t="n"/>
      <c r="S623" s="70">
        <f>SUM(O623:R623)</f>
        <v/>
      </c>
      <c r="T623" s="72" t="n"/>
      <c r="U623" s="73" t="n"/>
      <c r="V623" s="74" t="n"/>
      <c r="W623" s="68" t="n"/>
      <c r="X623" s="74" t="n"/>
      <c r="Y623" s="72" t="n"/>
      <c r="Z623" s="74" t="n"/>
      <c r="AA623" s="74" t="n"/>
      <c r="AB623" s="74" t="n"/>
      <c r="AC623" s="68" t="n"/>
      <c r="AD623" s="73" t="n"/>
      <c r="AE623" s="75">
        <f>SUMIFS([1]инфо!$D$15:$D$28,[1]инфо!$A$15:$A$28,F623)</f>
        <v/>
      </c>
      <c r="AF623" s="62">
        <f>IF(H623=0,0,N623/H623)</f>
        <v/>
      </c>
      <c r="AG623" s="76">
        <f>AF623-AE623</f>
        <v/>
      </c>
      <c r="AH623" s="75">
        <f>SUMIFS([1]инфо!$E$15:$E$28,[1]инфо!$A$15:$A$28,F623)</f>
        <v/>
      </c>
      <c r="AI623" s="64">
        <f>IF(H623=0,0,S623/H623)</f>
        <v/>
      </c>
      <c r="AJ623" s="76">
        <f>AI623-AH623</f>
        <v/>
      </c>
      <c r="AK623" s="75">
        <f>SUMIFS([1]инфо!$F$15:$F$28,[1]инфо!$A$15:$A$28,F623)</f>
        <v/>
      </c>
      <c r="AL623" s="64">
        <f>IF(H623=0,0,Y623/H623)</f>
        <v/>
      </c>
      <c r="AM623" s="76">
        <f>AL623-AK623</f>
        <v/>
      </c>
      <c r="AN623" s="75">
        <f>SUMIFS([1]инфо!$G$15:$G$28,[1]инфо!$A$15:$A$28,F623)</f>
        <v/>
      </c>
      <c r="AO623" s="64">
        <f>IF(H623=0,0,AA623/H623)</f>
        <v/>
      </c>
      <c r="AP623" s="76">
        <f>AO623-AN623</f>
        <v/>
      </c>
      <c r="AQ623" s="75">
        <f>SUMIFS([1]инфо!$H$15:$H$28,[1]инфо!$A$15:$A$28,F623)</f>
        <v/>
      </c>
      <c r="AR623" s="64">
        <f>IF(H622=0,0,AC623/H622)</f>
        <v/>
      </c>
      <c r="AS623" s="76">
        <f>AR623-AQ623</f>
        <v/>
      </c>
      <c r="AT623" s="75">
        <f>SUMIFS([1]инфо!$I$15:$I$28,[1]инфо!$A$15:$A$28,F623)</f>
        <v/>
      </c>
      <c r="AU623" s="62">
        <f>IF(H623=0,0,AD623/H623)</f>
        <v/>
      </c>
      <c r="AV623" s="76">
        <f>AU623-AT623</f>
        <v/>
      </c>
      <c r="AX623" s="70">
        <f>SUMIFS([1]инфо!$C$15:$C$28,[1]инфо!$A$15:$A$28,F623)*H622</f>
        <v/>
      </c>
    </row>
    <row r="624">
      <c r="A624" s="71">
        <f>A622+1</f>
        <v/>
      </c>
      <c r="B624" s="90" t="n"/>
      <c r="C624" s="52" t="n"/>
      <c r="D624" s="53" t="n"/>
      <c r="E624" s="66" t="n"/>
      <c r="F624" s="67" t="n"/>
      <c r="G624" s="58" t="n"/>
      <c r="H624" s="55" t="n"/>
      <c r="I624" s="57">
        <f>IFERROR(H624*VLOOKUP(F624,[1]инфо!$A$15:$C$28,3,FALSE)/1000,0)</f>
        <v/>
      </c>
      <c r="J624" s="55" t="n"/>
      <c r="K624" s="55" t="n"/>
      <c r="L624" s="55" t="n"/>
      <c r="M624" s="55" t="n"/>
      <c r="N624" s="55" t="n"/>
      <c r="O624" s="58" t="n"/>
      <c r="P624" s="58" t="n"/>
      <c r="Q624" s="58" t="n"/>
      <c r="R624" s="58" t="n"/>
      <c r="S624" s="59">
        <f>SUM(O624:R624)</f>
        <v/>
      </c>
      <c r="T624" s="52" t="n"/>
      <c r="U624" s="53" t="n"/>
      <c r="V624" s="58" t="n"/>
      <c r="W624" s="68" t="n"/>
      <c r="X624" s="58" t="n"/>
      <c r="Y624" s="52" t="n"/>
      <c r="Z624" s="58" t="n"/>
      <c r="AA624" s="58" t="n"/>
      <c r="AB624" s="58" t="n"/>
      <c r="AC624" s="68" t="n"/>
      <c r="AD624" s="53" t="n"/>
      <c r="AE624" s="61">
        <f>SUMIFS([1]инфо!$D$15:$D$28,[1]инфо!$A$15:$A$28,F624)</f>
        <v/>
      </c>
      <c r="AF624" s="62">
        <f>IF(H624=0,0,N624/H624)</f>
        <v/>
      </c>
      <c r="AG624" s="63">
        <f>AF624-AE624</f>
        <v/>
      </c>
      <c r="AH624" s="61">
        <f>SUMIFS([1]инфо!$E$15:$E$28,[1]инфо!$A$15:$A$28,F624)</f>
        <v/>
      </c>
      <c r="AI624" s="64">
        <f>IF(H624=0,0,S624/H624)</f>
        <v/>
      </c>
      <c r="AJ624" s="63">
        <f>AI624-AH624</f>
        <v/>
      </c>
      <c r="AK624" s="61">
        <f>SUMIFS([1]инфо!$F$15:$F$28,[1]инфо!$A$15:$A$28,F624)</f>
        <v/>
      </c>
      <c r="AL624" s="64">
        <f>IF(H624=0,0,Y624/H624)</f>
        <v/>
      </c>
      <c r="AM624" s="63">
        <f>AL624-AK624</f>
        <v/>
      </c>
      <c r="AN624" s="61">
        <f>SUMIFS([1]инфо!$G$15:$G$28,[1]инфо!$A$15:$A$28,F624)</f>
        <v/>
      </c>
      <c r="AO624" s="64">
        <f>IF(H624=0,0,AA624/H624)</f>
        <v/>
      </c>
      <c r="AP624" s="63">
        <f>AO624-AN624</f>
        <v/>
      </c>
      <c r="AQ624" s="61">
        <f>SUMIFS([1]инфо!$H$15:$H$28,[1]инфо!$A$15:$A$28,F624)</f>
        <v/>
      </c>
      <c r="AR624" s="62">
        <f>IF(H623=0,0,AC624/H623)</f>
        <v/>
      </c>
      <c r="AS624" s="63">
        <f>AR624-AQ624</f>
        <v/>
      </c>
      <c r="AT624" s="61">
        <f>SUMIFS([1]инфо!$I$15:$I$28,[1]инфо!$A$15:$A$28,F624)</f>
        <v/>
      </c>
      <c r="AU624" s="62">
        <f>IF(H624=0,0,AD624/H624)</f>
        <v/>
      </c>
      <c r="AV624" s="63">
        <f>AU624-AT624</f>
        <v/>
      </c>
      <c r="AX624" s="59">
        <f>SUMIFS([1]инфо!$C$15:$C$28,[1]инфо!$A$15:$A$28,F624)*H623</f>
        <v/>
      </c>
    </row>
    <row r="625">
      <c r="A625" s="71">
        <f>A623+1</f>
        <v/>
      </c>
      <c r="B625" s="90" t="n"/>
      <c r="C625" s="52" t="n"/>
      <c r="D625" s="53" t="n"/>
      <c r="E625" s="66" t="n"/>
      <c r="F625" s="67" t="n"/>
      <c r="G625" s="58" t="n"/>
      <c r="H625" s="56" t="n"/>
      <c r="I625" s="57">
        <f>IFERROR(H625*VLOOKUP(F625,[1]инфо!$A$15:$C$28,3,FALSE)/1000,0)</f>
        <v/>
      </c>
      <c r="J625" s="55" t="n"/>
      <c r="K625" s="55" t="n"/>
      <c r="L625" s="55" t="n"/>
      <c r="M625" s="55" t="n"/>
      <c r="N625" s="55" t="n"/>
      <c r="O625" s="58" t="n"/>
      <c r="P625" s="58" t="n"/>
      <c r="Q625" s="58" t="n"/>
      <c r="R625" s="58" t="n"/>
      <c r="S625" s="59">
        <f>SUM(O625:R625)</f>
        <v/>
      </c>
      <c r="T625" s="52" t="n"/>
      <c r="U625" s="53" t="n"/>
      <c r="V625" s="58" t="n"/>
      <c r="W625" s="68" t="n"/>
      <c r="X625" s="58" t="n"/>
      <c r="Y625" s="52" t="n"/>
      <c r="Z625" s="58" t="n"/>
      <c r="AA625" s="58" t="n"/>
      <c r="AB625" s="58" t="n"/>
      <c r="AC625" s="68" t="n"/>
      <c r="AD625" s="53" t="n"/>
      <c r="AE625" s="61">
        <f>SUMIFS([1]инфо!$D$15:$D$28,[1]инфо!$A$15:$A$28,F625)</f>
        <v/>
      </c>
      <c r="AF625" s="62">
        <f>IF(H625=0,0,N625/H625)</f>
        <v/>
      </c>
      <c r="AG625" s="63">
        <f>AF625-AE625</f>
        <v/>
      </c>
      <c r="AH625" s="61">
        <f>SUMIFS([1]инфо!$E$15:$E$28,[1]инфо!$A$15:$A$28,F625)</f>
        <v/>
      </c>
      <c r="AI625" s="64">
        <f>IF(H625=0,0,S625/H625)</f>
        <v/>
      </c>
      <c r="AJ625" s="63">
        <f>AI625-AH625</f>
        <v/>
      </c>
      <c r="AK625" s="61">
        <f>SUMIFS([1]инфо!$F$15:$F$28,[1]инфо!$A$15:$A$28,F625)</f>
        <v/>
      </c>
      <c r="AL625" s="64">
        <f>IF(H625=0,0,Y625/H625)</f>
        <v/>
      </c>
      <c r="AM625" s="63">
        <f>AL625-AK625</f>
        <v/>
      </c>
      <c r="AN625" s="61">
        <f>SUMIFS([1]инфо!$G$15:$G$28,[1]инфо!$A$15:$A$28,F625)</f>
        <v/>
      </c>
      <c r="AO625" s="64">
        <f>IF(H625=0,0,AA625/H625)</f>
        <v/>
      </c>
      <c r="AP625" s="63">
        <f>AO625-AN625</f>
        <v/>
      </c>
      <c r="AQ625" s="61">
        <f>SUMIFS([1]инфо!$H$15:$H$28,[1]инфо!$A$15:$A$28,F625)</f>
        <v/>
      </c>
      <c r="AR625" s="62">
        <f>IF(H624=0,0,AC625/H624)</f>
        <v/>
      </c>
      <c r="AS625" s="63">
        <f>AR625-AQ625</f>
        <v/>
      </c>
      <c r="AT625" s="61">
        <f>SUMIFS([1]инфо!$I$15:$I$28,[1]инфо!$A$15:$A$28,F625)</f>
        <v/>
      </c>
      <c r="AU625" s="62">
        <f>IF(H625=0,0,AD625/H625)</f>
        <v/>
      </c>
      <c r="AV625" s="63">
        <f>AU625-AT625</f>
        <v/>
      </c>
      <c r="AX625" s="59">
        <f>SUMIFS([1]инфо!$C$15:$C$28,[1]инфо!$A$15:$A$28,F625)*H624</f>
        <v/>
      </c>
    </row>
    <row r="626">
      <c r="A626" s="71">
        <f>A624+1</f>
        <v/>
      </c>
      <c r="B626" s="88" t="n"/>
      <c r="C626" s="77" t="n"/>
      <c r="D626" s="78" t="n"/>
      <c r="E626" s="66" t="n"/>
      <c r="F626" s="67" t="n"/>
      <c r="G626" s="79" t="n"/>
      <c r="H626" s="67" t="n"/>
      <c r="I626" s="57">
        <f>IFERROR(H626*VLOOKUP(F626,[1]инфо!$A$15:$C$28,3,FALSE)/1000,0)</f>
        <v/>
      </c>
      <c r="J626" s="55" t="n"/>
      <c r="K626" s="55" t="n"/>
      <c r="L626" s="55" t="n"/>
      <c r="M626" s="55" t="n"/>
      <c r="N626" s="56" t="n"/>
      <c r="O626" s="79" t="n"/>
      <c r="P626" s="79" t="n"/>
      <c r="Q626" s="79" t="n"/>
      <c r="R626" s="79" t="n"/>
      <c r="S626" s="80">
        <f>SUM(O626:R626)</f>
        <v/>
      </c>
      <c r="T626" s="77" t="n"/>
      <c r="U626" s="78" t="n"/>
      <c r="V626" s="79" t="n"/>
      <c r="W626" s="68" t="n"/>
      <c r="X626" s="79" t="n"/>
      <c r="Y626" s="77" t="n"/>
      <c r="Z626" s="79" t="n"/>
      <c r="AA626" s="79" t="n"/>
      <c r="AB626" s="79" t="n"/>
      <c r="AC626" s="68" t="n"/>
      <c r="AD626" s="78" t="n"/>
      <c r="AE626" s="81">
        <f>SUMIFS([1]инфо!$D$15:$D$28,[1]инфо!$A$15:$A$28,F626)</f>
        <v/>
      </c>
      <c r="AF626" s="62">
        <f>IF(H626=0,0,N626/H626)</f>
        <v/>
      </c>
      <c r="AG626" s="82">
        <f>AF626-AE626</f>
        <v/>
      </c>
      <c r="AH626" s="81">
        <f>SUMIFS([1]инфо!$E$15:$E$28,[1]инфо!$A$15:$A$28,F626)</f>
        <v/>
      </c>
      <c r="AI626" s="64">
        <f>IF(H626=0,0,S626/H626)</f>
        <v/>
      </c>
      <c r="AJ626" s="82">
        <f>AI626-AH626</f>
        <v/>
      </c>
      <c r="AK626" s="81">
        <f>SUMIFS([1]инфо!$F$15:$F$28,[1]инфо!$A$15:$A$28,F626)</f>
        <v/>
      </c>
      <c r="AL626" s="64">
        <f>IF(H626=0,0,Y626/H626)</f>
        <v/>
      </c>
      <c r="AM626" s="82">
        <f>AL626-AK626</f>
        <v/>
      </c>
      <c r="AN626" s="81">
        <f>SUMIFS([1]инфо!$G$15:$G$28,[1]инфо!$A$15:$A$28,F626)</f>
        <v/>
      </c>
      <c r="AO626" s="64">
        <f>IF(H626=0,0,AA626/H626)</f>
        <v/>
      </c>
      <c r="AP626" s="82">
        <f>AO626-AN626</f>
        <v/>
      </c>
      <c r="AQ626" s="81">
        <f>SUMIFS([1]инфо!$H$15:$H$28,[1]инфо!$A$15:$A$28,F626)</f>
        <v/>
      </c>
      <c r="AR626" s="85">
        <f>IF(H625=0,0,AC626/H625)</f>
        <v/>
      </c>
      <c r="AS626" s="82">
        <f>AR626-AQ626</f>
        <v/>
      </c>
      <c r="AT626" s="81">
        <f>SUMIFS([1]инфо!$I$15:$I$28,[1]инфо!$A$15:$A$28,F626)</f>
        <v/>
      </c>
      <c r="AU626" s="62">
        <f>IF(H626=0,0,AD626/H626)</f>
        <v/>
      </c>
      <c r="AV626" s="82">
        <f>AU626-AT626</f>
        <v/>
      </c>
      <c r="AX626" s="80">
        <f>SUMIFS([1]инфо!$C$15:$C$28,[1]инфо!$A$15:$A$28,F626)*H625</f>
        <v/>
      </c>
    </row>
    <row r="627">
      <c r="A627" s="71">
        <f>A625+1</f>
        <v/>
      </c>
      <c r="B627" s="89" t="n"/>
      <c r="C627" s="72" t="n"/>
      <c r="D627" s="73" t="n"/>
      <c r="E627" s="66" t="n"/>
      <c r="F627" s="67" t="n"/>
      <c r="G627" s="74" t="n"/>
      <c r="H627" s="55" t="n"/>
      <c r="I627" s="57">
        <f>IFERROR(H627*VLOOKUP(F627,[1]инфо!$A$15:$C$28,3,FALSE)/1000,0)</f>
        <v/>
      </c>
      <c r="J627" s="55" t="n"/>
      <c r="K627" s="55" t="n"/>
      <c r="L627" s="55" t="n"/>
      <c r="M627" s="55" t="n"/>
      <c r="N627" s="67" t="n"/>
      <c r="O627" s="74" t="n"/>
      <c r="P627" s="74" t="n"/>
      <c r="Q627" s="74" t="n"/>
      <c r="R627" s="74" t="n"/>
      <c r="S627" s="70">
        <f>SUM(O627:R627)</f>
        <v/>
      </c>
      <c r="T627" s="72" t="n"/>
      <c r="U627" s="73" t="n"/>
      <c r="V627" s="74" t="n"/>
      <c r="W627" s="68" t="n"/>
      <c r="X627" s="74" t="n"/>
      <c r="Y627" s="72" t="n"/>
      <c r="Z627" s="74" t="n"/>
      <c r="AA627" s="74" t="n"/>
      <c r="AB627" s="74" t="n"/>
      <c r="AC627" s="68" t="n"/>
      <c r="AD627" s="73" t="n"/>
      <c r="AE627" s="75">
        <f>SUMIFS([1]инфо!$D$15:$D$28,[1]инфо!$A$15:$A$28,F627)</f>
        <v/>
      </c>
      <c r="AF627" s="62">
        <f>IF(H627=0,0,N627/H627)</f>
        <v/>
      </c>
      <c r="AG627" s="76">
        <f>AF627-AE627</f>
        <v/>
      </c>
      <c r="AH627" s="75">
        <f>SUMIFS([1]инфо!$E$15:$E$28,[1]инфо!$A$15:$A$28,F627)</f>
        <v/>
      </c>
      <c r="AI627" s="64">
        <f>IF(H627=0,0,S627/H627)</f>
        <v/>
      </c>
      <c r="AJ627" s="76">
        <f>AI627-AH627</f>
        <v/>
      </c>
      <c r="AK627" s="75">
        <f>SUMIFS([1]инфо!$F$15:$F$28,[1]инфо!$A$15:$A$28,F627)</f>
        <v/>
      </c>
      <c r="AL627" s="64">
        <f>IF(H627=0,0,Y627/H627)</f>
        <v/>
      </c>
      <c r="AM627" s="76">
        <f>AL627-AK627</f>
        <v/>
      </c>
      <c r="AN627" s="75">
        <f>SUMIFS([1]инфо!$G$15:$G$28,[1]инфо!$A$15:$A$28,F627)</f>
        <v/>
      </c>
      <c r="AO627" s="64">
        <f>IF(H627=0,0,AA627/H627)</f>
        <v/>
      </c>
      <c r="AP627" s="76">
        <f>AO627-AN627</f>
        <v/>
      </c>
      <c r="AQ627" s="75">
        <f>SUMIFS([1]инфо!$H$15:$H$28,[1]инфо!$A$15:$A$28,F627)</f>
        <v/>
      </c>
      <c r="AR627" s="64">
        <f>IF(H626=0,0,AC627/H626)</f>
        <v/>
      </c>
      <c r="AS627" s="76">
        <f>AR627-AQ627</f>
        <v/>
      </c>
      <c r="AT627" s="75">
        <f>SUMIFS([1]инфо!$I$15:$I$28,[1]инфо!$A$15:$A$28,F627)</f>
        <v/>
      </c>
      <c r="AU627" s="62">
        <f>IF(H627=0,0,AD627/H627)</f>
        <v/>
      </c>
      <c r="AV627" s="76">
        <f>AU627-AT627</f>
        <v/>
      </c>
      <c r="AX627" s="70">
        <f>SUMIFS([1]инфо!$C$15:$C$28,[1]инфо!$A$15:$A$28,F627)*H626</f>
        <v/>
      </c>
    </row>
    <row r="628">
      <c r="A628" s="71">
        <f>A626+1</f>
        <v/>
      </c>
      <c r="B628" s="90" t="n"/>
      <c r="C628" s="52" t="n"/>
      <c r="D628" s="53" t="n"/>
      <c r="E628" s="66" t="n"/>
      <c r="F628" s="67" t="n"/>
      <c r="G628" s="58" t="n"/>
      <c r="H628" s="55" t="n"/>
      <c r="I628" s="57">
        <f>IFERROR(H628*VLOOKUP(F628,[1]инфо!$A$15:$C$28,3,FALSE)/1000,0)</f>
        <v/>
      </c>
      <c r="J628" s="55" t="n"/>
      <c r="K628" s="55" t="n"/>
      <c r="L628" s="55" t="n"/>
      <c r="M628" s="55" t="n"/>
      <c r="N628" s="55" t="n"/>
      <c r="O628" s="58" t="n"/>
      <c r="P628" s="58" t="n"/>
      <c r="Q628" s="58" t="n"/>
      <c r="R628" s="58" t="n"/>
      <c r="S628" s="59">
        <f>SUM(O628:R628)</f>
        <v/>
      </c>
      <c r="T628" s="52" t="n"/>
      <c r="U628" s="53" t="n"/>
      <c r="V628" s="58" t="n"/>
      <c r="W628" s="68" t="n"/>
      <c r="X628" s="58" t="n"/>
      <c r="Y628" s="52" t="n"/>
      <c r="Z628" s="58" t="n"/>
      <c r="AA628" s="58" t="n"/>
      <c r="AB628" s="58" t="n"/>
      <c r="AC628" s="68" t="n"/>
      <c r="AD628" s="53" t="n"/>
      <c r="AE628" s="61">
        <f>SUMIFS([1]инфо!$D$15:$D$28,[1]инфо!$A$15:$A$28,F628)</f>
        <v/>
      </c>
      <c r="AF628" s="62">
        <f>IF(H628=0,0,N628/H628)</f>
        <v/>
      </c>
      <c r="AG628" s="63">
        <f>AF628-AE628</f>
        <v/>
      </c>
      <c r="AH628" s="61">
        <f>SUMIFS([1]инфо!$E$15:$E$28,[1]инфо!$A$15:$A$28,F628)</f>
        <v/>
      </c>
      <c r="AI628" s="64">
        <f>IF(H628=0,0,S628/H628)</f>
        <v/>
      </c>
      <c r="AJ628" s="63">
        <f>AI628-AH628</f>
        <v/>
      </c>
      <c r="AK628" s="61">
        <f>SUMIFS([1]инфо!$F$15:$F$28,[1]инфо!$A$15:$A$28,F628)</f>
        <v/>
      </c>
      <c r="AL628" s="64">
        <f>IF(H628=0,0,Y628/H628)</f>
        <v/>
      </c>
      <c r="AM628" s="63">
        <f>AL628-AK628</f>
        <v/>
      </c>
      <c r="AN628" s="61">
        <f>SUMIFS([1]инфо!$G$15:$G$28,[1]инфо!$A$15:$A$28,F628)</f>
        <v/>
      </c>
      <c r="AO628" s="64">
        <f>IF(H628=0,0,AA628/H628)</f>
        <v/>
      </c>
      <c r="AP628" s="63">
        <f>AO628-AN628</f>
        <v/>
      </c>
      <c r="AQ628" s="61">
        <f>SUMIFS([1]инфо!$H$15:$H$28,[1]инфо!$A$15:$A$28,F628)</f>
        <v/>
      </c>
      <c r="AR628" s="62">
        <f>IF(H627=0,0,AC628/H627)</f>
        <v/>
      </c>
      <c r="AS628" s="63">
        <f>AR628-AQ628</f>
        <v/>
      </c>
      <c r="AT628" s="61">
        <f>SUMIFS([1]инфо!$I$15:$I$28,[1]инфо!$A$15:$A$28,F628)</f>
        <v/>
      </c>
      <c r="AU628" s="62">
        <f>IF(H628=0,0,AD628/H628)</f>
        <v/>
      </c>
      <c r="AV628" s="63">
        <f>AU628-AT628</f>
        <v/>
      </c>
      <c r="AX628" s="59">
        <f>SUMIFS([1]инфо!$C$15:$C$28,[1]инфо!$A$15:$A$28,F628)*H627</f>
        <v/>
      </c>
    </row>
    <row r="629">
      <c r="A629" s="71">
        <f>A627+1</f>
        <v/>
      </c>
      <c r="B629" s="90" t="n"/>
      <c r="C629" s="52" t="n"/>
      <c r="D629" s="53" t="n"/>
      <c r="E629" s="66" t="n"/>
      <c r="F629" s="67" t="n"/>
      <c r="G629" s="58" t="n"/>
      <c r="H629" s="56" t="n"/>
      <c r="I629" s="57">
        <f>IFERROR(H629*VLOOKUP(F629,[1]инфо!$A$15:$C$28,3,FALSE)/1000,0)</f>
        <v/>
      </c>
      <c r="J629" s="55" t="n"/>
      <c r="K629" s="55" t="n"/>
      <c r="L629" s="55" t="n"/>
      <c r="M629" s="55" t="n"/>
      <c r="N629" s="55" t="n"/>
      <c r="O629" s="58" t="n"/>
      <c r="P629" s="58" t="n"/>
      <c r="Q629" s="58" t="n"/>
      <c r="R629" s="58" t="n"/>
      <c r="S629" s="59">
        <f>SUM(O629:R629)</f>
        <v/>
      </c>
      <c r="T629" s="52" t="n"/>
      <c r="U629" s="53" t="n"/>
      <c r="V629" s="58" t="n"/>
      <c r="W629" s="68" t="n"/>
      <c r="X629" s="58" t="n"/>
      <c r="Y629" s="52" t="n"/>
      <c r="Z629" s="58" t="n"/>
      <c r="AA629" s="58" t="n"/>
      <c r="AB629" s="58" t="n"/>
      <c r="AC629" s="68" t="n"/>
      <c r="AD629" s="53" t="n"/>
      <c r="AE629" s="61">
        <f>SUMIFS([1]инфо!$D$15:$D$28,[1]инфо!$A$15:$A$28,F629)</f>
        <v/>
      </c>
      <c r="AF629" s="62">
        <f>IF(H629=0,0,N629/H629)</f>
        <v/>
      </c>
      <c r="AG629" s="63">
        <f>AF629-AE629</f>
        <v/>
      </c>
      <c r="AH629" s="61">
        <f>SUMIFS([1]инфо!$E$15:$E$28,[1]инфо!$A$15:$A$28,F629)</f>
        <v/>
      </c>
      <c r="AI629" s="64">
        <f>IF(H629=0,0,S629/H629)</f>
        <v/>
      </c>
      <c r="AJ629" s="63">
        <f>AI629-AH629</f>
        <v/>
      </c>
      <c r="AK629" s="61">
        <f>SUMIFS([1]инфо!$F$15:$F$28,[1]инфо!$A$15:$A$28,F629)</f>
        <v/>
      </c>
      <c r="AL629" s="64">
        <f>IF(H629=0,0,Y629/H629)</f>
        <v/>
      </c>
      <c r="AM629" s="63">
        <f>AL629-AK629</f>
        <v/>
      </c>
      <c r="AN629" s="61">
        <f>SUMIFS([1]инфо!$G$15:$G$28,[1]инфо!$A$15:$A$28,F629)</f>
        <v/>
      </c>
      <c r="AO629" s="64">
        <f>IF(H629=0,0,AA629/H629)</f>
        <v/>
      </c>
      <c r="AP629" s="63">
        <f>AO629-AN629</f>
        <v/>
      </c>
      <c r="AQ629" s="61">
        <f>SUMIFS([1]инфо!$H$15:$H$28,[1]инфо!$A$15:$A$28,F629)</f>
        <v/>
      </c>
      <c r="AR629" s="62">
        <f>IF(H628=0,0,AC629/H628)</f>
        <v/>
      </c>
      <c r="AS629" s="63">
        <f>AR629-AQ629</f>
        <v/>
      </c>
      <c r="AT629" s="61">
        <f>SUMIFS([1]инфо!$I$15:$I$28,[1]инфо!$A$15:$A$28,F629)</f>
        <v/>
      </c>
      <c r="AU629" s="62">
        <f>IF(H629=0,0,AD629/H629)</f>
        <v/>
      </c>
      <c r="AV629" s="63">
        <f>AU629-AT629</f>
        <v/>
      </c>
      <c r="AX629" s="59">
        <f>SUMIFS([1]инфо!$C$15:$C$28,[1]инфо!$A$15:$A$28,F629)*H628</f>
        <v/>
      </c>
    </row>
    <row r="630">
      <c r="A630" s="71">
        <f>A628+1</f>
        <v/>
      </c>
      <c r="B630" s="88" t="n"/>
      <c r="C630" s="77" t="n"/>
      <c r="D630" s="78" t="n"/>
      <c r="E630" s="66" t="n"/>
      <c r="F630" s="67" t="n"/>
      <c r="G630" s="79" t="n"/>
      <c r="H630" s="67" t="n"/>
      <c r="I630" s="57">
        <f>IFERROR(H630*VLOOKUP(F630,[1]инфо!$A$15:$C$28,3,FALSE)/1000,0)</f>
        <v/>
      </c>
      <c r="J630" s="55" t="n"/>
      <c r="K630" s="55" t="n"/>
      <c r="L630" s="55" t="n"/>
      <c r="M630" s="55" t="n"/>
      <c r="N630" s="56" t="n"/>
      <c r="O630" s="79" t="n"/>
      <c r="P630" s="79" t="n"/>
      <c r="Q630" s="79" t="n"/>
      <c r="R630" s="79" t="n"/>
      <c r="S630" s="80">
        <f>SUM(O630:R630)</f>
        <v/>
      </c>
      <c r="T630" s="77" t="n"/>
      <c r="U630" s="78" t="n"/>
      <c r="V630" s="79" t="n"/>
      <c r="W630" s="68" t="n"/>
      <c r="X630" s="79" t="n"/>
      <c r="Y630" s="77" t="n"/>
      <c r="Z630" s="79" t="n"/>
      <c r="AA630" s="79" t="n"/>
      <c r="AB630" s="79" t="n"/>
      <c r="AC630" s="68" t="n"/>
      <c r="AD630" s="78" t="n"/>
      <c r="AE630" s="81">
        <f>SUMIFS([1]инфо!$D$15:$D$28,[1]инфо!$A$15:$A$28,F630)</f>
        <v/>
      </c>
      <c r="AF630" s="62">
        <f>IF(H630=0,0,N630/H630)</f>
        <v/>
      </c>
      <c r="AG630" s="82">
        <f>AF630-AE630</f>
        <v/>
      </c>
      <c r="AH630" s="81">
        <f>SUMIFS([1]инфо!$E$15:$E$28,[1]инфо!$A$15:$A$28,F630)</f>
        <v/>
      </c>
      <c r="AI630" s="64">
        <f>IF(H630=0,0,S630/H630)</f>
        <v/>
      </c>
      <c r="AJ630" s="82">
        <f>AI630-AH630</f>
        <v/>
      </c>
      <c r="AK630" s="81">
        <f>SUMIFS([1]инфо!$F$15:$F$28,[1]инфо!$A$15:$A$28,F630)</f>
        <v/>
      </c>
      <c r="AL630" s="64">
        <f>IF(H630=0,0,Y630/H630)</f>
        <v/>
      </c>
      <c r="AM630" s="82">
        <f>AL630-AK630</f>
        <v/>
      </c>
      <c r="AN630" s="81">
        <f>SUMIFS([1]инфо!$G$15:$G$28,[1]инфо!$A$15:$A$28,F630)</f>
        <v/>
      </c>
      <c r="AO630" s="64">
        <f>IF(H630=0,0,AA630/H630)</f>
        <v/>
      </c>
      <c r="AP630" s="82">
        <f>AO630-AN630</f>
        <v/>
      </c>
      <c r="AQ630" s="81">
        <f>SUMIFS([1]инфо!$H$15:$H$28,[1]инфо!$A$15:$A$28,F630)</f>
        <v/>
      </c>
      <c r="AR630" s="85">
        <f>IF(H629=0,0,AC630/H629)</f>
        <v/>
      </c>
      <c r="AS630" s="82">
        <f>AR630-AQ630</f>
        <v/>
      </c>
      <c r="AT630" s="81">
        <f>SUMIFS([1]инфо!$I$15:$I$28,[1]инфо!$A$15:$A$28,F630)</f>
        <v/>
      </c>
      <c r="AU630" s="62">
        <f>IF(H630=0,0,AD630/H630)</f>
        <v/>
      </c>
      <c r="AV630" s="82">
        <f>AU630-AT630</f>
        <v/>
      </c>
      <c r="AX630" s="80">
        <f>SUMIFS([1]инфо!$C$15:$C$28,[1]инфо!$A$15:$A$28,F630)*H629</f>
        <v/>
      </c>
    </row>
    <row r="631">
      <c r="A631" s="71">
        <f>A629+1</f>
        <v/>
      </c>
      <c r="B631" s="89" t="n"/>
      <c r="C631" s="72" t="n"/>
      <c r="D631" s="73" t="n"/>
      <c r="E631" s="66" t="n"/>
      <c r="F631" s="67" t="n"/>
      <c r="G631" s="74" t="n"/>
      <c r="H631" s="55" t="n"/>
      <c r="I631" s="57">
        <f>IFERROR(H631*VLOOKUP(F631,[1]инфо!$A$15:$C$28,3,FALSE)/1000,0)</f>
        <v/>
      </c>
      <c r="J631" s="55" t="n"/>
      <c r="K631" s="55" t="n"/>
      <c r="L631" s="55" t="n"/>
      <c r="M631" s="55" t="n"/>
      <c r="N631" s="67" t="n"/>
      <c r="O631" s="74" t="n"/>
      <c r="P631" s="74" t="n"/>
      <c r="Q631" s="74" t="n"/>
      <c r="R631" s="74" t="n"/>
      <c r="S631" s="70">
        <f>SUM(O631:R631)</f>
        <v/>
      </c>
      <c r="T631" s="72" t="n"/>
      <c r="U631" s="73" t="n"/>
      <c r="V631" s="74" t="n"/>
      <c r="W631" s="68" t="n"/>
      <c r="X631" s="74" t="n"/>
      <c r="Y631" s="72" t="n"/>
      <c r="Z631" s="74" t="n"/>
      <c r="AA631" s="74" t="n"/>
      <c r="AB631" s="74" t="n"/>
      <c r="AC631" s="68" t="n"/>
      <c r="AD631" s="73" t="n"/>
      <c r="AE631" s="75">
        <f>SUMIFS([1]инфо!$D$15:$D$28,[1]инфо!$A$15:$A$28,F631)</f>
        <v/>
      </c>
      <c r="AF631" s="62">
        <f>IF(H631=0,0,N631/H631)</f>
        <v/>
      </c>
      <c r="AG631" s="76">
        <f>AF631-AE631</f>
        <v/>
      </c>
      <c r="AH631" s="75">
        <f>SUMIFS([1]инфо!$E$15:$E$28,[1]инфо!$A$15:$A$28,F631)</f>
        <v/>
      </c>
      <c r="AI631" s="64">
        <f>IF(H631=0,0,S631/H631)</f>
        <v/>
      </c>
      <c r="AJ631" s="76">
        <f>AI631-AH631</f>
        <v/>
      </c>
      <c r="AK631" s="75">
        <f>SUMIFS([1]инфо!$F$15:$F$28,[1]инфо!$A$15:$A$28,F631)</f>
        <v/>
      </c>
      <c r="AL631" s="64">
        <f>IF(H631=0,0,Y631/H631)</f>
        <v/>
      </c>
      <c r="AM631" s="76">
        <f>AL631-AK631</f>
        <v/>
      </c>
      <c r="AN631" s="75">
        <f>SUMIFS([1]инфо!$G$15:$G$28,[1]инфо!$A$15:$A$28,F631)</f>
        <v/>
      </c>
      <c r="AO631" s="64">
        <f>IF(H631=0,0,AA631/H631)</f>
        <v/>
      </c>
      <c r="AP631" s="76">
        <f>AO631-AN631</f>
        <v/>
      </c>
      <c r="AQ631" s="75">
        <f>SUMIFS([1]инфо!$H$15:$H$28,[1]инфо!$A$15:$A$28,F631)</f>
        <v/>
      </c>
      <c r="AR631" s="64">
        <f>IF(H630=0,0,AC631/H630)</f>
        <v/>
      </c>
      <c r="AS631" s="76">
        <f>AR631-AQ631</f>
        <v/>
      </c>
      <c r="AT631" s="75">
        <f>SUMIFS([1]инфо!$I$15:$I$28,[1]инфо!$A$15:$A$28,F631)</f>
        <v/>
      </c>
      <c r="AU631" s="62">
        <f>IF(H631=0,0,AD631/H631)</f>
        <v/>
      </c>
      <c r="AV631" s="76">
        <f>AU631-AT631</f>
        <v/>
      </c>
      <c r="AX631" s="70">
        <f>SUMIFS([1]инфо!$C$15:$C$28,[1]инфо!$A$15:$A$28,F631)*H630</f>
        <v/>
      </c>
    </row>
    <row r="632">
      <c r="A632" s="71">
        <f>A630+1</f>
        <v/>
      </c>
      <c r="B632" s="90" t="n"/>
      <c r="C632" s="52" t="n"/>
      <c r="D632" s="53" t="n"/>
      <c r="E632" s="66" t="n"/>
      <c r="F632" s="67" t="n"/>
      <c r="G632" s="58" t="n"/>
      <c r="H632" s="55" t="n"/>
      <c r="I632" s="57">
        <f>IFERROR(H632*VLOOKUP(F632,[1]инфо!$A$15:$C$28,3,FALSE)/1000,0)</f>
        <v/>
      </c>
      <c r="J632" s="55" t="n"/>
      <c r="K632" s="55" t="n"/>
      <c r="L632" s="55" t="n"/>
      <c r="M632" s="55" t="n"/>
      <c r="N632" s="55" t="n"/>
      <c r="O632" s="58" t="n"/>
      <c r="P632" s="58" t="n"/>
      <c r="Q632" s="58" t="n"/>
      <c r="R632" s="58" t="n"/>
      <c r="S632" s="59">
        <f>SUM(O632:R632)</f>
        <v/>
      </c>
      <c r="T632" s="52" t="n"/>
      <c r="U632" s="53" t="n"/>
      <c r="V632" s="58" t="n"/>
      <c r="W632" s="68" t="n"/>
      <c r="X632" s="58" t="n"/>
      <c r="Y632" s="52" t="n"/>
      <c r="Z632" s="58" t="n"/>
      <c r="AA632" s="58" t="n"/>
      <c r="AB632" s="58" t="n"/>
      <c r="AC632" s="68" t="n"/>
      <c r="AD632" s="53" t="n"/>
      <c r="AE632" s="61">
        <f>SUMIFS([1]инфо!$D$15:$D$28,[1]инфо!$A$15:$A$28,F632)</f>
        <v/>
      </c>
      <c r="AF632" s="62">
        <f>IF(H632=0,0,N632/H632)</f>
        <v/>
      </c>
      <c r="AG632" s="63">
        <f>AF632-AE632</f>
        <v/>
      </c>
      <c r="AH632" s="61">
        <f>SUMIFS([1]инфо!$E$15:$E$28,[1]инфо!$A$15:$A$28,F632)</f>
        <v/>
      </c>
      <c r="AI632" s="64">
        <f>IF(H632=0,0,S632/H632)</f>
        <v/>
      </c>
      <c r="AJ632" s="63">
        <f>AI632-AH632</f>
        <v/>
      </c>
      <c r="AK632" s="61">
        <f>SUMIFS([1]инфо!$F$15:$F$28,[1]инфо!$A$15:$A$28,F632)</f>
        <v/>
      </c>
      <c r="AL632" s="64">
        <f>IF(H632=0,0,Y632/H632)</f>
        <v/>
      </c>
      <c r="AM632" s="63">
        <f>AL632-AK632</f>
        <v/>
      </c>
      <c r="AN632" s="61">
        <f>SUMIFS([1]инфо!$G$15:$G$28,[1]инфо!$A$15:$A$28,F632)</f>
        <v/>
      </c>
      <c r="AO632" s="64">
        <f>IF(H632=0,0,AA632/H632)</f>
        <v/>
      </c>
      <c r="AP632" s="63">
        <f>AO632-AN632</f>
        <v/>
      </c>
      <c r="AQ632" s="61">
        <f>SUMIFS([1]инфо!$H$15:$H$28,[1]инфо!$A$15:$A$28,F632)</f>
        <v/>
      </c>
      <c r="AR632" s="62">
        <f>IF(H631=0,0,AC632/H631)</f>
        <v/>
      </c>
      <c r="AS632" s="63">
        <f>AR632-AQ632</f>
        <v/>
      </c>
      <c r="AT632" s="61">
        <f>SUMIFS([1]инфо!$I$15:$I$28,[1]инфо!$A$15:$A$28,F632)</f>
        <v/>
      </c>
      <c r="AU632" s="62">
        <f>IF(H632=0,0,AD632/H632)</f>
        <v/>
      </c>
      <c r="AV632" s="63">
        <f>AU632-AT632</f>
        <v/>
      </c>
      <c r="AX632" s="59">
        <f>SUMIFS([1]инфо!$C$15:$C$28,[1]инфо!$A$15:$A$28,F632)*H631</f>
        <v/>
      </c>
    </row>
    <row r="633">
      <c r="A633" s="71">
        <f>A631+1</f>
        <v/>
      </c>
      <c r="B633" s="90" t="n"/>
      <c r="C633" s="52" t="n"/>
      <c r="D633" s="53" t="n"/>
      <c r="E633" s="66" t="n"/>
      <c r="F633" s="67" t="n"/>
      <c r="G633" s="58" t="n"/>
      <c r="H633" s="56" t="n"/>
      <c r="I633" s="57">
        <f>IFERROR(H633*VLOOKUP(F633,[1]инфо!$A$15:$C$28,3,FALSE)/1000,0)</f>
        <v/>
      </c>
      <c r="J633" s="55" t="n"/>
      <c r="K633" s="55" t="n"/>
      <c r="L633" s="55" t="n"/>
      <c r="M633" s="55" t="n"/>
      <c r="N633" s="55" t="n"/>
      <c r="O633" s="58" t="n"/>
      <c r="P633" s="58" t="n"/>
      <c r="Q633" s="58" t="n"/>
      <c r="R633" s="58" t="n"/>
      <c r="S633" s="59">
        <f>SUM(O633:R633)</f>
        <v/>
      </c>
      <c r="T633" s="52" t="n"/>
      <c r="U633" s="53" t="n"/>
      <c r="V633" s="58" t="n"/>
      <c r="W633" s="68" t="n"/>
      <c r="X633" s="58" t="n"/>
      <c r="Y633" s="52" t="n"/>
      <c r="Z633" s="58" t="n"/>
      <c r="AA633" s="58" t="n"/>
      <c r="AB633" s="58" t="n"/>
      <c r="AC633" s="68" t="n"/>
      <c r="AD633" s="53" t="n"/>
      <c r="AE633" s="61">
        <f>SUMIFS([1]инфо!$D$15:$D$28,[1]инфо!$A$15:$A$28,F633)</f>
        <v/>
      </c>
      <c r="AF633" s="62">
        <f>IF(H633=0,0,N633/H633)</f>
        <v/>
      </c>
      <c r="AG633" s="63">
        <f>AF633-AE633</f>
        <v/>
      </c>
      <c r="AH633" s="61">
        <f>SUMIFS([1]инфо!$E$15:$E$28,[1]инфо!$A$15:$A$28,F633)</f>
        <v/>
      </c>
      <c r="AI633" s="64">
        <f>IF(H633=0,0,S633/H633)</f>
        <v/>
      </c>
      <c r="AJ633" s="63">
        <f>AI633-AH633</f>
        <v/>
      </c>
      <c r="AK633" s="61">
        <f>SUMIFS([1]инфо!$F$15:$F$28,[1]инфо!$A$15:$A$28,F633)</f>
        <v/>
      </c>
      <c r="AL633" s="64">
        <f>IF(H633=0,0,Y633/H633)</f>
        <v/>
      </c>
      <c r="AM633" s="63">
        <f>AL633-AK633</f>
        <v/>
      </c>
      <c r="AN633" s="61">
        <f>SUMIFS([1]инфо!$G$15:$G$28,[1]инфо!$A$15:$A$28,F633)</f>
        <v/>
      </c>
      <c r="AO633" s="64">
        <f>IF(H633=0,0,AA633/H633)</f>
        <v/>
      </c>
      <c r="AP633" s="63">
        <f>AO633-AN633</f>
        <v/>
      </c>
      <c r="AQ633" s="61">
        <f>SUMIFS([1]инфо!$H$15:$H$28,[1]инфо!$A$15:$A$28,F633)</f>
        <v/>
      </c>
      <c r="AR633" s="62">
        <f>IF(H632=0,0,AC633/H632)</f>
        <v/>
      </c>
      <c r="AS633" s="63">
        <f>AR633-AQ633</f>
        <v/>
      </c>
      <c r="AT633" s="61">
        <f>SUMIFS([1]инфо!$I$15:$I$28,[1]инфо!$A$15:$A$28,F633)</f>
        <v/>
      </c>
      <c r="AU633" s="62">
        <f>IF(H633=0,0,AD633/H633)</f>
        <v/>
      </c>
      <c r="AV633" s="63">
        <f>AU633-AT633</f>
        <v/>
      </c>
      <c r="AX633" s="59">
        <f>SUMIFS([1]инфо!$C$15:$C$28,[1]инфо!$A$15:$A$28,F633)*H632</f>
        <v/>
      </c>
    </row>
    <row r="634">
      <c r="A634" s="71">
        <f>A632+1</f>
        <v/>
      </c>
      <c r="B634" s="88" t="n"/>
      <c r="C634" s="77" t="n"/>
      <c r="D634" s="78" t="n"/>
      <c r="E634" s="66" t="n"/>
      <c r="F634" s="67" t="n"/>
      <c r="G634" s="79" t="n"/>
      <c r="H634" s="67" t="n"/>
      <c r="I634" s="57">
        <f>IFERROR(H634*VLOOKUP(F634,[1]инфо!$A$15:$C$28,3,FALSE)/1000,0)</f>
        <v/>
      </c>
      <c r="J634" s="55" t="n"/>
      <c r="K634" s="55" t="n"/>
      <c r="L634" s="55" t="n"/>
      <c r="M634" s="55" t="n"/>
      <c r="N634" s="56" t="n"/>
      <c r="O634" s="79" t="n"/>
      <c r="P634" s="79" t="n"/>
      <c r="Q634" s="79" t="n"/>
      <c r="R634" s="79" t="n"/>
      <c r="S634" s="80">
        <f>SUM(O634:R634)</f>
        <v/>
      </c>
      <c r="T634" s="77" t="n"/>
      <c r="U634" s="78" t="n"/>
      <c r="V634" s="79" t="n"/>
      <c r="W634" s="68" t="n"/>
      <c r="X634" s="79" t="n"/>
      <c r="Y634" s="77" t="n"/>
      <c r="Z634" s="79" t="n"/>
      <c r="AA634" s="79" t="n"/>
      <c r="AB634" s="79" t="n"/>
      <c r="AC634" s="68" t="n"/>
      <c r="AD634" s="78" t="n"/>
      <c r="AE634" s="81">
        <f>SUMIFS([1]инфо!$D$15:$D$28,[1]инфо!$A$15:$A$28,F634)</f>
        <v/>
      </c>
      <c r="AF634" s="62">
        <f>IF(H634=0,0,N634/H634)</f>
        <v/>
      </c>
      <c r="AG634" s="82">
        <f>AF634-AE634</f>
        <v/>
      </c>
      <c r="AH634" s="81">
        <f>SUMIFS([1]инфо!$E$15:$E$28,[1]инфо!$A$15:$A$28,F634)</f>
        <v/>
      </c>
      <c r="AI634" s="64">
        <f>IF(H634=0,0,S634/H634)</f>
        <v/>
      </c>
      <c r="AJ634" s="82">
        <f>AI634-AH634</f>
        <v/>
      </c>
      <c r="AK634" s="81">
        <f>SUMIFS([1]инфо!$F$15:$F$28,[1]инфо!$A$15:$A$28,F634)</f>
        <v/>
      </c>
      <c r="AL634" s="64">
        <f>IF(H634=0,0,Y634/H634)</f>
        <v/>
      </c>
      <c r="AM634" s="82">
        <f>AL634-AK634</f>
        <v/>
      </c>
      <c r="AN634" s="81">
        <f>SUMIFS([1]инфо!$G$15:$G$28,[1]инфо!$A$15:$A$28,F634)</f>
        <v/>
      </c>
      <c r="AO634" s="64">
        <f>IF(H634=0,0,AA634/H634)</f>
        <v/>
      </c>
      <c r="AP634" s="82">
        <f>AO634-AN634</f>
        <v/>
      </c>
      <c r="AQ634" s="81">
        <f>SUMIFS([1]инфо!$H$15:$H$28,[1]инфо!$A$15:$A$28,F634)</f>
        <v/>
      </c>
      <c r="AR634" s="85">
        <f>IF(H633=0,0,AC634/H633)</f>
        <v/>
      </c>
      <c r="AS634" s="82">
        <f>AR634-AQ634</f>
        <v/>
      </c>
      <c r="AT634" s="81">
        <f>SUMIFS([1]инфо!$I$15:$I$28,[1]инфо!$A$15:$A$28,F634)</f>
        <v/>
      </c>
      <c r="AU634" s="62">
        <f>IF(H634=0,0,AD634/H634)</f>
        <v/>
      </c>
      <c r="AV634" s="82">
        <f>AU634-AT634</f>
        <v/>
      </c>
      <c r="AX634" s="80">
        <f>SUMIFS([1]инфо!$C$15:$C$28,[1]инфо!$A$15:$A$28,F634)*H633</f>
        <v/>
      </c>
    </row>
    <row r="635">
      <c r="A635" s="71">
        <f>A633+1</f>
        <v/>
      </c>
      <c r="B635" s="89" t="n"/>
      <c r="C635" s="72" t="n"/>
      <c r="D635" s="73" t="n"/>
      <c r="E635" s="66" t="n"/>
      <c r="F635" s="67" t="n"/>
      <c r="G635" s="74" t="n"/>
      <c r="H635" s="55" t="n"/>
      <c r="I635" s="57">
        <f>IFERROR(H635*VLOOKUP(F635,[1]инфо!$A$15:$C$28,3,FALSE)/1000,0)</f>
        <v/>
      </c>
      <c r="J635" s="55" t="n"/>
      <c r="K635" s="55" t="n"/>
      <c r="L635" s="55" t="n"/>
      <c r="M635" s="55" t="n"/>
      <c r="N635" s="67" t="n"/>
      <c r="O635" s="74" t="n"/>
      <c r="P635" s="74" t="n"/>
      <c r="Q635" s="74" t="n"/>
      <c r="R635" s="74" t="n"/>
      <c r="S635" s="70">
        <f>SUM(O635:R635)</f>
        <v/>
      </c>
      <c r="T635" s="72" t="n"/>
      <c r="U635" s="73" t="n"/>
      <c r="V635" s="74" t="n"/>
      <c r="W635" s="68" t="n"/>
      <c r="X635" s="74" t="n"/>
      <c r="Y635" s="72" t="n"/>
      <c r="Z635" s="74" t="n"/>
      <c r="AA635" s="74" t="n"/>
      <c r="AB635" s="74" t="n"/>
      <c r="AC635" s="68" t="n"/>
      <c r="AD635" s="73" t="n"/>
      <c r="AE635" s="75">
        <f>SUMIFS([1]инфо!$D$15:$D$28,[1]инфо!$A$15:$A$28,F635)</f>
        <v/>
      </c>
      <c r="AF635" s="62">
        <f>IF(H635=0,0,N635/H635)</f>
        <v/>
      </c>
      <c r="AG635" s="76">
        <f>AF635-AE635</f>
        <v/>
      </c>
      <c r="AH635" s="75">
        <f>SUMIFS([1]инфо!$E$15:$E$28,[1]инфо!$A$15:$A$28,F635)</f>
        <v/>
      </c>
      <c r="AI635" s="64">
        <f>IF(H635=0,0,S635/H635)</f>
        <v/>
      </c>
      <c r="AJ635" s="76">
        <f>AI635-AH635</f>
        <v/>
      </c>
      <c r="AK635" s="75">
        <f>SUMIFS([1]инфо!$F$15:$F$28,[1]инфо!$A$15:$A$28,F635)</f>
        <v/>
      </c>
      <c r="AL635" s="64">
        <f>IF(H635=0,0,Y635/H635)</f>
        <v/>
      </c>
      <c r="AM635" s="76">
        <f>AL635-AK635</f>
        <v/>
      </c>
      <c r="AN635" s="75">
        <f>SUMIFS([1]инфо!$G$15:$G$28,[1]инфо!$A$15:$A$28,F635)</f>
        <v/>
      </c>
      <c r="AO635" s="64">
        <f>IF(H635=0,0,AA635/H635)</f>
        <v/>
      </c>
      <c r="AP635" s="76">
        <f>AO635-AN635</f>
        <v/>
      </c>
      <c r="AQ635" s="75">
        <f>SUMIFS([1]инфо!$H$15:$H$28,[1]инфо!$A$15:$A$28,F635)</f>
        <v/>
      </c>
      <c r="AR635" s="64">
        <f>IF(H634=0,0,AC635/H634)</f>
        <v/>
      </c>
      <c r="AS635" s="76">
        <f>AR635-AQ635</f>
        <v/>
      </c>
      <c r="AT635" s="75">
        <f>SUMIFS([1]инфо!$I$15:$I$28,[1]инфо!$A$15:$A$28,F635)</f>
        <v/>
      </c>
      <c r="AU635" s="62">
        <f>IF(H635=0,0,AD635/H635)</f>
        <v/>
      </c>
      <c r="AV635" s="76">
        <f>AU635-AT635</f>
        <v/>
      </c>
      <c r="AX635" s="70">
        <f>SUMIFS([1]инфо!$C$15:$C$28,[1]инфо!$A$15:$A$28,F635)*H634</f>
        <v/>
      </c>
    </row>
    <row r="636">
      <c r="A636" s="71">
        <f>A634+1</f>
        <v/>
      </c>
      <c r="B636" s="90" t="n"/>
      <c r="C636" s="52" t="n"/>
      <c r="D636" s="53" t="n"/>
      <c r="E636" s="66" t="n"/>
      <c r="F636" s="67" t="n"/>
      <c r="G636" s="58" t="n"/>
      <c r="H636" s="55" t="n"/>
      <c r="I636" s="57">
        <f>IFERROR(H636*VLOOKUP(F636,[1]инфо!$A$15:$C$28,3,FALSE)/1000,0)</f>
        <v/>
      </c>
      <c r="J636" s="55" t="n"/>
      <c r="K636" s="55" t="n"/>
      <c r="L636" s="55" t="n"/>
      <c r="M636" s="55" t="n"/>
      <c r="N636" s="55" t="n"/>
      <c r="O636" s="58" t="n"/>
      <c r="P636" s="58" t="n"/>
      <c r="Q636" s="58" t="n"/>
      <c r="R636" s="58" t="n"/>
      <c r="S636" s="59">
        <f>SUM(O636:R636)</f>
        <v/>
      </c>
      <c r="T636" s="52" t="n"/>
      <c r="U636" s="53" t="n"/>
      <c r="V636" s="58" t="n"/>
      <c r="W636" s="68" t="n"/>
      <c r="X636" s="58" t="n"/>
      <c r="Y636" s="52" t="n"/>
      <c r="Z636" s="58" t="n"/>
      <c r="AA636" s="58" t="n"/>
      <c r="AB636" s="58" t="n"/>
      <c r="AC636" s="68" t="n"/>
      <c r="AD636" s="53" t="n"/>
      <c r="AE636" s="61">
        <f>SUMIFS([1]инфо!$D$15:$D$28,[1]инфо!$A$15:$A$28,F636)</f>
        <v/>
      </c>
      <c r="AF636" s="62">
        <f>IF(H636=0,0,N636/H636)</f>
        <v/>
      </c>
      <c r="AG636" s="63">
        <f>AF636-AE636</f>
        <v/>
      </c>
      <c r="AH636" s="61">
        <f>SUMIFS([1]инфо!$E$15:$E$28,[1]инфо!$A$15:$A$28,F636)</f>
        <v/>
      </c>
      <c r="AI636" s="64">
        <f>IF(H636=0,0,S636/H636)</f>
        <v/>
      </c>
      <c r="AJ636" s="63">
        <f>AI636-AH636</f>
        <v/>
      </c>
      <c r="AK636" s="61">
        <f>SUMIFS([1]инфо!$F$15:$F$28,[1]инфо!$A$15:$A$28,F636)</f>
        <v/>
      </c>
      <c r="AL636" s="64">
        <f>IF(H636=0,0,Y636/H636)</f>
        <v/>
      </c>
      <c r="AM636" s="63">
        <f>AL636-AK636</f>
        <v/>
      </c>
      <c r="AN636" s="61">
        <f>SUMIFS([1]инфо!$G$15:$G$28,[1]инфо!$A$15:$A$28,F636)</f>
        <v/>
      </c>
      <c r="AO636" s="64">
        <f>IF(H636=0,0,AA636/H636)</f>
        <v/>
      </c>
      <c r="AP636" s="63">
        <f>AO636-AN636</f>
        <v/>
      </c>
      <c r="AQ636" s="61">
        <f>SUMIFS([1]инфо!$H$15:$H$28,[1]инфо!$A$15:$A$28,F636)</f>
        <v/>
      </c>
      <c r="AR636" s="62">
        <f>IF(H635=0,0,AC636/H635)</f>
        <v/>
      </c>
      <c r="AS636" s="63">
        <f>AR636-AQ636</f>
        <v/>
      </c>
      <c r="AT636" s="61">
        <f>SUMIFS([1]инфо!$I$15:$I$28,[1]инфо!$A$15:$A$28,F636)</f>
        <v/>
      </c>
      <c r="AU636" s="62">
        <f>IF(H636=0,0,AD636/H636)</f>
        <v/>
      </c>
      <c r="AV636" s="63">
        <f>AU636-AT636</f>
        <v/>
      </c>
      <c r="AX636" s="59">
        <f>SUMIFS([1]инфо!$C$15:$C$28,[1]инфо!$A$15:$A$28,F636)*H635</f>
        <v/>
      </c>
    </row>
    <row r="637">
      <c r="A637" s="71">
        <f>A635+1</f>
        <v/>
      </c>
      <c r="B637" s="90" t="n"/>
      <c r="C637" s="52" t="n"/>
      <c r="D637" s="53" t="n"/>
      <c r="E637" s="66" t="n"/>
      <c r="F637" s="67" t="n"/>
      <c r="G637" s="58" t="n"/>
      <c r="H637" s="56" t="n"/>
      <c r="I637" s="57">
        <f>IFERROR(H637*VLOOKUP(F637,[1]инфо!$A$15:$C$28,3,FALSE)/1000,0)</f>
        <v/>
      </c>
      <c r="J637" s="55" t="n"/>
      <c r="K637" s="55" t="n"/>
      <c r="L637" s="55" t="n"/>
      <c r="M637" s="55" t="n"/>
      <c r="N637" s="55" t="n"/>
      <c r="O637" s="58" t="n"/>
      <c r="P637" s="58" t="n"/>
      <c r="Q637" s="58" t="n"/>
      <c r="R637" s="58" t="n"/>
      <c r="S637" s="59">
        <f>SUM(O637:R637)</f>
        <v/>
      </c>
      <c r="T637" s="52" t="n"/>
      <c r="U637" s="53" t="n"/>
      <c r="V637" s="58" t="n"/>
      <c r="W637" s="68" t="n"/>
      <c r="X637" s="58" t="n"/>
      <c r="Y637" s="52" t="n"/>
      <c r="Z637" s="58" t="n"/>
      <c r="AA637" s="58" t="n"/>
      <c r="AB637" s="58" t="n"/>
      <c r="AC637" s="68" t="n"/>
      <c r="AD637" s="53" t="n"/>
      <c r="AE637" s="61">
        <f>SUMIFS([1]инфо!$D$15:$D$28,[1]инфо!$A$15:$A$28,F637)</f>
        <v/>
      </c>
      <c r="AF637" s="62">
        <f>IF(H637=0,0,N637/H637)</f>
        <v/>
      </c>
      <c r="AG637" s="63">
        <f>AF637-AE637</f>
        <v/>
      </c>
      <c r="AH637" s="61">
        <f>SUMIFS([1]инфо!$E$15:$E$28,[1]инфо!$A$15:$A$28,F637)</f>
        <v/>
      </c>
      <c r="AI637" s="64">
        <f>IF(H637=0,0,S637/H637)</f>
        <v/>
      </c>
      <c r="AJ637" s="63">
        <f>AI637-AH637</f>
        <v/>
      </c>
      <c r="AK637" s="61">
        <f>SUMIFS([1]инфо!$F$15:$F$28,[1]инфо!$A$15:$A$28,F637)</f>
        <v/>
      </c>
      <c r="AL637" s="64">
        <f>IF(H637=0,0,Y637/H637)</f>
        <v/>
      </c>
      <c r="AM637" s="63">
        <f>AL637-AK637</f>
        <v/>
      </c>
      <c r="AN637" s="61">
        <f>SUMIFS([1]инфо!$G$15:$G$28,[1]инфо!$A$15:$A$28,F637)</f>
        <v/>
      </c>
      <c r="AO637" s="64">
        <f>IF(H637=0,0,AA637/H637)</f>
        <v/>
      </c>
      <c r="AP637" s="63">
        <f>AO637-AN637</f>
        <v/>
      </c>
      <c r="AQ637" s="61">
        <f>SUMIFS([1]инфо!$H$15:$H$28,[1]инфо!$A$15:$A$28,F637)</f>
        <v/>
      </c>
      <c r="AR637" s="62">
        <f>IF(H636=0,0,AC637/H636)</f>
        <v/>
      </c>
      <c r="AS637" s="63">
        <f>AR637-AQ637</f>
        <v/>
      </c>
      <c r="AT637" s="61">
        <f>SUMIFS([1]инфо!$I$15:$I$28,[1]инфо!$A$15:$A$28,F637)</f>
        <v/>
      </c>
      <c r="AU637" s="62">
        <f>IF(H637=0,0,AD637/H637)</f>
        <v/>
      </c>
      <c r="AV637" s="63">
        <f>AU637-AT637</f>
        <v/>
      </c>
      <c r="AX637" s="59">
        <f>SUMIFS([1]инфо!$C$15:$C$28,[1]инфо!$A$15:$A$28,F637)*H636</f>
        <v/>
      </c>
    </row>
    <row r="638">
      <c r="A638" s="71">
        <f>A636+1</f>
        <v/>
      </c>
      <c r="B638" s="88" t="n"/>
      <c r="C638" s="77" t="n"/>
      <c r="D638" s="78" t="n"/>
      <c r="E638" s="66" t="n"/>
      <c r="F638" s="67" t="n"/>
      <c r="G638" s="79" t="n"/>
      <c r="H638" s="67" t="n"/>
      <c r="I638" s="57">
        <f>IFERROR(H638*VLOOKUP(F638,[1]инфо!$A$15:$C$28,3,FALSE)/1000,0)</f>
        <v/>
      </c>
      <c r="J638" s="55" t="n"/>
      <c r="K638" s="55" t="n"/>
      <c r="L638" s="55" t="n"/>
      <c r="M638" s="55" t="n"/>
      <c r="N638" s="56" t="n"/>
      <c r="O638" s="79" t="n"/>
      <c r="P638" s="79" t="n"/>
      <c r="Q638" s="79" t="n"/>
      <c r="R638" s="79" t="n"/>
      <c r="S638" s="80">
        <f>SUM(O638:R638)</f>
        <v/>
      </c>
      <c r="T638" s="77" t="n"/>
      <c r="U638" s="78" t="n"/>
      <c r="V638" s="79" t="n"/>
      <c r="W638" s="68" t="n"/>
      <c r="X638" s="79" t="n"/>
      <c r="Y638" s="77" t="n"/>
      <c r="Z638" s="79" t="n"/>
      <c r="AA638" s="79" t="n"/>
      <c r="AB638" s="79" t="n"/>
      <c r="AC638" s="68" t="n"/>
      <c r="AD638" s="78" t="n"/>
      <c r="AE638" s="81">
        <f>SUMIFS([1]инфо!$D$15:$D$28,[1]инфо!$A$15:$A$28,F638)</f>
        <v/>
      </c>
      <c r="AF638" s="62">
        <f>IF(H638=0,0,N638/H638)</f>
        <v/>
      </c>
      <c r="AG638" s="82">
        <f>AF638-AE638</f>
        <v/>
      </c>
      <c r="AH638" s="81">
        <f>SUMIFS([1]инфо!$E$15:$E$28,[1]инфо!$A$15:$A$28,F638)</f>
        <v/>
      </c>
      <c r="AI638" s="64">
        <f>IF(H638=0,0,S638/H638)</f>
        <v/>
      </c>
      <c r="AJ638" s="82">
        <f>AI638-AH638</f>
        <v/>
      </c>
      <c r="AK638" s="81">
        <f>SUMIFS([1]инфо!$F$15:$F$28,[1]инфо!$A$15:$A$28,F638)</f>
        <v/>
      </c>
      <c r="AL638" s="64">
        <f>IF(H638=0,0,Y638/H638)</f>
        <v/>
      </c>
      <c r="AM638" s="82">
        <f>AL638-AK638</f>
        <v/>
      </c>
      <c r="AN638" s="81">
        <f>SUMIFS([1]инфо!$G$15:$G$28,[1]инфо!$A$15:$A$28,F638)</f>
        <v/>
      </c>
      <c r="AO638" s="64">
        <f>IF(H638=0,0,AA638/H638)</f>
        <v/>
      </c>
      <c r="AP638" s="82">
        <f>AO638-AN638</f>
        <v/>
      </c>
      <c r="AQ638" s="81">
        <f>SUMIFS([1]инфо!$H$15:$H$28,[1]инфо!$A$15:$A$28,F638)</f>
        <v/>
      </c>
      <c r="AR638" s="85">
        <f>IF(H637=0,0,AC638/H637)</f>
        <v/>
      </c>
      <c r="AS638" s="82">
        <f>AR638-AQ638</f>
        <v/>
      </c>
      <c r="AT638" s="81">
        <f>SUMIFS([1]инфо!$I$15:$I$28,[1]инфо!$A$15:$A$28,F638)</f>
        <v/>
      </c>
      <c r="AU638" s="62">
        <f>IF(H638=0,0,AD638/H638)</f>
        <v/>
      </c>
      <c r="AV638" s="82">
        <f>AU638-AT638</f>
        <v/>
      </c>
      <c r="AX638" s="80">
        <f>SUMIFS([1]инфо!$C$15:$C$28,[1]инфо!$A$15:$A$28,F638)*H637</f>
        <v/>
      </c>
    </row>
    <row r="639">
      <c r="A639" s="71">
        <f>A637+1</f>
        <v/>
      </c>
      <c r="B639" s="89" t="n"/>
      <c r="C639" s="72" t="n"/>
      <c r="D639" s="73" t="n"/>
      <c r="E639" s="66" t="n"/>
      <c r="F639" s="67" t="n"/>
      <c r="G639" s="74" t="n"/>
      <c r="H639" s="55" t="n"/>
      <c r="I639" s="57">
        <f>IFERROR(H639*VLOOKUP(F639,[1]инфо!$A$15:$C$28,3,FALSE)/1000,0)</f>
        <v/>
      </c>
      <c r="J639" s="55" t="n"/>
      <c r="K639" s="55" t="n"/>
      <c r="L639" s="55" t="n"/>
      <c r="M639" s="55" t="n"/>
      <c r="N639" s="67" t="n"/>
      <c r="O639" s="74" t="n"/>
      <c r="P639" s="74" t="n"/>
      <c r="Q639" s="74" t="n"/>
      <c r="R639" s="74" t="n"/>
      <c r="S639" s="70">
        <f>SUM(O639:R639)</f>
        <v/>
      </c>
      <c r="T639" s="72" t="n"/>
      <c r="U639" s="73" t="n"/>
      <c r="V639" s="74" t="n"/>
      <c r="W639" s="68" t="n"/>
      <c r="X639" s="74" t="n"/>
      <c r="Y639" s="72" t="n"/>
      <c r="Z639" s="74" t="n"/>
      <c r="AA639" s="74" t="n"/>
      <c r="AB639" s="74" t="n"/>
      <c r="AC639" s="68" t="n"/>
      <c r="AD639" s="73" t="n"/>
      <c r="AE639" s="75">
        <f>SUMIFS([1]инфо!$D$15:$D$28,[1]инфо!$A$15:$A$28,F639)</f>
        <v/>
      </c>
      <c r="AF639" s="62">
        <f>IF(H639=0,0,N639/H639)</f>
        <v/>
      </c>
      <c r="AG639" s="76">
        <f>AF639-AE639</f>
        <v/>
      </c>
      <c r="AH639" s="75">
        <f>SUMIFS([1]инфо!$E$15:$E$28,[1]инфо!$A$15:$A$28,F639)</f>
        <v/>
      </c>
      <c r="AI639" s="64">
        <f>IF(H639=0,0,S639/H639)</f>
        <v/>
      </c>
      <c r="AJ639" s="76">
        <f>AI639-AH639</f>
        <v/>
      </c>
      <c r="AK639" s="75">
        <f>SUMIFS([1]инфо!$F$15:$F$28,[1]инфо!$A$15:$A$28,F639)</f>
        <v/>
      </c>
      <c r="AL639" s="64">
        <f>IF(H639=0,0,Y639/H639)</f>
        <v/>
      </c>
      <c r="AM639" s="76">
        <f>AL639-AK639</f>
        <v/>
      </c>
      <c r="AN639" s="75">
        <f>SUMIFS([1]инфо!$G$15:$G$28,[1]инфо!$A$15:$A$28,F639)</f>
        <v/>
      </c>
      <c r="AO639" s="64">
        <f>IF(H639=0,0,AA639/H639)</f>
        <v/>
      </c>
      <c r="AP639" s="76">
        <f>AO639-AN639</f>
        <v/>
      </c>
      <c r="AQ639" s="75">
        <f>SUMIFS([1]инфо!$H$15:$H$28,[1]инфо!$A$15:$A$28,F639)</f>
        <v/>
      </c>
      <c r="AR639" s="64">
        <f>IF(H638=0,0,AC639/H638)</f>
        <v/>
      </c>
      <c r="AS639" s="76">
        <f>AR639-AQ639</f>
        <v/>
      </c>
      <c r="AT639" s="75">
        <f>SUMIFS([1]инфо!$I$15:$I$28,[1]инфо!$A$15:$A$28,F639)</f>
        <v/>
      </c>
      <c r="AU639" s="62">
        <f>IF(H639=0,0,AD639/H639)</f>
        <v/>
      </c>
      <c r="AV639" s="76">
        <f>AU639-AT639</f>
        <v/>
      </c>
      <c r="AX639" s="70">
        <f>SUMIFS([1]инфо!$C$15:$C$28,[1]инфо!$A$15:$A$28,F639)*H638</f>
        <v/>
      </c>
    </row>
    <row r="640">
      <c r="A640" s="71">
        <f>A638+1</f>
        <v/>
      </c>
      <c r="B640" s="90" t="n"/>
      <c r="C640" s="52" t="n"/>
      <c r="D640" s="53" t="n"/>
      <c r="E640" s="66" t="n"/>
      <c r="F640" s="67" t="n"/>
      <c r="G640" s="58" t="n"/>
      <c r="H640" s="55" t="n"/>
      <c r="I640" s="57">
        <f>IFERROR(H640*VLOOKUP(F640,[1]инфо!$A$15:$C$28,3,FALSE)/1000,0)</f>
        <v/>
      </c>
      <c r="J640" s="55" t="n"/>
      <c r="K640" s="55" t="n"/>
      <c r="L640" s="55" t="n"/>
      <c r="M640" s="55" t="n"/>
      <c r="N640" s="55" t="n"/>
      <c r="O640" s="58" t="n"/>
      <c r="P640" s="58" t="n"/>
      <c r="Q640" s="58" t="n"/>
      <c r="R640" s="58" t="n"/>
      <c r="S640" s="59">
        <f>SUM(O640:R640)</f>
        <v/>
      </c>
      <c r="T640" s="52" t="n"/>
      <c r="U640" s="53" t="n"/>
      <c r="V640" s="58" t="n"/>
      <c r="W640" s="68" t="n"/>
      <c r="X640" s="58" t="n"/>
      <c r="Y640" s="52" t="n"/>
      <c r="Z640" s="58" t="n"/>
      <c r="AA640" s="58" t="n"/>
      <c r="AB640" s="58" t="n"/>
      <c r="AC640" s="68" t="n"/>
      <c r="AD640" s="53" t="n"/>
      <c r="AE640" s="61">
        <f>SUMIFS([1]инфо!$D$15:$D$28,[1]инфо!$A$15:$A$28,F640)</f>
        <v/>
      </c>
      <c r="AF640" s="62">
        <f>IF(H640=0,0,N640/H640)</f>
        <v/>
      </c>
      <c r="AG640" s="63">
        <f>AF640-AE640</f>
        <v/>
      </c>
      <c r="AH640" s="61">
        <f>SUMIFS([1]инфо!$E$15:$E$28,[1]инфо!$A$15:$A$28,F640)</f>
        <v/>
      </c>
      <c r="AI640" s="64">
        <f>IF(H640=0,0,S640/H640)</f>
        <v/>
      </c>
      <c r="AJ640" s="63">
        <f>AI640-AH640</f>
        <v/>
      </c>
      <c r="AK640" s="61">
        <f>SUMIFS([1]инфо!$F$15:$F$28,[1]инфо!$A$15:$A$28,F640)</f>
        <v/>
      </c>
      <c r="AL640" s="64">
        <f>IF(H640=0,0,Y640/H640)</f>
        <v/>
      </c>
      <c r="AM640" s="63">
        <f>AL640-AK640</f>
        <v/>
      </c>
      <c r="AN640" s="61">
        <f>SUMIFS([1]инфо!$G$15:$G$28,[1]инфо!$A$15:$A$28,F640)</f>
        <v/>
      </c>
      <c r="AO640" s="64">
        <f>IF(H640=0,0,AA640/H640)</f>
        <v/>
      </c>
      <c r="AP640" s="63">
        <f>AO640-AN640</f>
        <v/>
      </c>
      <c r="AQ640" s="61">
        <f>SUMIFS([1]инфо!$H$15:$H$28,[1]инфо!$A$15:$A$28,F640)</f>
        <v/>
      </c>
      <c r="AR640" s="62">
        <f>IF(H639=0,0,AC640/H639)</f>
        <v/>
      </c>
      <c r="AS640" s="63">
        <f>AR640-AQ640</f>
        <v/>
      </c>
      <c r="AT640" s="61">
        <f>SUMIFS([1]инфо!$I$15:$I$28,[1]инфо!$A$15:$A$28,F640)</f>
        <v/>
      </c>
      <c r="AU640" s="62">
        <f>IF(H640=0,0,AD640/H640)</f>
        <v/>
      </c>
      <c r="AV640" s="63">
        <f>AU640-AT640</f>
        <v/>
      </c>
      <c r="AX640" s="59">
        <f>SUMIFS([1]инфо!$C$15:$C$28,[1]инфо!$A$15:$A$28,F640)*H639</f>
        <v/>
      </c>
    </row>
    <row r="641">
      <c r="A641" s="71">
        <f>A639+1</f>
        <v/>
      </c>
      <c r="B641" s="90" t="n"/>
      <c r="C641" s="52" t="n"/>
      <c r="D641" s="53" t="n"/>
      <c r="E641" s="66" t="n"/>
      <c r="F641" s="67" t="n"/>
      <c r="G641" s="58" t="n"/>
      <c r="H641" s="56" t="n"/>
      <c r="I641" s="57">
        <f>IFERROR(H641*VLOOKUP(F641,[1]инфо!$A$15:$C$28,3,FALSE)/1000,0)</f>
        <v/>
      </c>
      <c r="J641" s="55" t="n"/>
      <c r="K641" s="55" t="n"/>
      <c r="L641" s="55" t="n"/>
      <c r="M641" s="55" t="n"/>
      <c r="N641" s="55" t="n"/>
      <c r="O641" s="58" t="n"/>
      <c r="P641" s="58" t="n"/>
      <c r="Q641" s="58" t="n"/>
      <c r="R641" s="58" t="n"/>
      <c r="S641" s="59">
        <f>SUM(O641:R641)</f>
        <v/>
      </c>
      <c r="T641" s="52" t="n"/>
      <c r="U641" s="53" t="n"/>
      <c r="V641" s="58" t="n"/>
      <c r="W641" s="68" t="n"/>
      <c r="X641" s="58" t="n"/>
      <c r="Y641" s="52" t="n"/>
      <c r="Z641" s="58" t="n"/>
      <c r="AA641" s="58" t="n"/>
      <c r="AB641" s="58" t="n"/>
      <c r="AC641" s="68" t="n"/>
      <c r="AD641" s="53" t="n"/>
      <c r="AE641" s="61">
        <f>SUMIFS([1]инфо!$D$15:$D$28,[1]инфо!$A$15:$A$28,F641)</f>
        <v/>
      </c>
      <c r="AF641" s="62">
        <f>IF(H641=0,0,N641/H641)</f>
        <v/>
      </c>
      <c r="AG641" s="63">
        <f>AF641-AE641</f>
        <v/>
      </c>
      <c r="AH641" s="61">
        <f>SUMIFS([1]инфо!$E$15:$E$28,[1]инфо!$A$15:$A$28,F641)</f>
        <v/>
      </c>
      <c r="AI641" s="64">
        <f>IF(H641=0,0,S641/H641)</f>
        <v/>
      </c>
      <c r="AJ641" s="63">
        <f>AI641-AH641</f>
        <v/>
      </c>
      <c r="AK641" s="61">
        <f>SUMIFS([1]инфо!$F$15:$F$28,[1]инфо!$A$15:$A$28,F641)</f>
        <v/>
      </c>
      <c r="AL641" s="64">
        <f>IF(H641=0,0,Y641/H641)</f>
        <v/>
      </c>
      <c r="AM641" s="63">
        <f>AL641-AK641</f>
        <v/>
      </c>
      <c r="AN641" s="61">
        <f>SUMIFS([1]инфо!$G$15:$G$28,[1]инфо!$A$15:$A$28,F641)</f>
        <v/>
      </c>
      <c r="AO641" s="64">
        <f>IF(H641=0,0,AA641/H641)</f>
        <v/>
      </c>
      <c r="AP641" s="63">
        <f>AO641-AN641</f>
        <v/>
      </c>
      <c r="AQ641" s="61">
        <f>SUMIFS([1]инфо!$H$15:$H$28,[1]инфо!$A$15:$A$28,F641)</f>
        <v/>
      </c>
      <c r="AR641" s="62">
        <f>IF(H640=0,0,AC641/H640)</f>
        <v/>
      </c>
      <c r="AS641" s="63">
        <f>AR641-AQ641</f>
        <v/>
      </c>
      <c r="AT641" s="61">
        <f>SUMIFS([1]инфо!$I$15:$I$28,[1]инфо!$A$15:$A$28,F641)</f>
        <v/>
      </c>
      <c r="AU641" s="62">
        <f>IF(H641=0,0,AD641/H641)</f>
        <v/>
      </c>
      <c r="AV641" s="63">
        <f>AU641-AT641</f>
        <v/>
      </c>
      <c r="AX641" s="59">
        <f>SUMIFS([1]инфо!$C$15:$C$28,[1]инфо!$A$15:$A$28,F641)*H640</f>
        <v/>
      </c>
    </row>
    <row r="642">
      <c r="A642" s="71">
        <f>A640+1</f>
        <v/>
      </c>
      <c r="B642" s="88" t="n"/>
      <c r="C642" s="77" t="n"/>
      <c r="D642" s="78" t="n"/>
      <c r="E642" s="66" t="n"/>
      <c r="F642" s="67" t="n"/>
      <c r="G642" s="79" t="n"/>
      <c r="H642" s="67" t="n"/>
      <c r="I642" s="57">
        <f>IFERROR(H642*VLOOKUP(F642,[1]инфо!$A$15:$C$28,3,FALSE)/1000,0)</f>
        <v/>
      </c>
      <c r="J642" s="55" t="n"/>
      <c r="K642" s="55" t="n"/>
      <c r="L642" s="55" t="n"/>
      <c r="M642" s="55" t="n"/>
      <c r="N642" s="56" t="n"/>
      <c r="O642" s="79" t="n"/>
      <c r="P642" s="79" t="n"/>
      <c r="Q642" s="79" t="n"/>
      <c r="R642" s="79" t="n"/>
      <c r="S642" s="80">
        <f>SUM(O642:R642)</f>
        <v/>
      </c>
      <c r="T642" s="77" t="n"/>
      <c r="U642" s="78" t="n"/>
      <c r="V642" s="79" t="n"/>
      <c r="W642" s="68" t="n"/>
      <c r="X642" s="79" t="n"/>
      <c r="Y642" s="77" t="n"/>
      <c r="Z642" s="79" t="n"/>
      <c r="AA642" s="79" t="n"/>
      <c r="AB642" s="79" t="n"/>
      <c r="AC642" s="68" t="n"/>
      <c r="AD642" s="78" t="n"/>
      <c r="AE642" s="81">
        <f>SUMIFS([1]инфо!$D$15:$D$28,[1]инфо!$A$15:$A$28,F642)</f>
        <v/>
      </c>
      <c r="AF642" s="62">
        <f>IF(H642=0,0,N642/H642)</f>
        <v/>
      </c>
      <c r="AG642" s="82">
        <f>AF642-AE642</f>
        <v/>
      </c>
      <c r="AH642" s="81">
        <f>SUMIFS([1]инфо!$E$15:$E$28,[1]инфо!$A$15:$A$28,F642)</f>
        <v/>
      </c>
      <c r="AI642" s="64">
        <f>IF(H642=0,0,S642/H642)</f>
        <v/>
      </c>
      <c r="AJ642" s="82">
        <f>AI642-AH642</f>
        <v/>
      </c>
      <c r="AK642" s="81">
        <f>SUMIFS([1]инфо!$F$15:$F$28,[1]инфо!$A$15:$A$28,F642)</f>
        <v/>
      </c>
      <c r="AL642" s="64">
        <f>IF(H642=0,0,Y642/H642)</f>
        <v/>
      </c>
      <c r="AM642" s="82">
        <f>AL642-AK642</f>
        <v/>
      </c>
      <c r="AN642" s="81">
        <f>SUMIFS([1]инфо!$G$15:$G$28,[1]инфо!$A$15:$A$28,F642)</f>
        <v/>
      </c>
      <c r="AO642" s="64">
        <f>IF(H642=0,0,AA642/H642)</f>
        <v/>
      </c>
      <c r="AP642" s="82">
        <f>AO642-AN642</f>
        <v/>
      </c>
      <c r="AQ642" s="81">
        <f>SUMIFS([1]инфо!$H$15:$H$28,[1]инфо!$A$15:$A$28,F642)</f>
        <v/>
      </c>
      <c r="AR642" s="85">
        <f>IF(H641=0,0,AC642/H641)</f>
        <v/>
      </c>
      <c r="AS642" s="82">
        <f>AR642-AQ642</f>
        <v/>
      </c>
      <c r="AT642" s="81">
        <f>SUMIFS([1]инфо!$I$15:$I$28,[1]инфо!$A$15:$A$28,F642)</f>
        <v/>
      </c>
      <c r="AU642" s="62">
        <f>IF(H642=0,0,AD642/H642)</f>
        <v/>
      </c>
      <c r="AV642" s="82">
        <f>AU642-AT642</f>
        <v/>
      </c>
      <c r="AX642" s="80">
        <f>SUMIFS([1]инфо!$C$15:$C$28,[1]инфо!$A$15:$A$28,F642)*H641</f>
        <v/>
      </c>
    </row>
    <row r="643">
      <c r="A643" s="71">
        <f>A641+1</f>
        <v/>
      </c>
      <c r="B643" s="89" t="n"/>
      <c r="C643" s="72" t="n"/>
      <c r="D643" s="73" t="n"/>
      <c r="E643" s="66" t="n"/>
      <c r="F643" s="67" t="n"/>
      <c r="G643" s="74" t="n"/>
      <c r="H643" s="55" t="n"/>
      <c r="I643" s="57">
        <f>IFERROR(H643*VLOOKUP(F643,[1]инфо!$A$15:$C$28,3,FALSE)/1000,0)</f>
        <v/>
      </c>
      <c r="J643" s="55" t="n"/>
      <c r="K643" s="55" t="n"/>
      <c r="L643" s="55" t="n"/>
      <c r="M643" s="55" t="n"/>
      <c r="N643" s="67" t="n"/>
      <c r="O643" s="74" t="n"/>
      <c r="P643" s="74" t="n"/>
      <c r="Q643" s="74" t="n"/>
      <c r="R643" s="74" t="n"/>
      <c r="S643" s="70">
        <f>SUM(O643:R643)</f>
        <v/>
      </c>
      <c r="T643" s="72" t="n"/>
      <c r="U643" s="73" t="n"/>
      <c r="V643" s="74" t="n"/>
      <c r="W643" s="68" t="n"/>
      <c r="X643" s="74" t="n"/>
      <c r="Y643" s="72" t="n"/>
      <c r="Z643" s="74" t="n"/>
      <c r="AA643" s="74" t="n"/>
      <c r="AB643" s="74" t="n"/>
      <c r="AC643" s="68" t="n"/>
      <c r="AD643" s="73" t="n"/>
      <c r="AE643" s="75">
        <f>SUMIFS([1]инфо!$D$15:$D$28,[1]инфо!$A$15:$A$28,F643)</f>
        <v/>
      </c>
      <c r="AF643" s="62">
        <f>IF(H643=0,0,N643/H643)</f>
        <v/>
      </c>
      <c r="AG643" s="76">
        <f>AF643-AE643</f>
        <v/>
      </c>
      <c r="AH643" s="75">
        <f>SUMIFS([1]инфо!$E$15:$E$28,[1]инфо!$A$15:$A$28,F643)</f>
        <v/>
      </c>
      <c r="AI643" s="64">
        <f>IF(H643=0,0,S643/H643)</f>
        <v/>
      </c>
      <c r="AJ643" s="76">
        <f>AI643-AH643</f>
        <v/>
      </c>
      <c r="AK643" s="75">
        <f>SUMIFS([1]инфо!$F$15:$F$28,[1]инфо!$A$15:$A$28,F643)</f>
        <v/>
      </c>
      <c r="AL643" s="64">
        <f>IF(H643=0,0,Y643/H643)</f>
        <v/>
      </c>
      <c r="AM643" s="76">
        <f>AL643-AK643</f>
        <v/>
      </c>
      <c r="AN643" s="75">
        <f>SUMIFS([1]инфо!$G$15:$G$28,[1]инфо!$A$15:$A$28,F643)</f>
        <v/>
      </c>
      <c r="AO643" s="64">
        <f>IF(H643=0,0,AA643/H643)</f>
        <v/>
      </c>
      <c r="AP643" s="76">
        <f>AO643-AN643</f>
        <v/>
      </c>
      <c r="AQ643" s="75">
        <f>SUMIFS([1]инфо!$H$15:$H$28,[1]инфо!$A$15:$A$28,F643)</f>
        <v/>
      </c>
      <c r="AR643" s="64">
        <f>IF(H642=0,0,AC643/H642)</f>
        <v/>
      </c>
      <c r="AS643" s="76">
        <f>AR643-AQ643</f>
        <v/>
      </c>
      <c r="AT643" s="75">
        <f>SUMIFS([1]инфо!$I$15:$I$28,[1]инфо!$A$15:$A$28,F643)</f>
        <v/>
      </c>
      <c r="AU643" s="62">
        <f>IF(H643=0,0,AD643/H643)</f>
        <v/>
      </c>
      <c r="AV643" s="76">
        <f>AU643-AT643</f>
        <v/>
      </c>
      <c r="AX643" s="70">
        <f>SUMIFS([1]инфо!$C$15:$C$28,[1]инфо!$A$15:$A$28,F643)*H642</f>
        <v/>
      </c>
    </row>
    <row r="644">
      <c r="A644" s="71">
        <f>A642+1</f>
        <v/>
      </c>
      <c r="B644" s="90" t="n"/>
      <c r="C644" s="52" t="n"/>
      <c r="D644" s="53" t="n"/>
      <c r="E644" s="66" t="n"/>
      <c r="F644" s="67" t="n"/>
      <c r="G644" s="58" t="n"/>
      <c r="H644" s="55" t="n"/>
      <c r="I644" s="57">
        <f>IFERROR(H644*VLOOKUP(F644,[1]инфо!$A$15:$C$28,3,FALSE)/1000,0)</f>
        <v/>
      </c>
      <c r="J644" s="55" t="n"/>
      <c r="K644" s="55" t="n"/>
      <c r="L644" s="55" t="n"/>
      <c r="M644" s="55" t="n"/>
      <c r="N644" s="55" t="n"/>
      <c r="O644" s="58" t="n"/>
      <c r="P644" s="58" t="n"/>
      <c r="Q644" s="58" t="n"/>
      <c r="R644" s="58" t="n"/>
      <c r="S644" s="59">
        <f>SUM(O644:R644)</f>
        <v/>
      </c>
      <c r="T644" s="52" t="n"/>
      <c r="U644" s="53" t="n"/>
      <c r="V644" s="58" t="n"/>
      <c r="W644" s="68" t="n"/>
      <c r="X644" s="58" t="n"/>
      <c r="Y644" s="52" t="n"/>
      <c r="Z644" s="58" t="n"/>
      <c r="AA644" s="58" t="n"/>
      <c r="AB644" s="58" t="n"/>
      <c r="AC644" s="68" t="n"/>
      <c r="AD644" s="53" t="n"/>
      <c r="AE644" s="61">
        <f>SUMIFS([1]инфо!$D$15:$D$28,[1]инфо!$A$15:$A$28,F644)</f>
        <v/>
      </c>
      <c r="AF644" s="62">
        <f>IF(H644=0,0,N644/H644)</f>
        <v/>
      </c>
      <c r="AG644" s="63">
        <f>AF644-AE644</f>
        <v/>
      </c>
      <c r="AH644" s="61">
        <f>SUMIFS([1]инфо!$E$15:$E$28,[1]инфо!$A$15:$A$28,F644)</f>
        <v/>
      </c>
      <c r="AI644" s="64">
        <f>IF(H644=0,0,S644/H644)</f>
        <v/>
      </c>
      <c r="AJ644" s="63">
        <f>AI644-AH644</f>
        <v/>
      </c>
      <c r="AK644" s="61">
        <f>SUMIFS([1]инфо!$F$15:$F$28,[1]инфо!$A$15:$A$28,F644)</f>
        <v/>
      </c>
      <c r="AL644" s="64">
        <f>IF(H644=0,0,Y644/H644)</f>
        <v/>
      </c>
      <c r="AM644" s="63">
        <f>AL644-AK644</f>
        <v/>
      </c>
      <c r="AN644" s="61">
        <f>SUMIFS([1]инфо!$G$15:$G$28,[1]инфо!$A$15:$A$28,F644)</f>
        <v/>
      </c>
      <c r="AO644" s="64">
        <f>IF(H644=0,0,AA644/H644)</f>
        <v/>
      </c>
      <c r="AP644" s="63">
        <f>AO644-AN644</f>
        <v/>
      </c>
      <c r="AQ644" s="61">
        <f>SUMIFS([1]инфо!$H$15:$H$28,[1]инфо!$A$15:$A$28,F644)</f>
        <v/>
      </c>
      <c r="AR644" s="62">
        <f>IF(H643=0,0,AC644/H643)</f>
        <v/>
      </c>
      <c r="AS644" s="63">
        <f>AR644-AQ644</f>
        <v/>
      </c>
      <c r="AT644" s="61">
        <f>SUMIFS([1]инфо!$I$15:$I$28,[1]инфо!$A$15:$A$28,F644)</f>
        <v/>
      </c>
      <c r="AU644" s="62">
        <f>IF(H644=0,0,AD644/H644)</f>
        <v/>
      </c>
      <c r="AV644" s="63">
        <f>AU644-AT644</f>
        <v/>
      </c>
      <c r="AX644" s="59">
        <f>SUMIFS([1]инфо!$C$15:$C$28,[1]инфо!$A$15:$A$28,F644)*H643</f>
        <v/>
      </c>
    </row>
    <row r="645">
      <c r="A645" s="71">
        <f>A643+1</f>
        <v/>
      </c>
      <c r="B645" s="90" t="n"/>
      <c r="C645" s="52" t="n"/>
      <c r="D645" s="53" t="n"/>
      <c r="E645" s="66" t="n"/>
      <c r="F645" s="67" t="n"/>
      <c r="G645" s="58" t="n"/>
      <c r="H645" s="56" t="n"/>
      <c r="I645" s="57">
        <f>IFERROR(H645*VLOOKUP(F645,[1]инфо!$A$15:$C$28,3,FALSE)/1000,0)</f>
        <v/>
      </c>
      <c r="J645" s="55" t="n"/>
      <c r="K645" s="55" t="n"/>
      <c r="L645" s="55" t="n"/>
      <c r="M645" s="55" t="n"/>
      <c r="N645" s="55" t="n"/>
      <c r="O645" s="58" t="n"/>
      <c r="P645" s="58" t="n"/>
      <c r="Q645" s="58" t="n"/>
      <c r="R645" s="58" t="n"/>
      <c r="S645" s="59">
        <f>SUM(O645:R645)</f>
        <v/>
      </c>
      <c r="T645" s="52" t="n"/>
      <c r="U645" s="53" t="n"/>
      <c r="V645" s="58" t="n"/>
      <c r="W645" s="68" t="n"/>
      <c r="X645" s="58" t="n"/>
      <c r="Y645" s="52" t="n"/>
      <c r="Z645" s="58" t="n"/>
      <c r="AA645" s="58" t="n"/>
      <c r="AB645" s="58" t="n"/>
      <c r="AC645" s="68" t="n"/>
      <c r="AD645" s="53" t="n"/>
      <c r="AE645" s="61">
        <f>SUMIFS([1]инфо!$D$15:$D$28,[1]инфо!$A$15:$A$28,F645)</f>
        <v/>
      </c>
      <c r="AF645" s="62">
        <f>IF(H645=0,0,N645/H645)</f>
        <v/>
      </c>
      <c r="AG645" s="63">
        <f>AF645-AE645</f>
        <v/>
      </c>
      <c r="AH645" s="61">
        <f>SUMIFS([1]инфо!$E$15:$E$28,[1]инфо!$A$15:$A$28,F645)</f>
        <v/>
      </c>
      <c r="AI645" s="64">
        <f>IF(H645=0,0,S645/H645)</f>
        <v/>
      </c>
      <c r="AJ645" s="63">
        <f>AI645-AH645</f>
        <v/>
      </c>
      <c r="AK645" s="61">
        <f>SUMIFS([1]инфо!$F$15:$F$28,[1]инфо!$A$15:$A$28,F645)</f>
        <v/>
      </c>
      <c r="AL645" s="64">
        <f>IF(H645=0,0,Y645/H645)</f>
        <v/>
      </c>
      <c r="AM645" s="63">
        <f>AL645-AK645</f>
        <v/>
      </c>
      <c r="AN645" s="61">
        <f>SUMIFS([1]инфо!$G$15:$G$28,[1]инфо!$A$15:$A$28,F645)</f>
        <v/>
      </c>
      <c r="AO645" s="64">
        <f>IF(H645=0,0,AA645/H645)</f>
        <v/>
      </c>
      <c r="AP645" s="63">
        <f>AO645-AN645</f>
        <v/>
      </c>
      <c r="AQ645" s="61">
        <f>SUMIFS([1]инфо!$H$15:$H$28,[1]инфо!$A$15:$A$28,F645)</f>
        <v/>
      </c>
      <c r="AR645" s="62">
        <f>IF(H644=0,0,AC645/H644)</f>
        <v/>
      </c>
      <c r="AS645" s="63">
        <f>AR645-AQ645</f>
        <v/>
      </c>
      <c r="AT645" s="61">
        <f>SUMIFS([1]инфо!$I$15:$I$28,[1]инфо!$A$15:$A$28,F645)</f>
        <v/>
      </c>
      <c r="AU645" s="62">
        <f>IF(H645=0,0,AD645/H645)</f>
        <v/>
      </c>
      <c r="AV645" s="63">
        <f>AU645-AT645</f>
        <v/>
      </c>
      <c r="AX645" s="59">
        <f>SUMIFS([1]инфо!$C$15:$C$28,[1]инфо!$A$15:$A$28,F645)*H644</f>
        <v/>
      </c>
    </row>
    <row r="646">
      <c r="A646" s="71">
        <f>A644+1</f>
        <v/>
      </c>
      <c r="B646" s="88" t="n"/>
      <c r="C646" s="77" t="n"/>
      <c r="D646" s="78" t="n"/>
      <c r="E646" s="66" t="n"/>
      <c r="F646" s="67" t="n"/>
      <c r="G646" s="79" t="n"/>
      <c r="H646" s="67" t="n"/>
      <c r="I646" s="57">
        <f>IFERROR(H646*VLOOKUP(F646,[1]инфо!$A$15:$C$28,3,FALSE)/1000,0)</f>
        <v/>
      </c>
      <c r="J646" s="55" t="n"/>
      <c r="K646" s="55" t="n"/>
      <c r="L646" s="55" t="n"/>
      <c r="M646" s="55" t="n"/>
      <c r="N646" s="56" t="n"/>
      <c r="O646" s="79" t="n"/>
      <c r="P646" s="79" t="n"/>
      <c r="Q646" s="79" t="n"/>
      <c r="R646" s="79" t="n"/>
      <c r="S646" s="80">
        <f>SUM(O646:R646)</f>
        <v/>
      </c>
      <c r="T646" s="77" t="n"/>
      <c r="U646" s="78" t="n"/>
      <c r="V646" s="79" t="n"/>
      <c r="W646" s="68" t="n"/>
      <c r="X646" s="79" t="n"/>
      <c r="Y646" s="77" t="n"/>
      <c r="Z646" s="79" t="n"/>
      <c r="AA646" s="79" t="n"/>
      <c r="AB646" s="79" t="n"/>
      <c r="AC646" s="68" t="n"/>
      <c r="AD646" s="78" t="n"/>
      <c r="AE646" s="81">
        <f>SUMIFS([1]инфо!$D$15:$D$28,[1]инфо!$A$15:$A$28,F646)</f>
        <v/>
      </c>
      <c r="AF646" s="62">
        <f>IF(H646=0,0,N646/H646)</f>
        <v/>
      </c>
      <c r="AG646" s="82">
        <f>AF646-AE646</f>
        <v/>
      </c>
      <c r="AH646" s="81">
        <f>SUMIFS([1]инфо!$E$15:$E$28,[1]инфо!$A$15:$A$28,F646)</f>
        <v/>
      </c>
      <c r="AI646" s="64">
        <f>IF(H646=0,0,S646/H646)</f>
        <v/>
      </c>
      <c r="AJ646" s="82">
        <f>AI646-AH646</f>
        <v/>
      </c>
      <c r="AK646" s="81">
        <f>SUMIFS([1]инфо!$F$15:$F$28,[1]инфо!$A$15:$A$28,F646)</f>
        <v/>
      </c>
      <c r="AL646" s="64">
        <f>IF(H646=0,0,Y646/H646)</f>
        <v/>
      </c>
      <c r="AM646" s="82">
        <f>AL646-AK646</f>
        <v/>
      </c>
      <c r="AN646" s="81">
        <f>SUMIFS([1]инфо!$G$15:$G$28,[1]инфо!$A$15:$A$28,F646)</f>
        <v/>
      </c>
      <c r="AO646" s="64">
        <f>IF(H646=0,0,AA646/H646)</f>
        <v/>
      </c>
      <c r="AP646" s="82">
        <f>AO646-AN646</f>
        <v/>
      </c>
      <c r="AQ646" s="81">
        <f>SUMIFS([1]инфо!$H$15:$H$28,[1]инфо!$A$15:$A$28,F646)</f>
        <v/>
      </c>
      <c r="AR646" s="85">
        <f>IF(H645=0,0,AC646/H645)</f>
        <v/>
      </c>
      <c r="AS646" s="82">
        <f>AR646-AQ646</f>
        <v/>
      </c>
      <c r="AT646" s="81">
        <f>SUMIFS([1]инфо!$I$15:$I$28,[1]инфо!$A$15:$A$28,F646)</f>
        <v/>
      </c>
      <c r="AU646" s="62">
        <f>IF(H646=0,0,AD646/H646)</f>
        <v/>
      </c>
      <c r="AV646" s="82">
        <f>AU646-AT646</f>
        <v/>
      </c>
      <c r="AX646" s="80">
        <f>SUMIFS([1]инфо!$C$15:$C$28,[1]инфо!$A$15:$A$28,F646)*H645</f>
        <v/>
      </c>
    </row>
    <row r="647">
      <c r="A647" s="71">
        <f>A645+1</f>
        <v/>
      </c>
      <c r="B647" s="89" t="n"/>
      <c r="C647" s="72" t="n"/>
      <c r="D647" s="73" t="n"/>
      <c r="E647" s="66" t="n"/>
      <c r="F647" s="67" t="n"/>
      <c r="G647" s="74" t="n"/>
      <c r="H647" s="55" t="n"/>
      <c r="I647" s="57">
        <f>IFERROR(H647*VLOOKUP(F647,[1]инфо!$A$15:$C$28,3,FALSE)/1000,0)</f>
        <v/>
      </c>
      <c r="J647" s="55" t="n"/>
      <c r="K647" s="55" t="n"/>
      <c r="L647" s="55" t="n"/>
      <c r="M647" s="55" t="n"/>
      <c r="N647" s="67" t="n"/>
      <c r="O647" s="74" t="n"/>
      <c r="P647" s="74" t="n"/>
      <c r="Q647" s="74" t="n"/>
      <c r="R647" s="74" t="n"/>
      <c r="S647" s="70">
        <f>SUM(O647:R647)</f>
        <v/>
      </c>
      <c r="T647" s="72" t="n"/>
      <c r="U647" s="73" t="n"/>
      <c r="V647" s="74" t="n"/>
      <c r="W647" s="68" t="n"/>
      <c r="X647" s="74" t="n"/>
      <c r="Y647" s="72" t="n"/>
      <c r="Z647" s="74" t="n"/>
      <c r="AA647" s="74" t="n"/>
      <c r="AB647" s="74" t="n"/>
      <c r="AC647" s="68" t="n"/>
      <c r="AD647" s="73" t="n"/>
      <c r="AE647" s="75">
        <f>SUMIFS([1]инфо!$D$15:$D$28,[1]инфо!$A$15:$A$28,F647)</f>
        <v/>
      </c>
      <c r="AF647" s="62">
        <f>IF(H647=0,0,N647/H647)</f>
        <v/>
      </c>
      <c r="AG647" s="76">
        <f>AF647-AE647</f>
        <v/>
      </c>
      <c r="AH647" s="75">
        <f>SUMIFS([1]инфо!$E$15:$E$28,[1]инфо!$A$15:$A$28,F647)</f>
        <v/>
      </c>
      <c r="AI647" s="64">
        <f>IF(H647=0,0,S647/H647)</f>
        <v/>
      </c>
      <c r="AJ647" s="76">
        <f>AI647-AH647</f>
        <v/>
      </c>
      <c r="AK647" s="75">
        <f>SUMIFS([1]инфо!$F$15:$F$28,[1]инфо!$A$15:$A$28,F647)</f>
        <v/>
      </c>
      <c r="AL647" s="64">
        <f>IF(H647=0,0,Y647/H647)</f>
        <v/>
      </c>
      <c r="AM647" s="76">
        <f>AL647-AK647</f>
        <v/>
      </c>
      <c r="AN647" s="75">
        <f>SUMIFS([1]инфо!$G$15:$G$28,[1]инфо!$A$15:$A$28,F647)</f>
        <v/>
      </c>
      <c r="AO647" s="64">
        <f>IF(H647=0,0,AA647/H647)</f>
        <v/>
      </c>
      <c r="AP647" s="76">
        <f>AO647-AN647</f>
        <v/>
      </c>
      <c r="AQ647" s="75">
        <f>SUMIFS([1]инфо!$H$15:$H$28,[1]инфо!$A$15:$A$28,F647)</f>
        <v/>
      </c>
      <c r="AR647" s="64">
        <f>IF(H646=0,0,AC647/H646)</f>
        <v/>
      </c>
      <c r="AS647" s="76">
        <f>AR647-AQ647</f>
        <v/>
      </c>
      <c r="AT647" s="75">
        <f>SUMIFS([1]инфо!$I$15:$I$28,[1]инфо!$A$15:$A$28,F647)</f>
        <v/>
      </c>
      <c r="AU647" s="62">
        <f>IF(H647=0,0,AD647/H647)</f>
        <v/>
      </c>
      <c r="AV647" s="76">
        <f>AU647-AT647</f>
        <v/>
      </c>
      <c r="AX647" s="70">
        <f>SUMIFS([1]инфо!$C$15:$C$28,[1]инфо!$A$15:$A$28,F647)*H646</f>
        <v/>
      </c>
    </row>
    <row r="648">
      <c r="A648" s="71">
        <f>A646+1</f>
        <v/>
      </c>
      <c r="B648" s="90" t="n"/>
      <c r="C648" s="52" t="n"/>
      <c r="D648" s="53" t="n"/>
      <c r="E648" s="66" t="n"/>
      <c r="F648" s="67" t="n"/>
      <c r="G648" s="58" t="n"/>
      <c r="H648" s="55" t="n"/>
      <c r="I648" s="57">
        <f>IFERROR(H648*VLOOKUP(F648,[1]инфо!$A$15:$C$28,3,FALSE)/1000,0)</f>
        <v/>
      </c>
      <c r="J648" s="55" t="n"/>
      <c r="K648" s="55" t="n"/>
      <c r="L648" s="55" t="n"/>
      <c r="M648" s="55" t="n"/>
      <c r="N648" s="55" t="n"/>
      <c r="O648" s="58" t="n"/>
      <c r="P648" s="58" t="n"/>
      <c r="Q648" s="58" t="n"/>
      <c r="R648" s="58" t="n"/>
      <c r="S648" s="59">
        <f>SUM(O648:R648)</f>
        <v/>
      </c>
      <c r="T648" s="52" t="n"/>
      <c r="U648" s="53" t="n"/>
      <c r="V648" s="58" t="n"/>
      <c r="W648" s="68" t="n"/>
      <c r="X648" s="58" t="n"/>
      <c r="Y648" s="52" t="n"/>
      <c r="Z648" s="58" t="n"/>
      <c r="AA648" s="58" t="n"/>
      <c r="AB648" s="58" t="n"/>
      <c r="AC648" s="68" t="n"/>
      <c r="AD648" s="53" t="n"/>
      <c r="AE648" s="61">
        <f>SUMIFS([1]инфо!$D$15:$D$28,[1]инфо!$A$15:$A$28,F648)</f>
        <v/>
      </c>
      <c r="AF648" s="62">
        <f>IF(H648=0,0,N648/H648)</f>
        <v/>
      </c>
      <c r="AG648" s="63">
        <f>AF648-AE648</f>
        <v/>
      </c>
      <c r="AH648" s="61">
        <f>SUMIFS([1]инфо!$E$15:$E$28,[1]инфо!$A$15:$A$28,F648)</f>
        <v/>
      </c>
      <c r="AI648" s="64">
        <f>IF(H648=0,0,S648/H648)</f>
        <v/>
      </c>
      <c r="AJ648" s="63">
        <f>AI648-AH648</f>
        <v/>
      </c>
      <c r="AK648" s="61">
        <f>SUMIFS([1]инфо!$F$15:$F$28,[1]инфо!$A$15:$A$28,F648)</f>
        <v/>
      </c>
      <c r="AL648" s="64">
        <f>IF(H648=0,0,Y648/H648)</f>
        <v/>
      </c>
      <c r="AM648" s="63">
        <f>AL648-AK648</f>
        <v/>
      </c>
      <c r="AN648" s="61">
        <f>SUMIFS([1]инфо!$G$15:$G$28,[1]инфо!$A$15:$A$28,F648)</f>
        <v/>
      </c>
      <c r="AO648" s="64">
        <f>IF(H648=0,0,AA648/H648)</f>
        <v/>
      </c>
      <c r="AP648" s="63">
        <f>AO648-AN648</f>
        <v/>
      </c>
      <c r="AQ648" s="61">
        <f>SUMIFS([1]инфо!$H$15:$H$28,[1]инфо!$A$15:$A$28,F648)</f>
        <v/>
      </c>
      <c r="AR648" s="62">
        <f>IF(H647=0,0,AC648/H647)</f>
        <v/>
      </c>
      <c r="AS648" s="63">
        <f>AR648-AQ648</f>
        <v/>
      </c>
      <c r="AT648" s="61">
        <f>SUMIFS([1]инфо!$I$15:$I$28,[1]инфо!$A$15:$A$28,F648)</f>
        <v/>
      </c>
      <c r="AU648" s="62">
        <f>IF(H648=0,0,AD648/H648)</f>
        <v/>
      </c>
      <c r="AV648" s="63">
        <f>AU648-AT648</f>
        <v/>
      </c>
      <c r="AX648" s="59">
        <f>SUMIFS([1]инфо!$C$15:$C$28,[1]инфо!$A$15:$A$28,F648)*H647</f>
        <v/>
      </c>
    </row>
    <row r="649">
      <c r="A649" s="71">
        <f>A647+1</f>
        <v/>
      </c>
      <c r="B649" s="90" t="n"/>
      <c r="C649" s="52" t="n"/>
      <c r="D649" s="53" t="n"/>
      <c r="E649" s="66" t="n"/>
      <c r="F649" s="67" t="n"/>
      <c r="G649" s="58" t="n"/>
      <c r="H649" s="56" t="n"/>
      <c r="I649" s="57">
        <f>IFERROR(H649*VLOOKUP(F649,[1]инфо!$A$15:$C$28,3,FALSE)/1000,0)</f>
        <v/>
      </c>
      <c r="J649" s="55" t="n"/>
      <c r="K649" s="55" t="n"/>
      <c r="L649" s="55" t="n"/>
      <c r="M649" s="55" t="n"/>
      <c r="N649" s="55" t="n"/>
      <c r="O649" s="58" t="n"/>
      <c r="P649" s="58" t="n"/>
      <c r="Q649" s="58" t="n"/>
      <c r="R649" s="58" t="n"/>
      <c r="S649" s="59">
        <f>SUM(O649:R649)</f>
        <v/>
      </c>
      <c r="T649" s="52" t="n"/>
      <c r="U649" s="53" t="n"/>
      <c r="V649" s="58" t="n"/>
      <c r="W649" s="68" t="n"/>
      <c r="X649" s="58" t="n"/>
      <c r="Y649" s="52" t="n"/>
      <c r="Z649" s="58" t="n"/>
      <c r="AA649" s="58" t="n"/>
      <c r="AB649" s="58" t="n"/>
      <c r="AC649" s="68" t="n"/>
      <c r="AD649" s="53" t="n"/>
      <c r="AE649" s="61">
        <f>SUMIFS([1]инфо!$D$15:$D$28,[1]инфо!$A$15:$A$28,F649)</f>
        <v/>
      </c>
      <c r="AF649" s="62">
        <f>IF(H649=0,0,N649/H649)</f>
        <v/>
      </c>
      <c r="AG649" s="63">
        <f>AF649-AE649</f>
        <v/>
      </c>
      <c r="AH649" s="61">
        <f>SUMIFS([1]инфо!$E$15:$E$28,[1]инфо!$A$15:$A$28,F649)</f>
        <v/>
      </c>
      <c r="AI649" s="64">
        <f>IF(H649=0,0,S649/H649)</f>
        <v/>
      </c>
      <c r="AJ649" s="63">
        <f>AI649-AH649</f>
        <v/>
      </c>
      <c r="AK649" s="61">
        <f>SUMIFS([1]инфо!$F$15:$F$28,[1]инфо!$A$15:$A$28,F649)</f>
        <v/>
      </c>
      <c r="AL649" s="64">
        <f>IF(H649=0,0,Y649/H649)</f>
        <v/>
      </c>
      <c r="AM649" s="63">
        <f>AL649-AK649</f>
        <v/>
      </c>
      <c r="AN649" s="61">
        <f>SUMIFS([1]инфо!$G$15:$G$28,[1]инфо!$A$15:$A$28,F649)</f>
        <v/>
      </c>
      <c r="AO649" s="64">
        <f>IF(H649=0,0,AA649/H649)</f>
        <v/>
      </c>
      <c r="AP649" s="63">
        <f>AO649-AN649</f>
        <v/>
      </c>
      <c r="AQ649" s="61">
        <f>SUMIFS([1]инфо!$H$15:$H$28,[1]инфо!$A$15:$A$28,F649)</f>
        <v/>
      </c>
      <c r="AR649" s="62">
        <f>IF(H648=0,0,AC649/H648)</f>
        <v/>
      </c>
      <c r="AS649" s="63">
        <f>AR649-AQ649</f>
        <v/>
      </c>
      <c r="AT649" s="61">
        <f>SUMIFS([1]инфо!$I$15:$I$28,[1]инфо!$A$15:$A$28,F649)</f>
        <v/>
      </c>
      <c r="AU649" s="62">
        <f>IF(H649=0,0,AD649/H649)</f>
        <v/>
      </c>
      <c r="AV649" s="63">
        <f>AU649-AT649</f>
        <v/>
      </c>
      <c r="AX649" s="59">
        <f>SUMIFS([1]инфо!$C$15:$C$28,[1]инфо!$A$15:$A$28,F649)*H648</f>
        <v/>
      </c>
    </row>
    <row r="650">
      <c r="A650" s="71">
        <f>A648+1</f>
        <v/>
      </c>
      <c r="B650" s="88" t="n"/>
      <c r="C650" s="77" t="n"/>
      <c r="D650" s="78" t="n"/>
      <c r="E650" s="66" t="n"/>
      <c r="F650" s="67" t="n"/>
      <c r="G650" s="79" t="n"/>
      <c r="H650" s="67" t="n"/>
      <c r="I650" s="57">
        <f>IFERROR(H650*VLOOKUP(F650,[1]инфо!$A$15:$C$28,3,FALSE)/1000,0)</f>
        <v/>
      </c>
      <c r="J650" s="55" t="n"/>
      <c r="K650" s="55" t="n"/>
      <c r="L650" s="55" t="n"/>
      <c r="M650" s="55" t="n"/>
      <c r="N650" s="56" t="n"/>
      <c r="O650" s="79" t="n"/>
      <c r="P650" s="79" t="n"/>
      <c r="Q650" s="79" t="n"/>
      <c r="R650" s="79" t="n"/>
      <c r="S650" s="80">
        <f>SUM(O650:R650)</f>
        <v/>
      </c>
      <c r="T650" s="77" t="n"/>
      <c r="U650" s="78" t="n"/>
      <c r="V650" s="79" t="n"/>
      <c r="W650" s="68" t="n"/>
      <c r="X650" s="79" t="n"/>
      <c r="Y650" s="77" t="n"/>
      <c r="Z650" s="79" t="n"/>
      <c r="AA650" s="79" t="n"/>
      <c r="AB650" s="79" t="n"/>
      <c r="AC650" s="68" t="n"/>
      <c r="AD650" s="78" t="n"/>
      <c r="AE650" s="81">
        <f>SUMIFS([1]инфо!$D$15:$D$28,[1]инфо!$A$15:$A$28,F650)</f>
        <v/>
      </c>
      <c r="AF650" s="62">
        <f>IF(H650=0,0,N650/H650)</f>
        <v/>
      </c>
      <c r="AG650" s="82">
        <f>AF650-AE650</f>
        <v/>
      </c>
      <c r="AH650" s="81">
        <f>SUMIFS([1]инфо!$E$15:$E$28,[1]инфо!$A$15:$A$28,F650)</f>
        <v/>
      </c>
      <c r="AI650" s="64">
        <f>IF(H650=0,0,S650/H650)</f>
        <v/>
      </c>
      <c r="AJ650" s="82">
        <f>AI650-AH650</f>
        <v/>
      </c>
      <c r="AK650" s="81">
        <f>SUMIFS([1]инфо!$F$15:$F$28,[1]инфо!$A$15:$A$28,F650)</f>
        <v/>
      </c>
      <c r="AL650" s="64">
        <f>IF(H650=0,0,Y650/H650)</f>
        <v/>
      </c>
      <c r="AM650" s="82">
        <f>AL650-AK650</f>
        <v/>
      </c>
      <c r="AN650" s="81">
        <f>SUMIFS([1]инфо!$G$15:$G$28,[1]инфо!$A$15:$A$28,F650)</f>
        <v/>
      </c>
      <c r="AO650" s="64">
        <f>IF(H650=0,0,AA650/H650)</f>
        <v/>
      </c>
      <c r="AP650" s="82">
        <f>AO650-AN650</f>
        <v/>
      </c>
      <c r="AQ650" s="81">
        <f>SUMIFS([1]инфо!$H$15:$H$28,[1]инфо!$A$15:$A$28,F650)</f>
        <v/>
      </c>
      <c r="AR650" s="85">
        <f>IF(H649=0,0,AC650/H649)</f>
        <v/>
      </c>
      <c r="AS650" s="82">
        <f>AR650-AQ650</f>
        <v/>
      </c>
      <c r="AT650" s="81">
        <f>SUMIFS([1]инфо!$I$15:$I$28,[1]инфо!$A$15:$A$28,F650)</f>
        <v/>
      </c>
      <c r="AU650" s="62">
        <f>IF(H650=0,0,AD650/H650)</f>
        <v/>
      </c>
      <c r="AV650" s="82">
        <f>AU650-AT650</f>
        <v/>
      </c>
      <c r="AX650" s="80">
        <f>SUMIFS([1]инфо!$C$15:$C$28,[1]инфо!$A$15:$A$28,F650)*H649</f>
        <v/>
      </c>
    </row>
    <row r="651">
      <c r="A651" s="71">
        <f>A649+1</f>
        <v/>
      </c>
      <c r="B651" s="89" t="n"/>
      <c r="C651" s="72" t="n"/>
      <c r="D651" s="73" t="n"/>
      <c r="E651" s="66" t="n"/>
      <c r="F651" s="67" t="n"/>
      <c r="G651" s="74" t="n"/>
      <c r="H651" s="55" t="n"/>
      <c r="I651" s="57">
        <f>IFERROR(H651*VLOOKUP(F651,[1]инфо!$A$15:$C$28,3,FALSE)/1000,0)</f>
        <v/>
      </c>
      <c r="J651" s="55" t="n"/>
      <c r="K651" s="55" t="n"/>
      <c r="L651" s="55" t="n"/>
      <c r="M651" s="55" t="n"/>
      <c r="N651" s="67" t="n"/>
      <c r="O651" s="74" t="n"/>
      <c r="P651" s="74" t="n"/>
      <c r="Q651" s="74" t="n"/>
      <c r="R651" s="74" t="n"/>
      <c r="S651" s="70">
        <f>SUM(O651:R651)</f>
        <v/>
      </c>
      <c r="T651" s="72" t="n"/>
      <c r="U651" s="73" t="n"/>
      <c r="V651" s="74" t="n"/>
      <c r="W651" s="68" t="n"/>
      <c r="X651" s="74" t="n"/>
      <c r="Y651" s="72" t="n"/>
      <c r="Z651" s="74" t="n"/>
      <c r="AA651" s="74" t="n"/>
      <c r="AB651" s="74" t="n"/>
      <c r="AC651" s="68" t="n"/>
      <c r="AD651" s="73" t="n"/>
      <c r="AE651" s="75">
        <f>SUMIFS([1]инфо!$D$15:$D$28,[1]инфо!$A$15:$A$28,F651)</f>
        <v/>
      </c>
      <c r="AF651" s="62">
        <f>IF(H651=0,0,N651/H651)</f>
        <v/>
      </c>
      <c r="AG651" s="76">
        <f>AF651-AE651</f>
        <v/>
      </c>
      <c r="AH651" s="75">
        <f>SUMIFS([1]инфо!$E$15:$E$28,[1]инфо!$A$15:$A$28,F651)</f>
        <v/>
      </c>
      <c r="AI651" s="64">
        <f>IF(H651=0,0,S651/H651)</f>
        <v/>
      </c>
      <c r="AJ651" s="76">
        <f>AI651-AH651</f>
        <v/>
      </c>
      <c r="AK651" s="75">
        <f>SUMIFS([1]инфо!$F$15:$F$28,[1]инфо!$A$15:$A$28,F651)</f>
        <v/>
      </c>
      <c r="AL651" s="64">
        <f>IF(H651=0,0,Y651/H651)</f>
        <v/>
      </c>
      <c r="AM651" s="76">
        <f>AL651-AK651</f>
        <v/>
      </c>
      <c r="AN651" s="75">
        <f>SUMIFS([1]инфо!$G$15:$G$28,[1]инфо!$A$15:$A$28,F651)</f>
        <v/>
      </c>
      <c r="AO651" s="64">
        <f>IF(H651=0,0,AA651/H651)</f>
        <v/>
      </c>
      <c r="AP651" s="76">
        <f>AO651-AN651</f>
        <v/>
      </c>
      <c r="AQ651" s="75">
        <f>SUMIFS([1]инфо!$H$15:$H$28,[1]инфо!$A$15:$A$28,F651)</f>
        <v/>
      </c>
      <c r="AR651" s="64">
        <f>IF(H650=0,0,AC651/H650)</f>
        <v/>
      </c>
      <c r="AS651" s="76">
        <f>AR651-AQ651</f>
        <v/>
      </c>
      <c r="AT651" s="75">
        <f>SUMIFS([1]инфо!$I$15:$I$28,[1]инфо!$A$15:$A$28,F651)</f>
        <v/>
      </c>
      <c r="AU651" s="62">
        <f>IF(H651=0,0,AD651/H651)</f>
        <v/>
      </c>
      <c r="AV651" s="76">
        <f>AU651-AT651</f>
        <v/>
      </c>
      <c r="AX651" s="70">
        <f>SUMIFS([1]инфо!$C$15:$C$28,[1]инфо!$A$15:$A$28,F651)*H650</f>
        <v/>
      </c>
    </row>
    <row r="652">
      <c r="A652" s="71">
        <f>A650+1</f>
        <v/>
      </c>
      <c r="B652" s="90" t="n"/>
      <c r="C652" s="52" t="n"/>
      <c r="D652" s="53" t="n"/>
      <c r="E652" s="66" t="n"/>
      <c r="F652" s="67" t="n"/>
      <c r="G652" s="58" t="n"/>
      <c r="H652" s="55" t="n"/>
      <c r="I652" s="57">
        <f>IFERROR(H652*VLOOKUP(F652,[1]инфо!$A$15:$C$28,3,FALSE)/1000,0)</f>
        <v/>
      </c>
      <c r="J652" s="55" t="n"/>
      <c r="K652" s="55" t="n"/>
      <c r="L652" s="55" t="n"/>
      <c r="M652" s="55" t="n"/>
      <c r="N652" s="55" t="n"/>
      <c r="O652" s="58" t="n"/>
      <c r="P652" s="58" t="n"/>
      <c r="Q652" s="58" t="n"/>
      <c r="R652" s="58" t="n"/>
      <c r="S652" s="59">
        <f>SUM(O652:R652)</f>
        <v/>
      </c>
      <c r="T652" s="52" t="n"/>
      <c r="U652" s="53" t="n"/>
      <c r="V652" s="58" t="n"/>
      <c r="W652" s="68" t="n"/>
      <c r="X652" s="58" t="n"/>
      <c r="Y652" s="52" t="n"/>
      <c r="Z652" s="58" t="n"/>
      <c r="AA652" s="58" t="n"/>
      <c r="AB652" s="58" t="n"/>
      <c r="AC652" s="68" t="n"/>
      <c r="AD652" s="53" t="n"/>
      <c r="AE652" s="61">
        <f>SUMIFS([1]инфо!$D$15:$D$28,[1]инфо!$A$15:$A$28,F652)</f>
        <v/>
      </c>
      <c r="AF652" s="62">
        <f>IF(H652=0,0,N652/H652)</f>
        <v/>
      </c>
      <c r="AG652" s="63">
        <f>AF652-AE652</f>
        <v/>
      </c>
      <c r="AH652" s="61">
        <f>SUMIFS([1]инфо!$E$15:$E$28,[1]инфо!$A$15:$A$28,F652)</f>
        <v/>
      </c>
      <c r="AI652" s="64">
        <f>IF(H652=0,0,S652/H652)</f>
        <v/>
      </c>
      <c r="AJ652" s="63">
        <f>AI652-AH652</f>
        <v/>
      </c>
      <c r="AK652" s="61">
        <f>SUMIFS([1]инфо!$F$15:$F$28,[1]инфо!$A$15:$A$28,F652)</f>
        <v/>
      </c>
      <c r="AL652" s="64">
        <f>IF(H652=0,0,Y652/H652)</f>
        <v/>
      </c>
      <c r="AM652" s="63">
        <f>AL652-AK652</f>
        <v/>
      </c>
      <c r="AN652" s="61">
        <f>SUMIFS([1]инфо!$G$15:$G$28,[1]инфо!$A$15:$A$28,F652)</f>
        <v/>
      </c>
      <c r="AO652" s="64">
        <f>IF(H652=0,0,AA652/H652)</f>
        <v/>
      </c>
      <c r="AP652" s="63">
        <f>AO652-AN652</f>
        <v/>
      </c>
      <c r="AQ652" s="61">
        <f>SUMIFS([1]инфо!$H$15:$H$28,[1]инфо!$A$15:$A$28,F652)</f>
        <v/>
      </c>
      <c r="AR652" s="62">
        <f>IF(H651=0,0,AC652/H651)</f>
        <v/>
      </c>
      <c r="AS652" s="63">
        <f>AR652-AQ652</f>
        <v/>
      </c>
      <c r="AT652" s="61">
        <f>SUMIFS([1]инфо!$I$15:$I$28,[1]инфо!$A$15:$A$28,F652)</f>
        <v/>
      </c>
      <c r="AU652" s="62">
        <f>IF(H652=0,0,AD652/H652)</f>
        <v/>
      </c>
      <c r="AV652" s="63">
        <f>AU652-AT652</f>
        <v/>
      </c>
      <c r="AX652" s="59">
        <f>SUMIFS([1]инфо!$C$15:$C$28,[1]инфо!$A$15:$A$28,F652)*H651</f>
        <v/>
      </c>
    </row>
    <row r="653">
      <c r="A653" s="71">
        <f>A651+1</f>
        <v/>
      </c>
      <c r="B653" s="90" t="n"/>
      <c r="C653" s="52" t="n"/>
      <c r="D653" s="53" t="n"/>
      <c r="E653" s="66" t="n"/>
      <c r="F653" s="67" t="n"/>
      <c r="G653" s="58" t="n"/>
      <c r="H653" s="56" t="n"/>
      <c r="I653" s="57">
        <f>IFERROR(H653*VLOOKUP(F653,[1]инфо!$A$15:$C$28,3,FALSE)/1000,0)</f>
        <v/>
      </c>
      <c r="J653" s="55" t="n"/>
      <c r="K653" s="55" t="n"/>
      <c r="L653" s="55" t="n"/>
      <c r="M653" s="55" t="n"/>
      <c r="N653" s="55" t="n"/>
      <c r="O653" s="58" t="n"/>
      <c r="P653" s="58" t="n"/>
      <c r="Q653" s="58" t="n"/>
      <c r="R653" s="58" t="n"/>
      <c r="S653" s="59">
        <f>SUM(O653:R653)</f>
        <v/>
      </c>
      <c r="T653" s="52" t="n"/>
      <c r="U653" s="53" t="n"/>
      <c r="V653" s="58" t="n"/>
      <c r="W653" s="68" t="n"/>
      <c r="X653" s="58" t="n"/>
      <c r="Y653" s="52" t="n"/>
      <c r="Z653" s="58" t="n"/>
      <c r="AA653" s="58" t="n"/>
      <c r="AB653" s="58" t="n"/>
      <c r="AC653" s="68" t="n"/>
      <c r="AD653" s="53" t="n"/>
      <c r="AE653" s="61">
        <f>SUMIFS([1]инфо!$D$15:$D$28,[1]инфо!$A$15:$A$28,F653)</f>
        <v/>
      </c>
      <c r="AF653" s="62">
        <f>IF(H653=0,0,N653/H653)</f>
        <v/>
      </c>
      <c r="AG653" s="63">
        <f>AF653-AE653</f>
        <v/>
      </c>
      <c r="AH653" s="61">
        <f>SUMIFS([1]инфо!$E$15:$E$28,[1]инфо!$A$15:$A$28,F653)</f>
        <v/>
      </c>
      <c r="AI653" s="64">
        <f>IF(H653=0,0,S653/H653)</f>
        <v/>
      </c>
      <c r="AJ653" s="63">
        <f>AI653-AH653</f>
        <v/>
      </c>
      <c r="AK653" s="61">
        <f>SUMIFS([1]инфо!$F$15:$F$28,[1]инфо!$A$15:$A$28,F653)</f>
        <v/>
      </c>
      <c r="AL653" s="64">
        <f>IF(H653=0,0,Y653/H653)</f>
        <v/>
      </c>
      <c r="AM653" s="63">
        <f>AL653-AK653</f>
        <v/>
      </c>
      <c r="AN653" s="61">
        <f>SUMIFS([1]инфо!$G$15:$G$28,[1]инфо!$A$15:$A$28,F653)</f>
        <v/>
      </c>
      <c r="AO653" s="64">
        <f>IF(H653=0,0,AA653/H653)</f>
        <v/>
      </c>
      <c r="AP653" s="63">
        <f>AO653-AN653</f>
        <v/>
      </c>
      <c r="AQ653" s="61">
        <f>SUMIFS([1]инфо!$H$15:$H$28,[1]инфо!$A$15:$A$28,F653)</f>
        <v/>
      </c>
      <c r="AR653" s="62">
        <f>IF(H652=0,0,AC653/H652)</f>
        <v/>
      </c>
      <c r="AS653" s="63">
        <f>AR653-AQ653</f>
        <v/>
      </c>
      <c r="AT653" s="61">
        <f>SUMIFS([1]инфо!$I$15:$I$28,[1]инфо!$A$15:$A$28,F653)</f>
        <v/>
      </c>
      <c r="AU653" s="62">
        <f>IF(H653=0,0,AD653/H653)</f>
        <v/>
      </c>
      <c r="AV653" s="63">
        <f>AU653-AT653</f>
        <v/>
      </c>
      <c r="AX653" s="59">
        <f>SUMIFS([1]инфо!$C$15:$C$28,[1]инфо!$A$15:$A$28,F653)*H652</f>
        <v/>
      </c>
    </row>
    <row r="654">
      <c r="A654" s="71">
        <f>A652+1</f>
        <v/>
      </c>
      <c r="B654" s="88" t="n"/>
      <c r="C654" s="77" t="n"/>
      <c r="D654" s="78" t="n"/>
      <c r="E654" s="66" t="n"/>
      <c r="F654" s="67" t="n"/>
      <c r="G654" s="79" t="n"/>
      <c r="H654" s="67" t="n"/>
      <c r="I654" s="57">
        <f>IFERROR(H654*VLOOKUP(F654,[1]инфо!$A$15:$C$28,3,FALSE)/1000,0)</f>
        <v/>
      </c>
      <c r="J654" s="55" t="n"/>
      <c r="K654" s="55" t="n"/>
      <c r="L654" s="55" t="n"/>
      <c r="M654" s="55" t="n"/>
      <c r="N654" s="56" t="n"/>
      <c r="O654" s="79" t="n"/>
      <c r="P654" s="79" t="n"/>
      <c r="Q654" s="79" t="n"/>
      <c r="R654" s="79" t="n"/>
      <c r="S654" s="80">
        <f>SUM(O654:R654)</f>
        <v/>
      </c>
      <c r="T654" s="77" t="n"/>
      <c r="U654" s="78" t="n"/>
      <c r="V654" s="79" t="n"/>
      <c r="W654" s="68" t="n"/>
      <c r="X654" s="79" t="n"/>
      <c r="Y654" s="77" t="n"/>
      <c r="Z654" s="79" t="n"/>
      <c r="AA654" s="79" t="n"/>
      <c r="AB654" s="79" t="n"/>
      <c r="AC654" s="68" t="n"/>
      <c r="AD654" s="78" t="n"/>
      <c r="AE654" s="81">
        <f>SUMIFS([1]инфо!$D$15:$D$28,[1]инфо!$A$15:$A$28,F654)</f>
        <v/>
      </c>
      <c r="AF654" s="62">
        <f>IF(H654=0,0,N654/H654)</f>
        <v/>
      </c>
      <c r="AG654" s="82">
        <f>AF654-AE654</f>
        <v/>
      </c>
      <c r="AH654" s="81">
        <f>SUMIFS([1]инфо!$E$15:$E$28,[1]инфо!$A$15:$A$28,F654)</f>
        <v/>
      </c>
      <c r="AI654" s="64">
        <f>IF(H654=0,0,S654/H654)</f>
        <v/>
      </c>
      <c r="AJ654" s="82">
        <f>AI654-AH654</f>
        <v/>
      </c>
      <c r="AK654" s="81">
        <f>SUMIFS([1]инфо!$F$15:$F$28,[1]инфо!$A$15:$A$28,F654)</f>
        <v/>
      </c>
      <c r="AL654" s="64">
        <f>IF(H654=0,0,Y654/H654)</f>
        <v/>
      </c>
      <c r="AM654" s="82">
        <f>AL654-AK654</f>
        <v/>
      </c>
      <c r="AN654" s="81">
        <f>SUMIFS([1]инфо!$G$15:$G$28,[1]инфо!$A$15:$A$28,F654)</f>
        <v/>
      </c>
      <c r="AO654" s="64">
        <f>IF(H654=0,0,AA654/H654)</f>
        <v/>
      </c>
      <c r="AP654" s="82">
        <f>AO654-AN654</f>
        <v/>
      </c>
      <c r="AQ654" s="81">
        <f>SUMIFS([1]инфо!$H$15:$H$28,[1]инфо!$A$15:$A$28,F654)</f>
        <v/>
      </c>
      <c r="AR654" s="85">
        <f>IF(H653=0,0,AC654/H653)</f>
        <v/>
      </c>
      <c r="AS654" s="82">
        <f>AR654-AQ654</f>
        <v/>
      </c>
      <c r="AT654" s="81">
        <f>SUMIFS([1]инфо!$I$15:$I$28,[1]инфо!$A$15:$A$28,F654)</f>
        <v/>
      </c>
      <c r="AU654" s="62">
        <f>IF(H654=0,0,AD654/H654)</f>
        <v/>
      </c>
      <c r="AV654" s="82">
        <f>AU654-AT654</f>
        <v/>
      </c>
      <c r="AX654" s="80">
        <f>SUMIFS([1]инфо!$C$15:$C$28,[1]инфо!$A$15:$A$28,F654)*H653</f>
        <v/>
      </c>
    </row>
    <row r="655">
      <c r="A655" s="71">
        <f>A653+1</f>
        <v/>
      </c>
      <c r="B655" s="89" t="n"/>
      <c r="C655" s="72" t="n"/>
      <c r="D655" s="73" t="n"/>
      <c r="E655" s="66" t="n"/>
      <c r="F655" s="67" t="n"/>
      <c r="G655" s="74" t="n"/>
      <c r="H655" s="55" t="n"/>
      <c r="I655" s="57">
        <f>IFERROR(H655*VLOOKUP(F655,[1]инфо!$A$15:$C$28,3,FALSE)/1000,0)</f>
        <v/>
      </c>
      <c r="J655" s="55" t="n"/>
      <c r="K655" s="55" t="n"/>
      <c r="L655" s="55" t="n"/>
      <c r="M655" s="55" t="n"/>
      <c r="N655" s="67" t="n"/>
      <c r="O655" s="74" t="n"/>
      <c r="P655" s="74" t="n"/>
      <c r="Q655" s="74" t="n"/>
      <c r="R655" s="74" t="n"/>
      <c r="S655" s="70">
        <f>SUM(O655:R655)</f>
        <v/>
      </c>
      <c r="T655" s="72" t="n"/>
      <c r="U655" s="73" t="n"/>
      <c r="V655" s="74" t="n"/>
      <c r="W655" s="68" t="n"/>
      <c r="X655" s="74" t="n"/>
      <c r="Y655" s="72" t="n"/>
      <c r="Z655" s="74" t="n"/>
      <c r="AA655" s="74" t="n"/>
      <c r="AB655" s="74" t="n"/>
      <c r="AC655" s="68" t="n"/>
      <c r="AD655" s="73" t="n"/>
      <c r="AE655" s="75">
        <f>SUMIFS([1]инфо!$D$15:$D$28,[1]инфо!$A$15:$A$28,F655)</f>
        <v/>
      </c>
      <c r="AF655" s="62">
        <f>IF(H655=0,0,N655/H655)</f>
        <v/>
      </c>
      <c r="AG655" s="76">
        <f>AF655-AE655</f>
        <v/>
      </c>
      <c r="AH655" s="75">
        <f>SUMIFS([1]инфо!$E$15:$E$28,[1]инфо!$A$15:$A$28,F655)</f>
        <v/>
      </c>
      <c r="AI655" s="64">
        <f>IF(H655=0,0,S655/H655)</f>
        <v/>
      </c>
      <c r="AJ655" s="76">
        <f>AI655-AH655</f>
        <v/>
      </c>
      <c r="AK655" s="75">
        <f>SUMIFS([1]инфо!$F$15:$F$28,[1]инфо!$A$15:$A$28,F655)</f>
        <v/>
      </c>
      <c r="AL655" s="64">
        <f>IF(H655=0,0,Y655/H655)</f>
        <v/>
      </c>
      <c r="AM655" s="76">
        <f>AL655-AK655</f>
        <v/>
      </c>
      <c r="AN655" s="75">
        <f>SUMIFS([1]инфо!$G$15:$G$28,[1]инфо!$A$15:$A$28,F655)</f>
        <v/>
      </c>
      <c r="AO655" s="64">
        <f>IF(H655=0,0,AA655/H655)</f>
        <v/>
      </c>
      <c r="AP655" s="76">
        <f>AO655-AN655</f>
        <v/>
      </c>
      <c r="AQ655" s="75">
        <f>SUMIFS([1]инфо!$H$15:$H$28,[1]инфо!$A$15:$A$28,F655)</f>
        <v/>
      </c>
      <c r="AR655" s="64">
        <f>IF(H654=0,0,AC655/H654)</f>
        <v/>
      </c>
      <c r="AS655" s="76">
        <f>AR655-AQ655</f>
        <v/>
      </c>
      <c r="AT655" s="75">
        <f>SUMIFS([1]инфо!$I$15:$I$28,[1]инфо!$A$15:$A$28,F655)</f>
        <v/>
      </c>
      <c r="AU655" s="62">
        <f>IF(H655=0,0,AD655/H655)</f>
        <v/>
      </c>
      <c r="AV655" s="76">
        <f>AU655-AT655</f>
        <v/>
      </c>
      <c r="AX655" s="70">
        <f>SUMIFS([1]инфо!$C$15:$C$28,[1]инфо!$A$15:$A$28,F655)*H654</f>
        <v/>
      </c>
    </row>
    <row r="656">
      <c r="A656" s="71">
        <f>A654+1</f>
        <v/>
      </c>
      <c r="B656" s="90" t="n"/>
      <c r="C656" s="52" t="n"/>
      <c r="D656" s="53" t="n"/>
      <c r="E656" s="66" t="n"/>
      <c r="F656" s="67" t="n"/>
      <c r="G656" s="58" t="n"/>
      <c r="H656" s="55" t="n"/>
      <c r="I656" s="57">
        <f>IFERROR(H656*VLOOKUP(F656,[1]инфо!$A$15:$C$28,3,FALSE)/1000,0)</f>
        <v/>
      </c>
      <c r="J656" s="55" t="n"/>
      <c r="K656" s="55" t="n"/>
      <c r="L656" s="55" t="n"/>
      <c r="M656" s="55" t="n"/>
      <c r="N656" s="55" t="n"/>
      <c r="O656" s="58" t="n"/>
      <c r="P656" s="58" t="n"/>
      <c r="Q656" s="58" t="n"/>
      <c r="R656" s="58" t="n"/>
      <c r="S656" s="59">
        <f>SUM(O656:R656)</f>
        <v/>
      </c>
      <c r="T656" s="52" t="n"/>
      <c r="U656" s="53" t="n"/>
      <c r="V656" s="58" t="n"/>
      <c r="W656" s="68" t="n"/>
      <c r="X656" s="58" t="n"/>
      <c r="Y656" s="52" t="n"/>
      <c r="Z656" s="58" t="n"/>
      <c r="AA656" s="58" t="n"/>
      <c r="AB656" s="58" t="n"/>
      <c r="AC656" s="68" t="n"/>
      <c r="AD656" s="53" t="n"/>
      <c r="AE656" s="61">
        <f>SUMIFS([1]инфо!$D$15:$D$28,[1]инфо!$A$15:$A$28,F656)</f>
        <v/>
      </c>
      <c r="AF656" s="62">
        <f>IF(H656=0,0,N656/H656)</f>
        <v/>
      </c>
      <c r="AG656" s="63">
        <f>AF656-AE656</f>
        <v/>
      </c>
      <c r="AH656" s="61">
        <f>SUMIFS([1]инфо!$E$15:$E$28,[1]инфо!$A$15:$A$28,F656)</f>
        <v/>
      </c>
      <c r="AI656" s="64">
        <f>IF(H656=0,0,S656/H656)</f>
        <v/>
      </c>
      <c r="AJ656" s="63">
        <f>AI656-AH656</f>
        <v/>
      </c>
      <c r="AK656" s="61">
        <f>SUMIFS([1]инфо!$F$15:$F$28,[1]инфо!$A$15:$A$28,F656)</f>
        <v/>
      </c>
      <c r="AL656" s="64">
        <f>IF(H656=0,0,Y656/H656)</f>
        <v/>
      </c>
      <c r="AM656" s="63">
        <f>AL656-AK656</f>
        <v/>
      </c>
      <c r="AN656" s="61">
        <f>SUMIFS([1]инфо!$G$15:$G$28,[1]инфо!$A$15:$A$28,F656)</f>
        <v/>
      </c>
      <c r="AO656" s="64">
        <f>IF(H656=0,0,AA656/H656)</f>
        <v/>
      </c>
      <c r="AP656" s="63">
        <f>AO656-AN656</f>
        <v/>
      </c>
      <c r="AQ656" s="61">
        <f>SUMIFS([1]инфо!$H$15:$H$28,[1]инфо!$A$15:$A$28,F656)</f>
        <v/>
      </c>
      <c r="AR656" s="62">
        <f>IF(H655=0,0,AC656/H655)</f>
        <v/>
      </c>
      <c r="AS656" s="63">
        <f>AR656-AQ656</f>
        <v/>
      </c>
      <c r="AT656" s="61">
        <f>SUMIFS([1]инфо!$I$15:$I$28,[1]инфо!$A$15:$A$28,F656)</f>
        <v/>
      </c>
      <c r="AU656" s="62">
        <f>IF(H656=0,0,AD656/H656)</f>
        <v/>
      </c>
      <c r="AV656" s="63">
        <f>AU656-AT656</f>
        <v/>
      </c>
      <c r="AX656" s="59">
        <f>SUMIFS([1]инфо!$C$15:$C$28,[1]инфо!$A$15:$A$28,F656)*H655</f>
        <v/>
      </c>
    </row>
    <row r="657">
      <c r="A657" s="71">
        <f>A655+1</f>
        <v/>
      </c>
      <c r="B657" s="90" t="n"/>
      <c r="C657" s="52" t="n"/>
      <c r="D657" s="53" t="n"/>
      <c r="E657" s="66" t="n"/>
      <c r="F657" s="67" t="n"/>
      <c r="G657" s="58" t="n"/>
      <c r="H657" s="56" t="n"/>
      <c r="I657" s="57">
        <f>IFERROR(H657*VLOOKUP(F657,[1]инфо!$A$15:$C$28,3,FALSE)/1000,0)</f>
        <v/>
      </c>
      <c r="J657" s="55" t="n"/>
      <c r="K657" s="55" t="n"/>
      <c r="L657" s="55" t="n"/>
      <c r="M657" s="55" t="n"/>
      <c r="N657" s="55" t="n"/>
      <c r="O657" s="58" t="n"/>
      <c r="P657" s="58" t="n"/>
      <c r="Q657" s="58" t="n"/>
      <c r="R657" s="58" t="n"/>
      <c r="S657" s="59">
        <f>SUM(O657:R657)</f>
        <v/>
      </c>
      <c r="T657" s="52" t="n"/>
      <c r="U657" s="53" t="n"/>
      <c r="V657" s="58" t="n"/>
      <c r="W657" s="68" t="n"/>
      <c r="X657" s="58" t="n"/>
      <c r="Y657" s="52" t="n"/>
      <c r="Z657" s="58" t="n"/>
      <c r="AA657" s="58" t="n"/>
      <c r="AB657" s="58" t="n"/>
      <c r="AC657" s="68" t="n"/>
      <c r="AD657" s="53" t="n"/>
      <c r="AE657" s="61">
        <f>SUMIFS([1]инфо!$D$15:$D$28,[1]инфо!$A$15:$A$28,F657)</f>
        <v/>
      </c>
      <c r="AF657" s="62">
        <f>IF(H657=0,0,N657/H657)</f>
        <v/>
      </c>
      <c r="AG657" s="63">
        <f>AF657-AE657</f>
        <v/>
      </c>
      <c r="AH657" s="61">
        <f>SUMIFS([1]инфо!$E$15:$E$28,[1]инфо!$A$15:$A$28,F657)</f>
        <v/>
      </c>
      <c r="AI657" s="64">
        <f>IF(H657=0,0,S657/H657)</f>
        <v/>
      </c>
      <c r="AJ657" s="63">
        <f>AI657-AH657</f>
        <v/>
      </c>
      <c r="AK657" s="61">
        <f>SUMIFS([1]инфо!$F$15:$F$28,[1]инфо!$A$15:$A$28,F657)</f>
        <v/>
      </c>
      <c r="AL657" s="64">
        <f>IF(H657=0,0,Y657/H657)</f>
        <v/>
      </c>
      <c r="AM657" s="63">
        <f>AL657-AK657</f>
        <v/>
      </c>
      <c r="AN657" s="61">
        <f>SUMIFS([1]инфо!$G$15:$G$28,[1]инфо!$A$15:$A$28,F657)</f>
        <v/>
      </c>
      <c r="AO657" s="64">
        <f>IF(H657=0,0,AA657/H657)</f>
        <v/>
      </c>
      <c r="AP657" s="63">
        <f>AO657-AN657</f>
        <v/>
      </c>
      <c r="AQ657" s="61">
        <f>SUMIFS([1]инфо!$H$15:$H$28,[1]инфо!$A$15:$A$28,F657)</f>
        <v/>
      </c>
      <c r="AR657" s="62">
        <f>IF(H656=0,0,AC657/H656)</f>
        <v/>
      </c>
      <c r="AS657" s="63">
        <f>AR657-AQ657</f>
        <v/>
      </c>
      <c r="AT657" s="61">
        <f>SUMIFS([1]инфо!$I$15:$I$28,[1]инфо!$A$15:$A$28,F657)</f>
        <v/>
      </c>
      <c r="AU657" s="62">
        <f>IF(H657=0,0,AD657/H657)</f>
        <v/>
      </c>
      <c r="AV657" s="63">
        <f>AU657-AT657</f>
        <v/>
      </c>
      <c r="AX657" s="59">
        <f>SUMIFS([1]инфо!$C$15:$C$28,[1]инфо!$A$15:$A$28,F657)*H656</f>
        <v/>
      </c>
    </row>
    <row r="658">
      <c r="A658" s="71">
        <f>A656+1</f>
        <v/>
      </c>
      <c r="B658" s="88" t="n"/>
      <c r="C658" s="77" t="n"/>
      <c r="D658" s="78" t="n"/>
      <c r="E658" s="66" t="n"/>
      <c r="F658" s="67" t="n"/>
      <c r="G658" s="79" t="n"/>
      <c r="H658" s="67" t="n"/>
      <c r="I658" s="57">
        <f>IFERROR(H658*VLOOKUP(F658,[1]инфо!$A$15:$C$28,3,FALSE)/1000,0)</f>
        <v/>
      </c>
      <c r="J658" s="55" t="n"/>
      <c r="K658" s="55" t="n"/>
      <c r="L658" s="55" t="n"/>
      <c r="M658" s="55" t="n"/>
      <c r="N658" s="56" t="n"/>
      <c r="O658" s="79" t="n"/>
      <c r="P658" s="79" t="n"/>
      <c r="Q658" s="79" t="n"/>
      <c r="R658" s="79" t="n"/>
      <c r="S658" s="80">
        <f>SUM(O658:R658)</f>
        <v/>
      </c>
      <c r="T658" s="77" t="n"/>
      <c r="U658" s="78" t="n"/>
      <c r="V658" s="79" t="n"/>
      <c r="W658" s="68" t="n"/>
      <c r="X658" s="79" t="n"/>
      <c r="Y658" s="77" t="n"/>
      <c r="Z658" s="79" t="n"/>
      <c r="AA658" s="79" t="n"/>
      <c r="AB658" s="79" t="n"/>
      <c r="AC658" s="68" t="n"/>
      <c r="AD658" s="78" t="n"/>
      <c r="AE658" s="81">
        <f>SUMIFS([1]инфо!$D$15:$D$28,[1]инфо!$A$15:$A$28,F658)</f>
        <v/>
      </c>
      <c r="AF658" s="62">
        <f>IF(H658=0,0,N658/H658)</f>
        <v/>
      </c>
      <c r="AG658" s="82">
        <f>AF658-AE658</f>
        <v/>
      </c>
      <c r="AH658" s="81">
        <f>SUMIFS([1]инфо!$E$15:$E$28,[1]инфо!$A$15:$A$28,F658)</f>
        <v/>
      </c>
      <c r="AI658" s="64">
        <f>IF(H658=0,0,S658/H658)</f>
        <v/>
      </c>
      <c r="AJ658" s="82">
        <f>AI658-AH658</f>
        <v/>
      </c>
      <c r="AK658" s="81">
        <f>SUMIFS([1]инфо!$F$15:$F$28,[1]инфо!$A$15:$A$28,F658)</f>
        <v/>
      </c>
      <c r="AL658" s="64">
        <f>IF(H658=0,0,Y658/H658)</f>
        <v/>
      </c>
      <c r="AM658" s="82">
        <f>AL658-AK658</f>
        <v/>
      </c>
      <c r="AN658" s="81">
        <f>SUMIFS([1]инфо!$G$15:$G$28,[1]инфо!$A$15:$A$28,F658)</f>
        <v/>
      </c>
      <c r="AO658" s="64">
        <f>IF(H658=0,0,AA658/H658)</f>
        <v/>
      </c>
      <c r="AP658" s="82">
        <f>AO658-AN658</f>
        <v/>
      </c>
      <c r="AQ658" s="81">
        <f>SUMIFS([1]инфо!$H$15:$H$28,[1]инфо!$A$15:$A$28,F658)</f>
        <v/>
      </c>
      <c r="AR658" s="85">
        <f>IF(H657=0,0,AC658/H657)</f>
        <v/>
      </c>
      <c r="AS658" s="82">
        <f>AR658-AQ658</f>
        <v/>
      </c>
      <c r="AT658" s="81">
        <f>SUMIFS([1]инфо!$I$15:$I$28,[1]инфо!$A$15:$A$28,F658)</f>
        <v/>
      </c>
      <c r="AU658" s="62">
        <f>IF(H658=0,0,AD658/H658)</f>
        <v/>
      </c>
      <c r="AV658" s="82">
        <f>AU658-AT658</f>
        <v/>
      </c>
      <c r="AX658" s="80">
        <f>SUMIFS([1]инфо!$C$15:$C$28,[1]инфо!$A$15:$A$28,F658)*H657</f>
        <v/>
      </c>
    </row>
    <row r="659">
      <c r="A659" s="71">
        <f>A657+1</f>
        <v/>
      </c>
      <c r="B659" s="89" t="n"/>
      <c r="C659" s="72" t="n"/>
      <c r="D659" s="73" t="n"/>
      <c r="E659" s="66" t="n"/>
      <c r="F659" s="67" t="n"/>
      <c r="G659" s="74" t="n"/>
      <c r="H659" s="55" t="n"/>
      <c r="I659" s="57">
        <f>IFERROR(H659*VLOOKUP(F659,[1]инфо!$A$15:$C$28,3,FALSE)/1000,0)</f>
        <v/>
      </c>
      <c r="J659" s="55" t="n"/>
      <c r="K659" s="55" t="n"/>
      <c r="L659" s="55" t="n"/>
      <c r="M659" s="55" t="n"/>
      <c r="N659" s="67" t="n"/>
      <c r="O659" s="74" t="n"/>
      <c r="P659" s="74" t="n"/>
      <c r="Q659" s="74" t="n"/>
      <c r="R659" s="74" t="n"/>
      <c r="S659" s="70">
        <f>SUM(O659:R659)</f>
        <v/>
      </c>
      <c r="T659" s="72" t="n"/>
      <c r="U659" s="73" t="n"/>
      <c r="V659" s="74" t="n"/>
      <c r="W659" s="68" t="n"/>
      <c r="X659" s="74" t="n"/>
      <c r="Y659" s="72" t="n"/>
      <c r="Z659" s="74" t="n"/>
      <c r="AA659" s="74" t="n"/>
      <c r="AB659" s="74" t="n"/>
      <c r="AC659" s="68" t="n"/>
      <c r="AD659" s="73" t="n"/>
      <c r="AE659" s="75">
        <f>SUMIFS([1]инфо!$D$15:$D$28,[1]инфо!$A$15:$A$28,F659)</f>
        <v/>
      </c>
      <c r="AF659" s="62">
        <f>IF(H659=0,0,N659/H659)</f>
        <v/>
      </c>
      <c r="AG659" s="76">
        <f>AF659-AE659</f>
        <v/>
      </c>
      <c r="AH659" s="75">
        <f>SUMIFS([1]инфо!$E$15:$E$28,[1]инфо!$A$15:$A$28,F659)</f>
        <v/>
      </c>
      <c r="AI659" s="64">
        <f>IF(H659=0,0,S659/H659)</f>
        <v/>
      </c>
      <c r="AJ659" s="76">
        <f>AI659-AH659</f>
        <v/>
      </c>
      <c r="AK659" s="75">
        <f>SUMIFS([1]инфо!$F$15:$F$28,[1]инфо!$A$15:$A$28,F659)</f>
        <v/>
      </c>
      <c r="AL659" s="64">
        <f>IF(H659=0,0,Y659/H659)</f>
        <v/>
      </c>
      <c r="AM659" s="76">
        <f>AL659-AK659</f>
        <v/>
      </c>
      <c r="AN659" s="75">
        <f>SUMIFS([1]инфо!$G$15:$G$28,[1]инфо!$A$15:$A$28,F659)</f>
        <v/>
      </c>
      <c r="AO659" s="64">
        <f>IF(H659=0,0,AA659/H659)</f>
        <v/>
      </c>
      <c r="AP659" s="76">
        <f>AO659-AN659</f>
        <v/>
      </c>
      <c r="AQ659" s="75">
        <f>SUMIFS([1]инфо!$H$15:$H$28,[1]инфо!$A$15:$A$28,F659)</f>
        <v/>
      </c>
      <c r="AR659" s="64">
        <f>IF(H658=0,0,AC659/H658)</f>
        <v/>
      </c>
      <c r="AS659" s="76">
        <f>AR659-AQ659</f>
        <v/>
      </c>
      <c r="AT659" s="75">
        <f>SUMIFS([1]инфо!$I$15:$I$28,[1]инфо!$A$15:$A$28,F659)</f>
        <v/>
      </c>
      <c r="AU659" s="62">
        <f>IF(H659=0,0,AD659/H659)</f>
        <v/>
      </c>
      <c r="AV659" s="76">
        <f>AU659-AT659</f>
        <v/>
      </c>
      <c r="AX659" s="70">
        <f>SUMIFS([1]инфо!$C$15:$C$28,[1]инфо!$A$15:$A$28,F659)*H658</f>
        <v/>
      </c>
    </row>
    <row r="660">
      <c r="A660" s="71">
        <f>A658+1</f>
        <v/>
      </c>
      <c r="B660" s="90" t="n"/>
      <c r="C660" s="52" t="n"/>
      <c r="D660" s="53" t="n"/>
      <c r="E660" s="66" t="n"/>
      <c r="F660" s="67" t="n"/>
      <c r="G660" s="58" t="n"/>
      <c r="H660" s="55" t="n"/>
      <c r="I660" s="57">
        <f>IFERROR(H660*VLOOKUP(F660,[1]инфо!$A$15:$C$28,3,FALSE)/1000,0)</f>
        <v/>
      </c>
      <c r="J660" s="55" t="n"/>
      <c r="K660" s="55" t="n"/>
      <c r="L660" s="55" t="n"/>
      <c r="M660" s="55" t="n"/>
      <c r="N660" s="55" t="n"/>
      <c r="O660" s="58" t="n"/>
      <c r="P660" s="58" t="n"/>
      <c r="Q660" s="58" t="n"/>
      <c r="R660" s="58" t="n"/>
      <c r="S660" s="59">
        <f>SUM(O660:R660)</f>
        <v/>
      </c>
      <c r="T660" s="52" t="n"/>
      <c r="U660" s="53" t="n"/>
      <c r="V660" s="58" t="n"/>
      <c r="W660" s="68" t="n"/>
      <c r="X660" s="58" t="n"/>
      <c r="Y660" s="52" t="n"/>
      <c r="Z660" s="58" t="n"/>
      <c r="AA660" s="58" t="n"/>
      <c r="AB660" s="58" t="n"/>
      <c r="AC660" s="68" t="n"/>
      <c r="AD660" s="53" t="n"/>
      <c r="AE660" s="61">
        <f>SUMIFS([1]инфо!$D$15:$D$28,[1]инфо!$A$15:$A$28,F660)</f>
        <v/>
      </c>
      <c r="AF660" s="62">
        <f>IF(H660=0,0,N660/H660)</f>
        <v/>
      </c>
      <c r="AG660" s="63">
        <f>AF660-AE660</f>
        <v/>
      </c>
      <c r="AH660" s="61">
        <f>SUMIFS([1]инфо!$E$15:$E$28,[1]инфо!$A$15:$A$28,F660)</f>
        <v/>
      </c>
      <c r="AI660" s="64">
        <f>IF(H660=0,0,S660/H660)</f>
        <v/>
      </c>
      <c r="AJ660" s="63">
        <f>AI660-AH660</f>
        <v/>
      </c>
      <c r="AK660" s="61">
        <f>SUMIFS([1]инфо!$F$15:$F$28,[1]инфо!$A$15:$A$28,F660)</f>
        <v/>
      </c>
      <c r="AL660" s="64">
        <f>IF(H660=0,0,Y660/H660)</f>
        <v/>
      </c>
      <c r="AM660" s="63">
        <f>AL660-AK660</f>
        <v/>
      </c>
      <c r="AN660" s="61">
        <f>SUMIFS([1]инфо!$G$15:$G$28,[1]инфо!$A$15:$A$28,F660)</f>
        <v/>
      </c>
      <c r="AO660" s="64">
        <f>IF(H660=0,0,AA660/H660)</f>
        <v/>
      </c>
      <c r="AP660" s="63">
        <f>AO660-AN660</f>
        <v/>
      </c>
      <c r="AQ660" s="61">
        <f>SUMIFS([1]инфо!$H$15:$H$28,[1]инфо!$A$15:$A$28,F660)</f>
        <v/>
      </c>
      <c r="AR660" s="62">
        <f>IF(H659=0,0,AC660/H659)</f>
        <v/>
      </c>
      <c r="AS660" s="63">
        <f>AR660-AQ660</f>
        <v/>
      </c>
      <c r="AT660" s="61">
        <f>SUMIFS([1]инфо!$I$15:$I$28,[1]инфо!$A$15:$A$28,F660)</f>
        <v/>
      </c>
      <c r="AU660" s="62">
        <f>IF(H660=0,0,AD660/H660)</f>
        <v/>
      </c>
      <c r="AV660" s="63">
        <f>AU660-AT660</f>
        <v/>
      </c>
      <c r="AX660" s="59">
        <f>SUMIFS([1]инфо!$C$15:$C$28,[1]инфо!$A$15:$A$28,F660)*H659</f>
        <v/>
      </c>
    </row>
    <row r="661">
      <c r="A661" s="71">
        <f>A659+1</f>
        <v/>
      </c>
      <c r="B661" s="90" t="n"/>
      <c r="C661" s="52" t="n"/>
      <c r="D661" s="53" t="n"/>
      <c r="E661" s="66" t="n"/>
      <c r="F661" s="67" t="n"/>
      <c r="G661" s="58" t="n"/>
      <c r="H661" s="56" t="n"/>
      <c r="I661" s="57">
        <f>IFERROR(H661*VLOOKUP(F661,[1]инфо!$A$15:$C$28,3,FALSE)/1000,0)</f>
        <v/>
      </c>
      <c r="J661" s="55" t="n"/>
      <c r="K661" s="55" t="n"/>
      <c r="L661" s="55" t="n"/>
      <c r="M661" s="55" t="n"/>
      <c r="N661" s="55" t="n"/>
      <c r="O661" s="58" t="n"/>
      <c r="P661" s="58" t="n"/>
      <c r="Q661" s="58" t="n"/>
      <c r="R661" s="58" t="n"/>
      <c r="S661" s="59">
        <f>SUM(O661:R661)</f>
        <v/>
      </c>
      <c r="T661" s="52" t="n"/>
      <c r="U661" s="53" t="n"/>
      <c r="V661" s="58" t="n"/>
      <c r="W661" s="68" t="n"/>
      <c r="X661" s="58" t="n"/>
      <c r="Y661" s="52" t="n"/>
      <c r="Z661" s="58" t="n"/>
      <c r="AA661" s="58" t="n"/>
      <c r="AB661" s="58" t="n"/>
      <c r="AC661" s="68" t="n"/>
      <c r="AD661" s="53" t="n"/>
      <c r="AE661" s="61">
        <f>SUMIFS([1]инфо!$D$15:$D$28,[1]инфо!$A$15:$A$28,F661)</f>
        <v/>
      </c>
      <c r="AF661" s="62">
        <f>IF(H661=0,0,N661/H661)</f>
        <v/>
      </c>
      <c r="AG661" s="63">
        <f>AF661-AE661</f>
        <v/>
      </c>
      <c r="AH661" s="61">
        <f>SUMIFS([1]инфо!$E$15:$E$28,[1]инфо!$A$15:$A$28,F661)</f>
        <v/>
      </c>
      <c r="AI661" s="64">
        <f>IF(H661=0,0,S661/H661)</f>
        <v/>
      </c>
      <c r="AJ661" s="63">
        <f>AI661-AH661</f>
        <v/>
      </c>
      <c r="AK661" s="61">
        <f>SUMIFS([1]инфо!$F$15:$F$28,[1]инфо!$A$15:$A$28,F661)</f>
        <v/>
      </c>
      <c r="AL661" s="64">
        <f>IF(H661=0,0,Y661/H661)</f>
        <v/>
      </c>
      <c r="AM661" s="63">
        <f>AL661-AK661</f>
        <v/>
      </c>
      <c r="AN661" s="61">
        <f>SUMIFS([1]инфо!$G$15:$G$28,[1]инфо!$A$15:$A$28,F661)</f>
        <v/>
      </c>
      <c r="AO661" s="64">
        <f>IF(H661=0,0,AA661/H661)</f>
        <v/>
      </c>
      <c r="AP661" s="63">
        <f>AO661-AN661</f>
        <v/>
      </c>
      <c r="AQ661" s="61">
        <f>SUMIFS([1]инфо!$H$15:$H$28,[1]инфо!$A$15:$A$28,F661)</f>
        <v/>
      </c>
      <c r="AR661" s="62">
        <f>IF(H660=0,0,AC661/H660)</f>
        <v/>
      </c>
      <c r="AS661" s="63">
        <f>AR661-AQ661</f>
        <v/>
      </c>
      <c r="AT661" s="61">
        <f>SUMIFS([1]инфо!$I$15:$I$28,[1]инфо!$A$15:$A$28,F661)</f>
        <v/>
      </c>
      <c r="AU661" s="62">
        <f>IF(H661=0,0,AD661/H661)</f>
        <v/>
      </c>
      <c r="AV661" s="63">
        <f>AU661-AT661</f>
        <v/>
      </c>
      <c r="AX661" s="59">
        <f>SUMIFS([1]инфо!$C$15:$C$28,[1]инфо!$A$15:$A$28,F661)*H660</f>
        <v/>
      </c>
    </row>
    <row r="662">
      <c r="A662" s="71">
        <f>A660+1</f>
        <v/>
      </c>
      <c r="B662" s="88" t="n"/>
      <c r="C662" s="77" t="n"/>
      <c r="D662" s="78" t="n"/>
      <c r="E662" s="66" t="n"/>
      <c r="F662" s="67" t="n"/>
      <c r="G662" s="79" t="n"/>
      <c r="H662" s="67" t="n"/>
      <c r="I662" s="57">
        <f>IFERROR(H662*VLOOKUP(F662,[1]инфо!$A$15:$C$28,3,FALSE)/1000,0)</f>
        <v/>
      </c>
      <c r="J662" s="55" t="n"/>
      <c r="K662" s="55" t="n"/>
      <c r="L662" s="55" t="n"/>
      <c r="M662" s="55" t="n"/>
      <c r="N662" s="56" t="n"/>
      <c r="O662" s="79" t="n"/>
      <c r="P662" s="79" t="n"/>
      <c r="Q662" s="79" t="n"/>
      <c r="R662" s="79" t="n"/>
      <c r="S662" s="80">
        <f>SUM(O662:R662)</f>
        <v/>
      </c>
      <c r="T662" s="77" t="n"/>
      <c r="U662" s="78" t="n"/>
      <c r="V662" s="79" t="n"/>
      <c r="W662" s="68" t="n"/>
      <c r="X662" s="79" t="n"/>
      <c r="Y662" s="77" t="n"/>
      <c r="Z662" s="79" t="n"/>
      <c r="AA662" s="79" t="n"/>
      <c r="AB662" s="79" t="n"/>
      <c r="AC662" s="68" t="n"/>
      <c r="AD662" s="78" t="n"/>
      <c r="AE662" s="81">
        <f>SUMIFS([1]инфо!$D$15:$D$28,[1]инфо!$A$15:$A$28,F662)</f>
        <v/>
      </c>
      <c r="AF662" s="62">
        <f>IF(H662=0,0,N662/H662)</f>
        <v/>
      </c>
      <c r="AG662" s="82">
        <f>AF662-AE662</f>
        <v/>
      </c>
      <c r="AH662" s="81">
        <f>SUMIFS([1]инфо!$E$15:$E$28,[1]инфо!$A$15:$A$28,F662)</f>
        <v/>
      </c>
      <c r="AI662" s="64">
        <f>IF(H662=0,0,S662/H662)</f>
        <v/>
      </c>
      <c r="AJ662" s="82">
        <f>AI662-AH662</f>
        <v/>
      </c>
      <c r="AK662" s="81">
        <f>SUMIFS([1]инфо!$F$15:$F$28,[1]инфо!$A$15:$A$28,F662)</f>
        <v/>
      </c>
      <c r="AL662" s="64">
        <f>IF(H662=0,0,Y662/H662)</f>
        <v/>
      </c>
      <c r="AM662" s="82">
        <f>AL662-AK662</f>
        <v/>
      </c>
      <c r="AN662" s="81">
        <f>SUMIFS([1]инфо!$G$15:$G$28,[1]инфо!$A$15:$A$28,F662)</f>
        <v/>
      </c>
      <c r="AO662" s="64">
        <f>IF(H662=0,0,AA662/H662)</f>
        <v/>
      </c>
      <c r="AP662" s="82">
        <f>AO662-AN662</f>
        <v/>
      </c>
      <c r="AQ662" s="81">
        <f>SUMIFS([1]инфо!$H$15:$H$28,[1]инфо!$A$15:$A$28,F662)</f>
        <v/>
      </c>
      <c r="AR662" s="85">
        <f>IF(H661=0,0,AC662/H661)</f>
        <v/>
      </c>
      <c r="AS662" s="82">
        <f>AR662-AQ662</f>
        <v/>
      </c>
      <c r="AT662" s="81">
        <f>SUMIFS([1]инфо!$I$15:$I$28,[1]инфо!$A$15:$A$28,F662)</f>
        <v/>
      </c>
      <c r="AU662" s="62">
        <f>IF(H662=0,0,AD662/H662)</f>
        <v/>
      </c>
      <c r="AV662" s="82">
        <f>AU662-AT662</f>
        <v/>
      </c>
      <c r="AX662" s="80">
        <f>SUMIFS([1]инфо!$C$15:$C$28,[1]инфо!$A$15:$A$28,F662)*H661</f>
        <v/>
      </c>
    </row>
    <row r="663">
      <c r="A663" s="71">
        <f>A661+1</f>
        <v/>
      </c>
      <c r="B663" s="89" t="n"/>
      <c r="C663" s="72" t="n"/>
      <c r="D663" s="73" t="n"/>
      <c r="E663" s="66" t="n"/>
      <c r="F663" s="67" t="n"/>
      <c r="G663" s="74" t="n"/>
      <c r="H663" s="55" t="n"/>
      <c r="I663" s="57">
        <f>IFERROR(H663*VLOOKUP(F663,[1]инфо!$A$15:$C$28,3,FALSE)/1000,0)</f>
        <v/>
      </c>
      <c r="J663" s="55" t="n"/>
      <c r="K663" s="55" t="n"/>
      <c r="L663" s="55" t="n"/>
      <c r="M663" s="55" t="n"/>
      <c r="N663" s="67" t="n"/>
      <c r="O663" s="74" t="n"/>
      <c r="P663" s="74" t="n"/>
      <c r="Q663" s="74" t="n"/>
      <c r="R663" s="74" t="n"/>
      <c r="S663" s="70">
        <f>SUM(O663:R663)</f>
        <v/>
      </c>
      <c r="T663" s="72" t="n"/>
      <c r="U663" s="73" t="n"/>
      <c r="V663" s="74" t="n"/>
      <c r="W663" s="68" t="n"/>
      <c r="X663" s="74" t="n"/>
      <c r="Y663" s="72" t="n"/>
      <c r="Z663" s="74" t="n"/>
      <c r="AA663" s="74" t="n"/>
      <c r="AB663" s="74" t="n"/>
      <c r="AC663" s="68" t="n"/>
      <c r="AD663" s="73" t="n"/>
      <c r="AE663" s="75">
        <f>SUMIFS([1]инфо!$D$15:$D$28,[1]инфо!$A$15:$A$28,F663)</f>
        <v/>
      </c>
      <c r="AF663" s="62">
        <f>IF(H663=0,0,N663/H663)</f>
        <v/>
      </c>
      <c r="AG663" s="76">
        <f>AF663-AE663</f>
        <v/>
      </c>
      <c r="AH663" s="75">
        <f>SUMIFS([1]инфо!$E$15:$E$28,[1]инфо!$A$15:$A$28,F663)</f>
        <v/>
      </c>
      <c r="AI663" s="64">
        <f>IF(H663=0,0,S663/H663)</f>
        <v/>
      </c>
      <c r="AJ663" s="76">
        <f>AI663-AH663</f>
        <v/>
      </c>
      <c r="AK663" s="75">
        <f>SUMIFS([1]инфо!$F$15:$F$28,[1]инфо!$A$15:$A$28,F663)</f>
        <v/>
      </c>
      <c r="AL663" s="64">
        <f>IF(H663=0,0,Y663/H663)</f>
        <v/>
      </c>
      <c r="AM663" s="76">
        <f>AL663-AK663</f>
        <v/>
      </c>
      <c r="AN663" s="75">
        <f>SUMIFS([1]инфо!$G$15:$G$28,[1]инфо!$A$15:$A$28,F663)</f>
        <v/>
      </c>
      <c r="AO663" s="64">
        <f>IF(H663=0,0,AA663/H663)</f>
        <v/>
      </c>
      <c r="AP663" s="76">
        <f>AO663-AN663</f>
        <v/>
      </c>
      <c r="AQ663" s="75">
        <f>SUMIFS([1]инфо!$H$15:$H$28,[1]инфо!$A$15:$A$28,F663)</f>
        <v/>
      </c>
      <c r="AR663" s="64">
        <f>IF(H662=0,0,AC663/H662)</f>
        <v/>
      </c>
      <c r="AS663" s="76">
        <f>AR663-AQ663</f>
        <v/>
      </c>
      <c r="AT663" s="75">
        <f>SUMIFS([1]инфо!$I$15:$I$28,[1]инфо!$A$15:$A$28,F663)</f>
        <v/>
      </c>
      <c r="AU663" s="62">
        <f>IF(H663=0,0,AD663/H663)</f>
        <v/>
      </c>
      <c r="AV663" s="76">
        <f>AU663-AT663</f>
        <v/>
      </c>
      <c r="AX663" s="70">
        <f>SUMIFS([1]инфо!$C$15:$C$28,[1]инфо!$A$15:$A$28,F663)*H662</f>
        <v/>
      </c>
    </row>
    <row r="664">
      <c r="A664" s="71">
        <f>A662+1</f>
        <v/>
      </c>
      <c r="B664" s="90" t="n"/>
      <c r="C664" s="52" t="n"/>
      <c r="D664" s="53" t="n"/>
      <c r="E664" s="66" t="n"/>
      <c r="F664" s="67" t="n"/>
      <c r="G664" s="58" t="n"/>
      <c r="H664" s="55" t="n"/>
      <c r="I664" s="57">
        <f>IFERROR(H664*VLOOKUP(F664,[1]инфо!$A$15:$C$28,3,FALSE)/1000,0)</f>
        <v/>
      </c>
      <c r="J664" s="55" t="n"/>
      <c r="K664" s="55" t="n"/>
      <c r="L664" s="55" t="n"/>
      <c r="M664" s="55" t="n"/>
      <c r="N664" s="55" t="n"/>
      <c r="O664" s="58" t="n"/>
      <c r="P664" s="58" t="n"/>
      <c r="Q664" s="58" t="n"/>
      <c r="R664" s="58" t="n"/>
      <c r="S664" s="59">
        <f>SUM(O664:R664)</f>
        <v/>
      </c>
      <c r="T664" s="52" t="n"/>
      <c r="U664" s="53" t="n"/>
      <c r="V664" s="58" t="n"/>
      <c r="W664" s="68" t="n"/>
      <c r="X664" s="58" t="n"/>
      <c r="Y664" s="52" t="n"/>
      <c r="Z664" s="58" t="n"/>
      <c r="AA664" s="58" t="n"/>
      <c r="AB664" s="58" t="n"/>
      <c r="AC664" s="68" t="n"/>
      <c r="AD664" s="53" t="n"/>
      <c r="AE664" s="61">
        <f>SUMIFS([1]инфо!$D$15:$D$28,[1]инфо!$A$15:$A$28,F664)</f>
        <v/>
      </c>
      <c r="AF664" s="62">
        <f>IF(H664=0,0,N664/H664)</f>
        <v/>
      </c>
      <c r="AG664" s="63">
        <f>AF664-AE664</f>
        <v/>
      </c>
      <c r="AH664" s="61">
        <f>SUMIFS([1]инфо!$E$15:$E$28,[1]инфо!$A$15:$A$28,F664)</f>
        <v/>
      </c>
      <c r="AI664" s="64">
        <f>IF(H664=0,0,S664/H664)</f>
        <v/>
      </c>
      <c r="AJ664" s="63">
        <f>AI664-AH664</f>
        <v/>
      </c>
      <c r="AK664" s="61">
        <f>SUMIFS([1]инфо!$F$15:$F$28,[1]инфо!$A$15:$A$28,F664)</f>
        <v/>
      </c>
      <c r="AL664" s="64">
        <f>IF(H664=0,0,Y664/H664)</f>
        <v/>
      </c>
      <c r="AM664" s="63">
        <f>AL664-AK664</f>
        <v/>
      </c>
      <c r="AN664" s="61">
        <f>SUMIFS([1]инфо!$G$15:$G$28,[1]инфо!$A$15:$A$28,F664)</f>
        <v/>
      </c>
      <c r="AO664" s="64">
        <f>IF(H664=0,0,AA664/H664)</f>
        <v/>
      </c>
      <c r="AP664" s="63">
        <f>AO664-AN664</f>
        <v/>
      </c>
      <c r="AQ664" s="61">
        <f>SUMIFS([1]инфо!$H$15:$H$28,[1]инфо!$A$15:$A$28,F664)</f>
        <v/>
      </c>
      <c r="AR664" s="62">
        <f>IF(H663=0,0,AC664/H663)</f>
        <v/>
      </c>
      <c r="AS664" s="63">
        <f>AR664-AQ664</f>
        <v/>
      </c>
      <c r="AT664" s="61">
        <f>SUMIFS([1]инфо!$I$15:$I$28,[1]инфо!$A$15:$A$28,F664)</f>
        <v/>
      </c>
      <c r="AU664" s="62">
        <f>IF(H664=0,0,AD664/H664)</f>
        <v/>
      </c>
      <c r="AV664" s="63">
        <f>AU664-AT664</f>
        <v/>
      </c>
      <c r="AX664" s="59">
        <f>SUMIFS([1]инфо!$C$15:$C$28,[1]инфо!$A$15:$A$28,F664)*H663</f>
        <v/>
      </c>
    </row>
    <row r="665">
      <c r="A665" s="71">
        <f>A663+1</f>
        <v/>
      </c>
      <c r="B665" s="90" t="n"/>
      <c r="C665" s="52" t="n"/>
      <c r="D665" s="53" t="n"/>
      <c r="E665" s="66" t="n"/>
      <c r="F665" s="67" t="n"/>
      <c r="G665" s="58" t="n"/>
      <c r="H665" s="56" t="n"/>
      <c r="I665" s="57">
        <f>IFERROR(H665*VLOOKUP(F665,[1]инфо!$A$15:$C$28,3,FALSE)/1000,0)</f>
        <v/>
      </c>
      <c r="J665" s="55" t="n"/>
      <c r="K665" s="55" t="n"/>
      <c r="L665" s="55" t="n"/>
      <c r="M665" s="55" t="n"/>
      <c r="N665" s="55" t="n"/>
      <c r="O665" s="58" t="n"/>
      <c r="P665" s="58" t="n"/>
      <c r="Q665" s="58" t="n"/>
      <c r="R665" s="58" t="n"/>
      <c r="S665" s="59">
        <f>SUM(O665:R665)</f>
        <v/>
      </c>
      <c r="T665" s="52" t="n"/>
      <c r="U665" s="53" t="n"/>
      <c r="V665" s="58" t="n"/>
      <c r="W665" s="68" t="n"/>
      <c r="X665" s="58" t="n"/>
      <c r="Y665" s="52" t="n"/>
      <c r="Z665" s="58" t="n"/>
      <c r="AA665" s="58" t="n"/>
      <c r="AB665" s="58" t="n"/>
      <c r="AC665" s="68" t="n"/>
      <c r="AD665" s="53" t="n"/>
      <c r="AE665" s="61">
        <f>SUMIFS([1]инфо!$D$15:$D$28,[1]инфо!$A$15:$A$28,F665)</f>
        <v/>
      </c>
      <c r="AF665" s="62">
        <f>IF(H665=0,0,N665/H665)</f>
        <v/>
      </c>
      <c r="AG665" s="63">
        <f>AF665-AE665</f>
        <v/>
      </c>
      <c r="AH665" s="61">
        <f>SUMIFS([1]инфо!$E$15:$E$28,[1]инфо!$A$15:$A$28,F665)</f>
        <v/>
      </c>
      <c r="AI665" s="64">
        <f>IF(H665=0,0,S665/H665)</f>
        <v/>
      </c>
      <c r="AJ665" s="63">
        <f>AI665-AH665</f>
        <v/>
      </c>
      <c r="AK665" s="61">
        <f>SUMIFS([1]инфо!$F$15:$F$28,[1]инфо!$A$15:$A$28,F665)</f>
        <v/>
      </c>
      <c r="AL665" s="64">
        <f>IF(H665=0,0,Y665/H665)</f>
        <v/>
      </c>
      <c r="AM665" s="63">
        <f>AL665-AK665</f>
        <v/>
      </c>
      <c r="AN665" s="61">
        <f>SUMIFS([1]инфо!$G$15:$G$28,[1]инфо!$A$15:$A$28,F665)</f>
        <v/>
      </c>
      <c r="AO665" s="64">
        <f>IF(H665=0,0,AA665/H665)</f>
        <v/>
      </c>
      <c r="AP665" s="63">
        <f>AO665-AN665</f>
        <v/>
      </c>
      <c r="AQ665" s="61">
        <f>SUMIFS([1]инфо!$H$15:$H$28,[1]инфо!$A$15:$A$28,F665)</f>
        <v/>
      </c>
      <c r="AR665" s="62">
        <f>IF(H664=0,0,AC665/H664)</f>
        <v/>
      </c>
      <c r="AS665" s="63">
        <f>AR665-AQ665</f>
        <v/>
      </c>
      <c r="AT665" s="61">
        <f>SUMIFS([1]инфо!$I$15:$I$28,[1]инфо!$A$15:$A$28,F665)</f>
        <v/>
      </c>
      <c r="AU665" s="62">
        <f>IF(H665=0,0,AD665/H665)</f>
        <v/>
      </c>
      <c r="AV665" s="63">
        <f>AU665-AT665</f>
        <v/>
      </c>
      <c r="AX665" s="59">
        <f>SUMIFS([1]инфо!$C$15:$C$28,[1]инфо!$A$15:$A$28,F665)*H664</f>
        <v/>
      </c>
    </row>
    <row r="666">
      <c r="A666" s="71">
        <f>A664+1</f>
        <v/>
      </c>
      <c r="B666" s="88" t="n"/>
      <c r="C666" s="77" t="n"/>
      <c r="D666" s="78" t="n"/>
      <c r="E666" s="66" t="n"/>
      <c r="F666" s="67" t="n"/>
      <c r="G666" s="79" t="n"/>
      <c r="H666" s="67" t="n"/>
      <c r="I666" s="57">
        <f>IFERROR(H666*VLOOKUP(F666,[1]инфо!$A$15:$C$28,3,FALSE)/1000,0)</f>
        <v/>
      </c>
      <c r="J666" s="55" t="n"/>
      <c r="K666" s="55" t="n"/>
      <c r="L666" s="55" t="n"/>
      <c r="M666" s="55" t="n"/>
      <c r="N666" s="56" t="n"/>
      <c r="O666" s="79" t="n"/>
      <c r="P666" s="79" t="n"/>
      <c r="Q666" s="79" t="n"/>
      <c r="R666" s="79" t="n"/>
      <c r="S666" s="80">
        <f>SUM(O666:R666)</f>
        <v/>
      </c>
      <c r="T666" s="77" t="n"/>
      <c r="U666" s="78" t="n"/>
      <c r="V666" s="79" t="n"/>
      <c r="W666" s="68" t="n"/>
      <c r="X666" s="79" t="n"/>
      <c r="Y666" s="77" t="n"/>
      <c r="Z666" s="79" t="n"/>
      <c r="AA666" s="79" t="n"/>
      <c r="AB666" s="79" t="n"/>
      <c r="AC666" s="68" t="n"/>
      <c r="AD666" s="78" t="n"/>
      <c r="AE666" s="81">
        <f>SUMIFS([1]инфо!$D$15:$D$28,[1]инфо!$A$15:$A$28,F666)</f>
        <v/>
      </c>
      <c r="AF666" s="62">
        <f>IF(H666=0,0,N666/H666)</f>
        <v/>
      </c>
      <c r="AG666" s="82">
        <f>AF666-AE666</f>
        <v/>
      </c>
      <c r="AH666" s="81">
        <f>SUMIFS([1]инфо!$E$15:$E$28,[1]инфо!$A$15:$A$28,F666)</f>
        <v/>
      </c>
      <c r="AI666" s="64">
        <f>IF(H666=0,0,S666/H666)</f>
        <v/>
      </c>
      <c r="AJ666" s="82">
        <f>AI666-AH666</f>
        <v/>
      </c>
      <c r="AK666" s="81">
        <f>SUMIFS([1]инфо!$F$15:$F$28,[1]инфо!$A$15:$A$28,F666)</f>
        <v/>
      </c>
      <c r="AL666" s="64">
        <f>IF(H666=0,0,Y666/H666)</f>
        <v/>
      </c>
      <c r="AM666" s="82">
        <f>AL666-AK666</f>
        <v/>
      </c>
      <c r="AN666" s="81">
        <f>SUMIFS([1]инфо!$G$15:$G$28,[1]инфо!$A$15:$A$28,F666)</f>
        <v/>
      </c>
      <c r="AO666" s="64">
        <f>IF(H666=0,0,AA666/H666)</f>
        <v/>
      </c>
      <c r="AP666" s="82">
        <f>AO666-AN666</f>
        <v/>
      </c>
      <c r="AQ666" s="81">
        <f>SUMIFS([1]инфо!$H$15:$H$28,[1]инфо!$A$15:$A$28,F666)</f>
        <v/>
      </c>
      <c r="AR666" s="85">
        <f>IF(H665=0,0,AC666/H665)</f>
        <v/>
      </c>
      <c r="AS666" s="82">
        <f>AR666-AQ666</f>
        <v/>
      </c>
      <c r="AT666" s="81">
        <f>SUMIFS([1]инфо!$I$15:$I$28,[1]инфо!$A$15:$A$28,F666)</f>
        <v/>
      </c>
      <c r="AU666" s="62">
        <f>IF(H666=0,0,AD666/H666)</f>
        <v/>
      </c>
      <c r="AV666" s="82">
        <f>AU666-AT666</f>
        <v/>
      </c>
      <c r="AX666" s="80">
        <f>SUMIFS([1]инфо!$C$15:$C$28,[1]инфо!$A$15:$A$28,F666)*H665</f>
        <v/>
      </c>
    </row>
    <row r="667">
      <c r="A667" s="71">
        <f>A665+1</f>
        <v/>
      </c>
      <c r="B667" s="89" t="n"/>
      <c r="C667" s="72" t="n"/>
      <c r="D667" s="73" t="n"/>
      <c r="E667" s="66" t="n"/>
      <c r="F667" s="67" t="n"/>
      <c r="G667" s="74" t="n"/>
      <c r="H667" s="55" t="n"/>
      <c r="I667" s="57">
        <f>IFERROR(H667*VLOOKUP(F667,[1]инфо!$A$15:$C$28,3,FALSE)/1000,0)</f>
        <v/>
      </c>
      <c r="J667" s="55" t="n"/>
      <c r="K667" s="55" t="n"/>
      <c r="L667" s="55" t="n"/>
      <c r="M667" s="55" t="n"/>
      <c r="N667" s="67" t="n"/>
      <c r="O667" s="74" t="n"/>
      <c r="P667" s="74" t="n"/>
      <c r="Q667" s="74" t="n"/>
      <c r="R667" s="74" t="n"/>
      <c r="S667" s="70">
        <f>SUM(O667:R667)</f>
        <v/>
      </c>
      <c r="T667" s="72" t="n"/>
      <c r="U667" s="73" t="n"/>
      <c r="V667" s="74" t="n"/>
      <c r="W667" s="68" t="n"/>
      <c r="X667" s="74" t="n"/>
      <c r="Y667" s="72" t="n"/>
      <c r="Z667" s="74" t="n"/>
      <c r="AA667" s="74" t="n"/>
      <c r="AB667" s="74" t="n"/>
      <c r="AC667" s="68" t="n"/>
      <c r="AD667" s="73" t="n"/>
      <c r="AE667" s="75">
        <f>SUMIFS([1]инфо!$D$15:$D$28,[1]инфо!$A$15:$A$28,F667)</f>
        <v/>
      </c>
      <c r="AF667" s="62">
        <f>IF(H667=0,0,N667/H667)</f>
        <v/>
      </c>
      <c r="AG667" s="76">
        <f>AF667-AE667</f>
        <v/>
      </c>
      <c r="AH667" s="75">
        <f>SUMIFS([1]инфо!$E$15:$E$28,[1]инфо!$A$15:$A$28,F667)</f>
        <v/>
      </c>
      <c r="AI667" s="64">
        <f>IF(H667=0,0,S667/H667)</f>
        <v/>
      </c>
      <c r="AJ667" s="76">
        <f>AI667-AH667</f>
        <v/>
      </c>
      <c r="AK667" s="75">
        <f>SUMIFS([1]инфо!$F$15:$F$28,[1]инфо!$A$15:$A$28,F667)</f>
        <v/>
      </c>
      <c r="AL667" s="64">
        <f>IF(H667=0,0,Y667/H667)</f>
        <v/>
      </c>
      <c r="AM667" s="76">
        <f>AL667-AK667</f>
        <v/>
      </c>
      <c r="AN667" s="75">
        <f>SUMIFS([1]инфо!$G$15:$G$28,[1]инфо!$A$15:$A$28,F667)</f>
        <v/>
      </c>
      <c r="AO667" s="64">
        <f>IF(H667=0,0,AA667/H667)</f>
        <v/>
      </c>
      <c r="AP667" s="76">
        <f>AO667-AN667</f>
        <v/>
      </c>
      <c r="AQ667" s="75">
        <f>SUMIFS([1]инфо!$H$15:$H$28,[1]инфо!$A$15:$A$28,F667)</f>
        <v/>
      </c>
      <c r="AR667" s="64">
        <f>IF(H666=0,0,AC667/H666)</f>
        <v/>
      </c>
      <c r="AS667" s="76">
        <f>AR667-AQ667</f>
        <v/>
      </c>
      <c r="AT667" s="75">
        <f>SUMIFS([1]инфо!$I$15:$I$28,[1]инфо!$A$15:$A$28,F667)</f>
        <v/>
      </c>
      <c r="AU667" s="62">
        <f>IF(H667=0,0,AD667/H667)</f>
        <v/>
      </c>
      <c r="AV667" s="76">
        <f>AU667-AT667</f>
        <v/>
      </c>
      <c r="AX667" s="70">
        <f>SUMIFS([1]инфо!$C$15:$C$28,[1]инфо!$A$15:$A$28,F667)*H666</f>
        <v/>
      </c>
    </row>
    <row r="668">
      <c r="A668" s="71">
        <f>A666+1</f>
        <v/>
      </c>
      <c r="B668" s="90" t="n"/>
      <c r="C668" s="52" t="n"/>
      <c r="D668" s="53" t="n"/>
      <c r="E668" s="66" t="n"/>
      <c r="F668" s="67" t="n"/>
      <c r="G668" s="58" t="n"/>
      <c r="H668" s="55" t="n"/>
      <c r="I668" s="57">
        <f>IFERROR(H668*VLOOKUP(F668,[1]инфо!$A$15:$C$28,3,FALSE)/1000,0)</f>
        <v/>
      </c>
      <c r="J668" s="55" t="n"/>
      <c r="K668" s="55" t="n"/>
      <c r="L668" s="55" t="n"/>
      <c r="M668" s="55" t="n"/>
      <c r="N668" s="55" t="n"/>
      <c r="O668" s="58" t="n"/>
      <c r="P668" s="58" t="n"/>
      <c r="Q668" s="58" t="n"/>
      <c r="R668" s="58" t="n"/>
      <c r="S668" s="59">
        <f>SUM(O668:R668)</f>
        <v/>
      </c>
      <c r="T668" s="52" t="n"/>
      <c r="U668" s="53" t="n"/>
      <c r="V668" s="58" t="n"/>
      <c r="W668" s="68" t="n"/>
      <c r="X668" s="58" t="n"/>
      <c r="Y668" s="52" t="n"/>
      <c r="Z668" s="58" t="n"/>
      <c r="AA668" s="58" t="n"/>
      <c r="AB668" s="58" t="n"/>
      <c r="AC668" s="68" t="n"/>
      <c r="AD668" s="53" t="n"/>
      <c r="AE668" s="61">
        <f>SUMIFS([1]инфо!$D$15:$D$28,[1]инфо!$A$15:$A$28,F668)</f>
        <v/>
      </c>
      <c r="AF668" s="62">
        <f>IF(H668=0,0,N668/H668)</f>
        <v/>
      </c>
      <c r="AG668" s="63">
        <f>AF668-AE668</f>
        <v/>
      </c>
      <c r="AH668" s="61">
        <f>SUMIFS([1]инфо!$E$15:$E$28,[1]инфо!$A$15:$A$28,F668)</f>
        <v/>
      </c>
      <c r="AI668" s="64">
        <f>IF(H668=0,0,S668/H668)</f>
        <v/>
      </c>
      <c r="AJ668" s="63">
        <f>AI668-AH668</f>
        <v/>
      </c>
      <c r="AK668" s="61">
        <f>SUMIFS([1]инфо!$F$15:$F$28,[1]инфо!$A$15:$A$28,F668)</f>
        <v/>
      </c>
      <c r="AL668" s="64">
        <f>IF(H668=0,0,Y668/H668)</f>
        <v/>
      </c>
      <c r="AM668" s="63">
        <f>AL668-AK668</f>
        <v/>
      </c>
      <c r="AN668" s="61">
        <f>SUMIFS([1]инфо!$G$15:$G$28,[1]инфо!$A$15:$A$28,F668)</f>
        <v/>
      </c>
      <c r="AO668" s="64">
        <f>IF(H668=0,0,AA668/H668)</f>
        <v/>
      </c>
      <c r="AP668" s="63">
        <f>AO668-AN668</f>
        <v/>
      </c>
      <c r="AQ668" s="61">
        <f>SUMIFS([1]инфо!$H$15:$H$28,[1]инфо!$A$15:$A$28,F668)</f>
        <v/>
      </c>
      <c r="AR668" s="62">
        <f>IF(H667=0,0,AC668/H667)</f>
        <v/>
      </c>
      <c r="AS668" s="63">
        <f>AR668-AQ668</f>
        <v/>
      </c>
      <c r="AT668" s="61">
        <f>SUMIFS([1]инфо!$I$15:$I$28,[1]инфо!$A$15:$A$28,F668)</f>
        <v/>
      </c>
      <c r="AU668" s="62">
        <f>IF(H668=0,0,AD668/H668)</f>
        <v/>
      </c>
      <c r="AV668" s="63">
        <f>AU668-AT668</f>
        <v/>
      </c>
      <c r="AX668" s="59">
        <f>SUMIFS([1]инфо!$C$15:$C$28,[1]инфо!$A$15:$A$28,F668)*H667</f>
        <v/>
      </c>
    </row>
    <row r="669">
      <c r="A669" s="71">
        <f>A667+1</f>
        <v/>
      </c>
      <c r="B669" s="90" t="n"/>
      <c r="C669" s="52" t="n"/>
      <c r="D669" s="53" t="n"/>
      <c r="E669" s="66" t="n"/>
      <c r="F669" s="67" t="n"/>
      <c r="G669" s="58" t="n"/>
      <c r="H669" s="56" t="n"/>
      <c r="I669" s="57">
        <f>IFERROR(H669*VLOOKUP(F669,[1]инфо!$A$15:$C$28,3,FALSE)/1000,0)</f>
        <v/>
      </c>
      <c r="J669" s="55" t="n"/>
      <c r="K669" s="55" t="n"/>
      <c r="L669" s="55" t="n"/>
      <c r="M669" s="55" t="n"/>
      <c r="N669" s="55" t="n"/>
      <c r="O669" s="58" t="n"/>
      <c r="P669" s="58" t="n"/>
      <c r="Q669" s="58" t="n"/>
      <c r="R669" s="58" t="n"/>
      <c r="S669" s="59">
        <f>SUM(O669:R669)</f>
        <v/>
      </c>
      <c r="T669" s="52" t="n"/>
      <c r="U669" s="53" t="n"/>
      <c r="V669" s="58" t="n"/>
      <c r="W669" s="68" t="n"/>
      <c r="X669" s="58" t="n"/>
      <c r="Y669" s="52" t="n"/>
      <c r="Z669" s="58" t="n"/>
      <c r="AA669" s="58" t="n"/>
      <c r="AB669" s="58" t="n"/>
      <c r="AC669" s="68" t="n"/>
      <c r="AD669" s="53" t="n"/>
      <c r="AE669" s="61">
        <f>SUMIFS([1]инфо!$D$15:$D$28,[1]инфо!$A$15:$A$28,F669)</f>
        <v/>
      </c>
      <c r="AF669" s="62">
        <f>IF(H669=0,0,N669/H669)</f>
        <v/>
      </c>
      <c r="AG669" s="63">
        <f>AF669-AE669</f>
        <v/>
      </c>
      <c r="AH669" s="61">
        <f>SUMIFS([1]инфо!$E$15:$E$28,[1]инфо!$A$15:$A$28,F669)</f>
        <v/>
      </c>
      <c r="AI669" s="64">
        <f>IF(H669=0,0,S669/H669)</f>
        <v/>
      </c>
      <c r="AJ669" s="63">
        <f>AI669-AH669</f>
        <v/>
      </c>
      <c r="AK669" s="61">
        <f>SUMIFS([1]инфо!$F$15:$F$28,[1]инфо!$A$15:$A$28,F669)</f>
        <v/>
      </c>
      <c r="AL669" s="64">
        <f>IF(H669=0,0,Y669/H669)</f>
        <v/>
      </c>
      <c r="AM669" s="63">
        <f>AL669-AK669</f>
        <v/>
      </c>
      <c r="AN669" s="61">
        <f>SUMIFS([1]инфо!$G$15:$G$28,[1]инфо!$A$15:$A$28,F669)</f>
        <v/>
      </c>
      <c r="AO669" s="64">
        <f>IF(H669=0,0,AA669/H669)</f>
        <v/>
      </c>
      <c r="AP669" s="63">
        <f>AO669-AN669</f>
        <v/>
      </c>
      <c r="AQ669" s="61">
        <f>SUMIFS([1]инфо!$H$15:$H$28,[1]инфо!$A$15:$A$28,F669)</f>
        <v/>
      </c>
      <c r="AR669" s="62">
        <f>IF(H668=0,0,AC669/H668)</f>
        <v/>
      </c>
      <c r="AS669" s="63">
        <f>AR669-AQ669</f>
        <v/>
      </c>
      <c r="AT669" s="61">
        <f>SUMIFS([1]инфо!$I$15:$I$28,[1]инфо!$A$15:$A$28,F669)</f>
        <v/>
      </c>
      <c r="AU669" s="62">
        <f>IF(H669=0,0,AD669/H669)</f>
        <v/>
      </c>
      <c r="AV669" s="63">
        <f>AU669-AT669</f>
        <v/>
      </c>
      <c r="AX669" s="59">
        <f>SUMIFS([1]инфо!$C$15:$C$28,[1]инфо!$A$15:$A$28,F669)*H668</f>
        <v/>
      </c>
    </row>
    <row r="670">
      <c r="A670" s="71">
        <f>A668+1</f>
        <v/>
      </c>
      <c r="B670" s="88" t="n"/>
      <c r="C670" s="77" t="n"/>
      <c r="D670" s="78" t="n"/>
      <c r="E670" s="66" t="n"/>
      <c r="F670" s="67" t="n"/>
      <c r="G670" s="79" t="n"/>
      <c r="H670" s="67" t="n"/>
      <c r="I670" s="57">
        <f>IFERROR(H670*VLOOKUP(F670,[1]инфо!$A$15:$C$28,3,FALSE)/1000,0)</f>
        <v/>
      </c>
      <c r="J670" s="55" t="n"/>
      <c r="K670" s="55" t="n"/>
      <c r="L670" s="55" t="n"/>
      <c r="M670" s="55" t="n"/>
      <c r="N670" s="56" t="n"/>
      <c r="O670" s="79" t="n"/>
      <c r="P670" s="79" t="n"/>
      <c r="Q670" s="79" t="n"/>
      <c r="R670" s="79" t="n"/>
      <c r="S670" s="80">
        <f>SUM(O670:R670)</f>
        <v/>
      </c>
      <c r="T670" s="77" t="n"/>
      <c r="U670" s="78" t="n"/>
      <c r="V670" s="79" t="n"/>
      <c r="W670" s="68" t="n"/>
      <c r="X670" s="79" t="n"/>
      <c r="Y670" s="77" t="n"/>
      <c r="Z670" s="79" t="n"/>
      <c r="AA670" s="79" t="n"/>
      <c r="AB670" s="79" t="n"/>
      <c r="AC670" s="68" t="n"/>
      <c r="AD670" s="78" t="n"/>
      <c r="AE670" s="81">
        <f>SUMIFS([1]инфо!$D$15:$D$28,[1]инфо!$A$15:$A$28,F670)</f>
        <v/>
      </c>
      <c r="AF670" s="62">
        <f>IF(H670=0,0,N670/H670)</f>
        <v/>
      </c>
      <c r="AG670" s="82">
        <f>AF670-AE670</f>
        <v/>
      </c>
      <c r="AH670" s="81">
        <f>SUMIFS([1]инфо!$E$15:$E$28,[1]инфо!$A$15:$A$28,F670)</f>
        <v/>
      </c>
      <c r="AI670" s="64">
        <f>IF(H670=0,0,S670/H670)</f>
        <v/>
      </c>
      <c r="AJ670" s="82">
        <f>AI670-AH670</f>
        <v/>
      </c>
      <c r="AK670" s="81">
        <f>SUMIFS([1]инфо!$F$15:$F$28,[1]инфо!$A$15:$A$28,F670)</f>
        <v/>
      </c>
      <c r="AL670" s="64">
        <f>IF(H670=0,0,Y670/H670)</f>
        <v/>
      </c>
      <c r="AM670" s="82">
        <f>AL670-AK670</f>
        <v/>
      </c>
      <c r="AN670" s="81">
        <f>SUMIFS([1]инфо!$G$15:$G$28,[1]инфо!$A$15:$A$28,F670)</f>
        <v/>
      </c>
      <c r="AO670" s="64">
        <f>IF(H670=0,0,AA670/H670)</f>
        <v/>
      </c>
      <c r="AP670" s="82">
        <f>AO670-AN670</f>
        <v/>
      </c>
      <c r="AQ670" s="81">
        <f>SUMIFS([1]инфо!$H$15:$H$28,[1]инфо!$A$15:$A$28,F670)</f>
        <v/>
      </c>
      <c r="AR670" s="85">
        <f>IF(H669=0,0,AC670/H669)</f>
        <v/>
      </c>
      <c r="AS670" s="82">
        <f>AR670-AQ670</f>
        <v/>
      </c>
      <c r="AT670" s="81">
        <f>SUMIFS([1]инфо!$I$15:$I$28,[1]инфо!$A$15:$A$28,F670)</f>
        <v/>
      </c>
      <c r="AU670" s="62">
        <f>IF(H670=0,0,AD670/H670)</f>
        <v/>
      </c>
      <c r="AV670" s="82">
        <f>AU670-AT670</f>
        <v/>
      </c>
      <c r="AX670" s="80">
        <f>SUMIFS([1]инфо!$C$15:$C$28,[1]инфо!$A$15:$A$28,F670)*H669</f>
        <v/>
      </c>
    </row>
    <row r="671">
      <c r="A671" s="71">
        <f>A669+1</f>
        <v/>
      </c>
      <c r="B671" s="89" t="n"/>
      <c r="C671" s="72" t="n"/>
      <c r="D671" s="73" t="n"/>
      <c r="E671" s="66" t="n"/>
      <c r="F671" s="67" t="n"/>
      <c r="G671" s="74" t="n"/>
      <c r="H671" s="55" t="n"/>
      <c r="I671" s="57">
        <f>IFERROR(H671*VLOOKUP(F671,[1]инфо!$A$15:$C$28,3,FALSE)/1000,0)</f>
        <v/>
      </c>
      <c r="J671" s="55" t="n"/>
      <c r="K671" s="55" t="n"/>
      <c r="L671" s="55" t="n"/>
      <c r="M671" s="55" t="n"/>
      <c r="N671" s="67" t="n"/>
      <c r="O671" s="74" t="n"/>
      <c r="P671" s="74" t="n"/>
      <c r="Q671" s="74" t="n"/>
      <c r="R671" s="74" t="n"/>
      <c r="S671" s="70">
        <f>SUM(O671:R671)</f>
        <v/>
      </c>
      <c r="T671" s="72" t="n"/>
      <c r="U671" s="73" t="n"/>
      <c r="V671" s="74" t="n"/>
      <c r="W671" s="68" t="n"/>
      <c r="X671" s="74" t="n"/>
      <c r="Y671" s="72" t="n"/>
      <c r="Z671" s="74" t="n"/>
      <c r="AA671" s="74" t="n"/>
      <c r="AB671" s="74" t="n"/>
      <c r="AC671" s="68" t="n"/>
      <c r="AD671" s="73" t="n"/>
      <c r="AE671" s="75">
        <f>SUMIFS([1]инфо!$D$15:$D$28,[1]инфо!$A$15:$A$28,F671)</f>
        <v/>
      </c>
      <c r="AF671" s="62">
        <f>IF(H671=0,0,N671/H671)</f>
        <v/>
      </c>
      <c r="AG671" s="76">
        <f>AF671-AE671</f>
        <v/>
      </c>
      <c r="AH671" s="75">
        <f>SUMIFS([1]инфо!$E$15:$E$28,[1]инфо!$A$15:$A$28,F671)</f>
        <v/>
      </c>
      <c r="AI671" s="64">
        <f>IF(H671=0,0,S671/H671)</f>
        <v/>
      </c>
      <c r="AJ671" s="76">
        <f>AI671-AH671</f>
        <v/>
      </c>
      <c r="AK671" s="75">
        <f>SUMIFS([1]инфо!$F$15:$F$28,[1]инфо!$A$15:$A$28,F671)</f>
        <v/>
      </c>
      <c r="AL671" s="64">
        <f>IF(H671=0,0,Y671/H671)</f>
        <v/>
      </c>
      <c r="AM671" s="76">
        <f>AL671-AK671</f>
        <v/>
      </c>
      <c r="AN671" s="75">
        <f>SUMIFS([1]инфо!$G$15:$G$28,[1]инфо!$A$15:$A$28,F671)</f>
        <v/>
      </c>
      <c r="AO671" s="64">
        <f>IF(H671=0,0,AA671/H671)</f>
        <v/>
      </c>
      <c r="AP671" s="76">
        <f>AO671-AN671</f>
        <v/>
      </c>
      <c r="AQ671" s="75">
        <f>SUMIFS([1]инфо!$H$15:$H$28,[1]инфо!$A$15:$A$28,F671)</f>
        <v/>
      </c>
      <c r="AR671" s="64">
        <f>IF(H670=0,0,AC671/H670)</f>
        <v/>
      </c>
      <c r="AS671" s="76">
        <f>AR671-AQ671</f>
        <v/>
      </c>
      <c r="AT671" s="75">
        <f>SUMIFS([1]инфо!$I$15:$I$28,[1]инфо!$A$15:$A$28,F671)</f>
        <v/>
      </c>
      <c r="AU671" s="62">
        <f>IF(H671=0,0,AD671/H671)</f>
        <v/>
      </c>
      <c r="AV671" s="76">
        <f>AU671-AT671</f>
        <v/>
      </c>
      <c r="AX671" s="70">
        <f>SUMIFS([1]инфо!$C$15:$C$28,[1]инфо!$A$15:$A$28,F671)*H670</f>
        <v/>
      </c>
    </row>
    <row r="672">
      <c r="A672" s="71">
        <f>A670+1</f>
        <v/>
      </c>
      <c r="B672" s="90" t="n"/>
      <c r="C672" s="52" t="n"/>
      <c r="D672" s="53" t="n"/>
      <c r="E672" s="66" t="n"/>
      <c r="F672" s="67" t="n"/>
      <c r="G672" s="58" t="n"/>
      <c r="H672" s="55" t="n"/>
      <c r="I672" s="57">
        <f>IFERROR(H672*VLOOKUP(F672,[1]инфо!$A$15:$C$28,3,FALSE)/1000,0)</f>
        <v/>
      </c>
      <c r="J672" s="55" t="n"/>
      <c r="K672" s="55" t="n"/>
      <c r="L672" s="55" t="n"/>
      <c r="M672" s="55" t="n"/>
      <c r="N672" s="55" t="n"/>
      <c r="O672" s="58" t="n"/>
      <c r="P672" s="58" t="n"/>
      <c r="Q672" s="58" t="n"/>
      <c r="R672" s="58" t="n"/>
      <c r="S672" s="59">
        <f>SUM(O672:R672)</f>
        <v/>
      </c>
      <c r="T672" s="52" t="n"/>
      <c r="U672" s="53" t="n"/>
      <c r="V672" s="58" t="n"/>
      <c r="W672" s="68" t="n"/>
      <c r="X672" s="58" t="n"/>
      <c r="Y672" s="52" t="n"/>
      <c r="Z672" s="58" t="n"/>
      <c r="AA672" s="58" t="n"/>
      <c r="AB672" s="58" t="n"/>
      <c r="AC672" s="68" t="n"/>
      <c r="AD672" s="53" t="n"/>
      <c r="AE672" s="61">
        <f>SUMIFS([1]инфо!$D$15:$D$28,[1]инфо!$A$15:$A$28,F672)</f>
        <v/>
      </c>
      <c r="AF672" s="62">
        <f>IF(H672=0,0,N672/H672)</f>
        <v/>
      </c>
      <c r="AG672" s="63">
        <f>AF672-AE672</f>
        <v/>
      </c>
      <c r="AH672" s="61">
        <f>SUMIFS([1]инфо!$E$15:$E$28,[1]инфо!$A$15:$A$28,F672)</f>
        <v/>
      </c>
      <c r="AI672" s="64">
        <f>IF(H672=0,0,S672/H672)</f>
        <v/>
      </c>
      <c r="AJ672" s="63">
        <f>AI672-AH672</f>
        <v/>
      </c>
      <c r="AK672" s="61">
        <f>SUMIFS([1]инфо!$F$15:$F$28,[1]инфо!$A$15:$A$28,F672)</f>
        <v/>
      </c>
      <c r="AL672" s="64">
        <f>IF(H672=0,0,Y672/H672)</f>
        <v/>
      </c>
      <c r="AM672" s="63">
        <f>AL672-AK672</f>
        <v/>
      </c>
      <c r="AN672" s="61">
        <f>SUMIFS([1]инфо!$G$15:$G$28,[1]инфо!$A$15:$A$28,F672)</f>
        <v/>
      </c>
      <c r="AO672" s="64">
        <f>IF(H672=0,0,AA672/H672)</f>
        <v/>
      </c>
      <c r="AP672" s="63">
        <f>AO672-AN672</f>
        <v/>
      </c>
      <c r="AQ672" s="61">
        <f>SUMIFS([1]инфо!$H$15:$H$28,[1]инфо!$A$15:$A$28,F672)</f>
        <v/>
      </c>
      <c r="AR672" s="62">
        <f>IF(H671=0,0,AC672/H671)</f>
        <v/>
      </c>
      <c r="AS672" s="63">
        <f>AR672-AQ672</f>
        <v/>
      </c>
      <c r="AT672" s="61">
        <f>SUMIFS([1]инфо!$I$15:$I$28,[1]инфо!$A$15:$A$28,F672)</f>
        <v/>
      </c>
      <c r="AU672" s="62">
        <f>IF(H672=0,0,AD672/H672)</f>
        <v/>
      </c>
      <c r="AV672" s="63">
        <f>AU672-AT672</f>
        <v/>
      </c>
      <c r="AX672" s="59">
        <f>SUMIFS([1]инфо!$C$15:$C$28,[1]инфо!$A$15:$A$28,F672)*H671</f>
        <v/>
      </c>
    </row>
    <row r="673">
      <c r="A673" s="71">
        <f>A671+1</f>
        <v/>
      </c>
      <c r="B673" s="90" t="n"/>
      <c r="C673" s="52" t="n"/>
      <c r="D673" s="53" t="n"/>
      <c r="E673" s="66" t="n"/>
      <c r="F673" s="67" t="n"/>
      <c r="G673" s="58" t="n"/>
      <c r="H673" s="56" t="n"/>
      <c r="I673" s="57">
        <f>IFERROR(H673*VLOOKUP(F673,[1]инфо!$A$15:$C$28,3,FALSE)/1000,0)</f>
        <v/>
      </c>
      <c r="J673" s="55" t="n"/>
      <c r="K673" s="55" t="n"/>
      <c r="L673" s="55" t="n"/>
      <c r="M673" s="55" t="n"/>
      <c r="N673" s="55" t="n"/>
      <c r="O673" s="58" t="n"/>
      <c r="P673" s="58" t="n"/>
      <c r="Q673" s="58" t="n"/>
      <c r="R673" s="58" t="n"/>
      <c r="S673" s="59">
        <f>SUM(O673:R673)</f>
        <v/>
      </c>
      <c r="T673" s="52" t="n"/>
      <c r="U673" s="53" t="n"/>
      <c r="V673" s="58" t="n"/>
      <c r="W673" s="68" t="n"/>
      <c r="X673" s="58" t="n"/>
      <c r="Y673" s="52" t="n"/>
      <c r="Z673" s="58" t="n"/>
      <c r="AA673" s="58" t="n"/>
      <c r="AB673" s="58" t="n"/>
      <c r="AC673" s="68" t="n"/>
      <c r="AD673" s="53" t="n"/>
      <c r="AE673" s="61">
        <f>SUMIFS([1]инфо!$D$15:$D$28,[1]инфо!$A$15:$A$28,F673)</f>
        <v/>
      </c>
      <c r="AF673" s="62">
        <f>IF(H673=0,0,N673/H673)</f>
        <v/>
      </c>
      <c r="AG673" s="63">
        <f>AF673-AE673</f>
        <v/>
      </c>
      <c r="AH673" s="61">
        <f>SUMIFS([1]инфо!$E$15:$E$28,[1]инфо!$A$15:$A$28,F673)</f>
        <v/>
      </c>
      <c r="AI673" s="64">
        <f>IF(H673=0,0,S673/H673)</f>
        <v/>
      </c>
      <c r="AJ673" s="63">
        <f>AI673-AH673</f>
        <v/>
      </c>
      <c r="AK673" s="61">
        <f>SUMIFS([1]инфо!$F$15:$F$28,[1]инфо!$A$15:$A$28,F673)</f>
        <v/>
      </c>
      <c r="AL673" s="64">
        <f>IF(H673=0,0,Y673/H673)</f>
        <v/>
      </c>
      <c r="AM673" s="63">
        <f>AL673-AK673</f>
        <v/>
      </c>
      <c r="AN673" s="61">
        <f>SUMIFS([1]инфо!$G$15:$G$28,[1]инфо!$A$15:$A$28,F673)</f>
        <v/>
      </c>
      <c r="AO673" s="64">
        <f>IF(H673=0,0,AA673/H673)</f>
        <v/>
      </c>
      <c r="AP673" s="63">
        <f>AO673-AN673</f>
        <v/>
      </c>
      <c r="AQ673" s="61">
        <f>SUMIFS([1]инфо!$H$15:$H$28,[1]инфо!$A$15:$A$28,F673)</f>
        <v/>
      </c>
      <c r="AR673" s="62">
        <f>IF(H672=0,0,AC673/H672)</f>
        <v/>
      </c>
      <c r="AS673" s="63">
        <f>AR673-AQ673</f>
        <v/>
      </c>
      <c r="AT673" s="61">
        <f>SUMIFS([1]инфо!$I$15:$I$28,[1]инфо!$A$15:$A$28,F673)</f>
        <v/>
      </c>
      <c r="AU673" s="62">
        <f>IF(H673=0,0,AD673/H673)</f>
        <v/>
      </c>
      <c r="AV673" s="63">
        <f>AU673-AT673</f>
        <v/>
      </c>
      <c r="AX673" s="59">
        <f>SUMIFS([1]инфо!$C$15:$C$28,[1]инфо!$A$15:$A$28,F673)*H672</f>
        <v/>
      </c>
    </row>
    <row r="674">
      <c r="A674" s="71">
        <f>A672+1</f>
        <v/>
      </c>
      <c r="B674" s="88" t="n"/>
      <c r="C674" s="77" t="n"/>
      <c r="D674" s="78" t="n"/>
      <c r="E674" s="66" t="n"/>
      <c r="F674" s="67" t="n"/>
      <c r="G674" s="79" t="n"/>
      <c r="H674" s="67" t="n"/>
      <c r="I674" s="57">
        <f>IFERROR(H674*VLOOKUP(F674,[1]инфо!$A$15:$C$28,3,FALSE)/1000,0)</f>
        <v/>
      </c>
      <c r="J674" s="55" t="n"/>
      <c r="K674" s="55" t="n"/>
      <c r="L674" s="55" t="n"/>
      <c r="M674" s="55" t="n"/>
      <c r="N674" s="56" t="n"/>
      <c r="O674" s="79" t="n"/>
      <c r="P674" s="79" t="n"/>
      <c r="Q674" s="79" t="n"/>
      <c r="R674" s="79" t="n"/>
      <c r="S674" s="80">
        <f>SUM(O674:R674)</f>
        <v/>
      </c>
      <c r="T674" s="77" t="n"/>
      <c r="U674" s="78" t="n"/>
      <c r="V674" s="79" t="n"/>
      <c r="W674" s="68" t="n"/>
      <c r="X674" s="79" t="n"/>
      <c r="Y674" s="77" t="n"/>
      <c r="Z674" s="79" t="n"/>
      <c r="AA674" s="79" t="n"/>
      <c r="AB674" s="79" t="n"/>
      <c r="AC674" s="68" t="n"/>
      <c r="AD674" s="78" t="n"/>
      <c r="AE674" s="81">
        <f>SUMIFS([1]инфо!$D$15:$D$28,[1]инфо!$A$15:$A$28,F674)</f>
        <v/>
      </c>
      <c r="AF674" s="62">
        <f>IF(H674=0,0,N674/H674)</f>
        <v/>
      </c>
      <c r="AG674" s="82">
        <f>AF674-AE674</f>
        <v/>
      </c>
      <c r="AH674" s="81">
        <f>SUMIFS([1]инфо!$E$15:$E$28,[1]инфо!$A$15:$A$28,F674)</f>
        <v/>
      </c>
      <c r="AI674" s="64">
        <f>IF(H674=0,0,S674/H674)</f>
        <v/>
      </c>
      <c r="AJ674" s="82">
        <f>AI674-AH674</f>
        <v/>
      </c>
      <c r="AK674" s="81">
        <f>SUMIFS([1]инфо!$F$15:$F$28,[1]инфо!$A$15:$A$28,F674)</f>
        <v/>
      </c>
      <c r="AL674" s="64">
        <f>IF(H674=0,0,Y674/H674)</f>
        <v/>
      </c>
      <c r="AM674" s="82">
        <f>AL674-AK674</f>
        <v/>
      </c>
      <c r="AN674" s="81">
        <f>SUMIFS([1]инфо!$G$15:$G$28,[1]инфо!$A$15:$A$28,F674)</f>
        <v/>
      </c>
      <c r="AO674" s="64">
        <f>IF(H674=0,0,AA674/H674)</f>
        <v/>
      </c>
      <c r="AP674" s="82">
        <f>AO674-AN674</f>
        <v/>
      </c>
      <c r="AQ674" s="81">
        <f>SUMIFS([1]инфо!$H$15:$H$28,[1]инфо!$A$15:$A$28,F674)</f>
        <v/>
      </c>
      <c r="AR674" s="85">
        <f>IF(H673=0,0,AC674/H673)</f>
        <v/>
      </c>
      <c r="AS674" s="82">
        <f>AR674-AQ674</f>
        <v/>
      </c>
      <c r="AT674" s="81">
        <f>SUMIFS([1]инфо!$I$15:$I$28,[1]инфо!$A$15:$A$28,F674)</f>
        <v/>
      </c>
      <c r="AU674" s="62">
        <f>IF(H674=0,0,AD674/H674)</f>
        <v/>
      </c>
      <c r="AV674" s="82">
        <f>AU674-AT674</f>
        <v/>
      </c>
      <c r="AX674" s="80">
        <f>SUMIFS([1]инфо!$C$15:$C$28,[1]инфо!$A$15:$A$28,F674)*H673</f>
        <v/>
      </c>
    </row>
    <row r="675">
      <c r="A675" s="71">
        <f>A673+1</f>
        <v/>
      </c>
      <c r="B675" s="89" t="n"/>
      <c r="C675" s="72" t="n"/>
      <c r="D675" s="73" t="n"/>
      <c r="E675" s="91" t="n"/>
      <c r="F675" s="67" t="n"/>
      <c r="G675" s="74" t="n"/>
      <c r="H675" s="55" t="n"/>
      <c r="I675" s="57">
        <f>IFERROR(H675*VLOOKUP(F675,[1]инфо!$A$15:$C$28,3,FALSE)/1000,0)</f>
        <v/>
      </c>
      <c r="J675" s="55" t="n"/>
      <c r="K675" s="55" t="n"/>
      <c r="L675" s="55" t="n"/>
      <c r="M675" s="55" t="n"/>
      <c r="N675" s="67" t="n"/>
      <c r="O675" s="74" t="n"/>
      <c r="P675" s="74" t="n"/>
      <c r="Q675" s="74" t="n"/>
      <c r="R675" s="74" t="n"/>
      <c r="S675" s="70">
        <f>SUM(O675:R675)</f>
        <v/>
      </c>
      <c r="T675" s="72" t="n"/>
      <c r="U675" s="73" t="n"/>
      <c r="V675" s="74" t="n"/>
      <c r="W675" s="68" t="n"/>
      <c r="X675" s="74" t="n"/>
      <c r="Y675" s="72" t="n"/>
      <c r="Z675" s="74" t="n"/>
      <c r="AA675" s="74" t="n"/>
      <c r="AB675" s="74" t="n"/>
      <c r="AC675" s="68" t="n"/>
      <c r="AD675" s="73" t="n"/>
      <c r="AE675" s="75">
        <f>SUMIFS([1]инфо!$D$15:$D$28,[1]инфо!$A$15:$A$28,F675)</f>
        <v/>
      </c>
      <c r="AF675" s="62">
        <f>IF(H675=0,0,N675/H675)</f>
        <v/>
      </c>
      <c r="AG675" s="76">
        <f>AF675-AE675</f>
        <v/>
      </c>
      <c r="AH675" s="75">
        <f>SUMIFS([1]инфо!$E$15:$E$28,[1]инфо!$A$15:$A$28,F675)</f>
        <v/>
      </c>
      <c r="AI675" s="64">
        <f>IF(H675=0,0,S675/H675)</f>
        <v/>
      </c>
      <c r="AJ675" s="76">
        <f>AI675-AH675</f>
        <v/>
      </c>
      <c r="AK675" s="75">
        <f>SUMIFS([1]инфо!$F$15:$F$28,[1]инфо!$A$15:$A$28,F675)</f>
        <v/>
      </c>
      <c r="AL675" s="64">
        <f>IF(H675=0,0,Y675/H675)</f>
        <v/>
      </c>
      <c r="AM675" s="76">
        <f>AL675-AK675</f>
        <v/>
      </c>
      <c r="AN675" s="75">
        <f>SUMIFS([1]инфо!$G$15:$G$28,[1]инфо!$A$15:$A$28,F675)</f>
        <v/>
      </c>
      <c r="AO675" s="64">
        <f>IF(H675=0,0,AA675/H675)</f>
        <v/>
      </c>
      <c r="AP675" s="76">
        <f>AO675-AN675</f>
        <v/>
      </c>
      <c r="AQ675" s="75">
        <f>SUMIFS([1]инфо!$H$15:$H$28,[1]инфо!$A$15:$A$28,F675)</f>
        <v/>
      </c>
      <c r="AR675" s="64">
        <f>IF(H674=0,0,AC675/H674)</f>
        <v/>
      </c>
      <c r="AS675" s="76">
        <f>AR675-AQ675</f>
        <v/>
      </c>
      <c r="AT675" s="75">
        <f>SUMIFS([1]инфо!$I$15:$I$28,[1]инфо!$A$15:$A$28,F675)</f>
        <v/>
      </c>
      <c r="AU675" s="62">
        <f>IF(H675=0,0,AD675/H675)</f>
        <v/>
      </c>
      <c r="AV675" s="76">
        <f>AU675-AT675</f>
        <v/>
      </c>
      <c r="AX675" s="70">
        <f>SUMIFS([1]инфо!$C$15:$C$28,[1]инфо!$A$15:$A$28,F675)*H674</f>
        <v/>
      </c>
    </row>
    <row r="676">
      <c r="A676" s="71">
        <f>A674+1</f>
        <v/>
      </c>
      <c r="B676" s="90" t="n"/>
      <c r="C676" s="52" t="n"/>
      <c r="D676" s="53" t="n"/>
      <c r="E676" s="91" t="n"/>
      <c r="F676" s="67" t="n"/>
      <c r="G676" s="58" t="n"/>
      <c r="H676" s="55" t="n"/>
      <c r="I676" s="57">
        <f>IFERROR(H676*VLOOKUP(F676,[1]инфо!$A$15:$C$28,3,FALSE)/1000,0)</f>
        <v/>
      </c>
      <c r="J676" s="55" t="n"/>
      <c r="K676" s="55" t="n"/>
      <c r="L676" s="55" t="n"/>
      <c r="M676" s="55" t="n"/>
      <c r="N676" s="55" t="n"/>
      <c r="O676" s="58" t="n"/>
      <c r="P676" s="58" t="n"/>
      <c r="Q676" s="58" t="n"/>
      <c r="R676" s="58" t="n"/>
      <c r="S676" s="59">
        <f>SUM(O676:R676)</f>
        <v/>
      </c>
      <c r="T676" s="52" t="n"/>
      <c r="U676" s="53" t="n"/>
      <c r="V676" s="58" t="n"/>
      <c r="W676" s="68" t="n"/>
      <c r="X676" s="58" t="n"/>
      <c r="Y676" s="52" t="n"/>
      <c r="Z676" s="58" t="n"/>
      <c r="AA676" s="58" t="n"/>
      <c r="AB676" s="58" t="n"/>
      <c r="AC676" s="68" t="n"/>
      <c r="AD676" s="53" t="n"/>
      <c r="AE676" s="61">
        <f>SUMIFS([1]инфо!$D$15:$D$28,[1]инфо!$A$15:$A$28,F676)</f>
        <v/>
      </c>
      <c r="AF676" s="62">
        <f>IF(H676=0,0,N676/H676)</f>
        <v/>
      </c>
      <c r="AG676" s="63">
        <f>AF676-AE676</f>
        <v/>
      </c>
      <c r="AH676" s="61">
        <f>SUMIFS([1]инфо!$E$15:$E$28,[1]инфо!$A$15:$A$28,F676)</f>
        <v/>
      </c>
      <c r="AI676" s="64">
        <f>IF(H676=0,0,S676/H676)</f>
        <v/>
      </c>
      <c r="AJ676" s="63">
        <f>AI676-AH676</f>
        <v/>
      </c>
      <c r="AK676" s="61">
        <f>SUMIFS([1]инфо!$F$15:$F$28,[1]инфо!$A$15:$A$28,F676)</f>
        <v/>
      </c>
      <c r="AL676" s="64">
        <f>IF(H676=0,0,Y676/H676)</f>
        <v/>
      </c>
      <c r="AM676" s="63">
        <f>AL676-AK676</f>
        <v/>
      </c>
      <c r="AN676" s="61">
        <f>SUMIFS([1]инфо!$G$15:$G$28,[1]инфо!$A$15:$A$28,F676)</f>
        <v/>
      </c>
      <c r="AO676" s="64">
        <f>IF(H676=0,0,AA676/H676)</f>
        <v/>
      </c>
      <c r="AP676" s="63">
        <f>AO676-AN676</f>
        <v/>
      </c>
      <c r="AQ676" s="61">
        <f>SUMIFS([1]инфо!$H$15:$H$28,[1]инфо!$A$15:$A$28,F676)</f>
        <v/>
      </c>
      <c r="AR676" s="62">
        <f>IF(H675=0,0,AC676/H675)</f>
        <v/>
      </c>
      <c r="AS676" s="63">
        <f>AR676-AQ676</f>
        <v/>
      </c>
      <c r="AT676" s="61">
        <f>SUMIFS([1]инфо!$I$15:$I$28,[1]инфо!$A$15:$A$28,F676)</f>
        <v/>
      </c>
      <c r="AU676" s="62">
        <f>IF(H676=0,0,AD676/H676)</f>
        <v/>
      </c>
      <c r="AV676" s="63">
        <f>AU676-AT676</f>
        <v/>
      </c>
      <c r="AX676" s="59">
        <f>SUMIFS([1]инфо!$C$15:$C$28,[1]инфо!$A$15:$A$28,F676)*H675</f>
        <v/>
      </c>
    </row>
    <row r="677">
      <c r="A677" s="71">
        <f>A675+1</f>
        <v/>
      </c>
      <c r="B677" s="90" t="n"/>
      <c r="C677" s="52" t="n"/>
      <c r="D677" s="53" t="n"/>
      <c r="E677" s="91" t="n"/>
      <c r="F677" s="67" t="n"/>
      <c r="G677" s="58" t="n"/>
      <c r="H677" s="56" t="n"/>
      <c r="I677" s="57">
        <f>IFERROR(H677*VLOOKUP(F677,[1]инфо!$A$15:$C$28,3,FALSE)/1000,0)</f>
        <v/>
      </c>
      <c r="J677" s="55" t="n"/>
      <c r="K677" s="55" t="n"/>
      <c r="L677" s="55" t="n"/>
      <c r="M677" s="55" t="n"/>
      <c r="N677" s="55" t="n"/>
      <c r="O677" s="58" t="n"/>
      <c r="P677" s="58" t="n"/>
      <c r="Q677" s="58" t="n"/>
      <c r="R677" s="58" t="n"/>
      <c r="S677" s="59">
        <f>SUM(O677:R677)</f>
        <v/>
      </c>
      <c r="T677" s="52" t="n"/>
      <c r="U677" s="53" t="n"/>
      <c r="V677" s="58" t="n"/>
      <c r="W677" s="68" t="n"/>
      <c r="X677" s="58" t="n"/>
      <c r="Y677" s="52" t="n"/>
      <c r="Z677" s="58" t="n"/>
      <c r="AA677" s="58" t="n"/>
      <c r="AB677" s="58" t="n"/>
      <c r="AC677" s="68" t="n"/>
      <c r="AD677" s="53" t="n"/>
      <c r="AE677" s="61">
        <f>SUMIFS([1]инфо!$D$15:$D$28,[1]инфо!$A$15:$A$28,F677)</f>
        <v/>
      </c>
      <c r="AF677" s="62">
        <f>IF(H677=0,0,N677/H677)</f>
        <v/>
      </c>
      <c r="AG677" s="63">
        <f>AF677-AE677</f>
        <v/>
      </c>
      <c r="AH677" s="61">
        <f>SUMIFS([1]инфо!$E$15:$E$28,[1]инфо!$A$15:$A$28,F677)</f>
        <v/>
      </c>
      <c r="AI677" s="64">
        <f>IF(H677=0,0,S677/H677)</f>
        <v/>
      </c>
      <c r="AJ677" s="63">
        <f>AI677-AH677</f>
        <v/>
      </c>
      <c r="AK677" s="61">
        <f>SUMIFS([1]инфо!$F$15:$F$28,[1]инфо!$A$15:$A$28,F677)</f>
        <v/>
      </c>
      <c r="AL677" s="64">
        <f>IF(H677=0,0,Y677/H677)</f>
        <v/>
      </c>
      <c r="AM677" s="63">
        <f>AL677-AK677</f>
        <v/>
      </c>
      <c r="AN677" s="61">
        <f>SUMIFS([1]инфо!$G$15:$G$28,[1]инфо!$A$15:$A$28,F677)</f>
        <v/>
      </c>
      <c r="AO677" s="64">
        <f>IF(H677=0,0,AA677/H677)</f>
        <v/>
      </c>
      <c r="AP677" s="63">
        <f>AO677-AN677</f>
        <v/>
      </c>
      <c r="AQ677" s="61">
        <f>SUMIFS([1]инфо!$H$15:$H$28,[1]инфо!$A$15:$A$28,F677)</f>
        <v/>
      </c>
      <c r="AR677" s="62">
        <f>IF(H676=0,0,AC677/H676)</f>
        <v/>
      </c>
      <c r="AS677" s="63">
        <f>AR677-AQ677</f>
        <v/>
      </c>
      <c r="AT677" s="61">
        <f>SUMIFS([1]инфо!$I$15:$I$28,[1]инфо!$A$15:$A$28,F677)</f>
        <v/>
      </c>
      <c r="AU677" s="62">
        <f>IF(H677=0,0,AD677/H677)</f>
        <v/>
      </c>
      <c r="AV677" s="63">
        <f>AU677-AT677</f>
        <v/>
      </c>
      <c r="AX677" s="59">
        <f>SUMIFS([1]инфо!$C$15:$C$28,[1]инфо!$A$15:$A$28,F677)*H676</f>
        <v/>
      </c>
    </row>
    <row r="678">
      <c r="A678" s="71">
        <f>A676+1</f>
        <v/>
      </c>
      <c r="B678" s="88" t="n"/>
      <c r="C678" s="77" t="n"/>
      <c r="D678" s="78" t="n"/>
      <c r="E678" s="91" t="n"/>
      <c r="F678" s="67" t="n"/>
      <c r="G678" s="79" t="n"/>
      <c r="H678" s="67" t="n"/>
      <c r="I678" s="57">
        <f>IFERROR(H678*VLOOKUP(F678,[1]инфо!$A$15:$C$28,3,FALSE)/1000,0)</f>
        <v/>
      </c>
      <c r="J678" s="55" t="n"/>
      <c r="K678" s="55" t="n"/>
      <c r="L678" s="55" t="n"/>
      <c r="M678" s="55" t="n"/>
      <c r="N678" s="56" t="n"/>
      <c r="O678" s="79" t="n"/>
      <c r="P678" s="79" t="n"/>
      <c r="Q678" s="79" t="n"/>
      <c r="R678" s="79" t="n"/>
      <c r="S678" s="80">
        <f>SUM(O678:R678)</f>
        <v/>
      </c>
      <c r="T678" s="77" t="n"/>
      <c r="U678" s="78" t="n"/>
      <c r="V678" s="79" t="n"/>
      <c r="W678" s="68" t="n"/>
      <c r="X678" s="79" t="n"/>
      <c r="Y678" s="77" t="n"/>
      <c r="Z678" s="79" t="n"/>
      <c r="AA678" s="79" t="n"/>
      <c r="AB678" s="79" t="n"/>
      <c r="AC678" s="68" t="n"/>
      <c r="AD678" s="78" t="n"/>
      <c r="AE678" s="81">
        <f>SUMIFS([1]инфо!$D$15:$D$28,[1]инфо!$A$15:$A$28,F678)</f>
        <v/>
      </c>
      <c r="AF678" s="62">
        <f>IF(H678=0,0,N678/H678)</f>
        <v/>
      </c>
      <c r="AG678" s="82">
        <f>AF678-AE678</f>
        <v/>
      </c>
      <c r="AH678" s="81">
        <f>SUMIFS([1]инфо!$E$15:$E$28,[1]инфо!$A$15:$A$28,F678)</f>
        <v/>
      </c>
      <c r="AI678" s="64">
        <f>IF(H678=0,0,S678/H678)</f>
        <v/>
      </c>
      <c r="AJ678" s="82">
        <f>AI678-AH678</f>
        <v/>
      </c>
      <c r="AK678" s="81">
        <f>SUMIFS([1]инфо!$F$15:$F$28,[1]инфо!$A$15:$A$28,F678)</f>
        <v/>
      </c>
      <c r="AL678" s="64">
        <f>IF(H678=0,0,Y678/H678)</f>
        <v/>
      </c>
      <c r="AM678" s="82">
        <f>AL678-AK678</f>
        <v/>
      </c>
      <c r="AN678" s="81">
        <f>SUMIFS([1]инфо!$G$15:$G$28,[1]инфо!$A$15:$A$28,F678)</f>
        <v/>
      </c>
      <c r="AO678" s="64">
        <f>IF(H678=0,0,AA678/H678)</f>
        <v/>
      </c>
      <c r="AP678" s="82">
        <f>AO678-AN678</f>
        <v/>
      </c>
      <c r="AQ678" s="81">
        <f>SUMIFS([1]инфо!$H$15:$H$28,[1]инфо!$A$15:$A$28,F678)</f>
        <v/>
      </c>
      <c r="AR678" s="85">
        <f>IF(H677=0,0,AC678/H677)</f>
        <v/>
      </c>
      <c r="AS678" s="82">
        <f>AR678-AQ678</f>
        <v/>
      </c>
      <c r="AT678" s="81">
        <f>SUMIFS([1]инфо!$I$15:$I$28,[1]инфо!$A$15:$A$28,F678)</f>
        <v/>
      </c>
      <c r="AU678" s="62">
        <f>IF(H678=0,0,AD678/H678)</f>
        <v/>
      </c>
      <c r="AV678" s="82">
        <f>AU678-AT678</f>
        <v/>
      </c>
      <c r="AX678" s="80">
        <f>SUMIFS([1]инфо!$C$15:$C$28,[1]инфо!$A$15:$A$28,F678)*H677</f>
        <v/>
      </c>
    </row>
    <row r="679">
      <c r="A679" s="71">
        <f>A677+1</f>
        <v/>
      </c>
      <c r="B679" s="89" t="n"/>
      <c r="C679" s="72" t="n"/>
      <c r="D679" s="73" t="n"/>
      <c r="E679" s="91" t="n"/>
      <c r="F679" s="67" t="n"/>
      <c r="G679" s="74" t="n"/>
      <c r="H679" s="55" t="n"/>
      <c r="I679" s="57">
        <f>IFERROR(H679*VLOOKUP(F679,[1]инфо!$A$15:$C$28,3,FALSE)/1000,0)</f>
        <v/>
      </c>
      <c r="J679" s="55" t="n"/>
      <c r="K679" s="55" t="n"/>
      <c r="L679" s="55" t="n"/>
      <c r="M679" s="55" t="n"/>
      <c r="N679" s="67" t="n"/>
      <c r="O679" s="74" t="n"/>
      <c r="P679" s="74" t="n"/>
      <c r="Q679" s="74" t="n"/>
      <c r="R679" s="74" t="n"/>
      <c r="S679" s="70">
        <f>SUM(O679:R679)</f>
        <v/>
      </c>
      <c r="T679" s="72" t="n"/>
      <c r="U679" s="73" t="n"/>
      <c r="V679" s="74" t="n"/>
      <c r="W679" s="68" t="n"/>
      <c r="X679" s="74" t="n"/>
      <c r="Y679" s="72" t="n"/>
      <c r="Z679" s="74" t="n"/>
      <c r="AA679" s="74" t="n"/>
      <c r="AB679" s="74" t="n"/>
      <c r="AC679" s="68" t="n"/>
      <c r="AD679" s="73" t="n"/>
      <c r="AE679" s="75">
        <f>SUMIFS([1]инфо!$D$15:$D$28,[1]инфо!$A$15:$A$28,F679)</f>
        <v/>
      </c>
      <c r="AF679" s="62">
        <f>IF(H679=0,0,N679/H679)</f>
        <v/>
      </c>
      <c r="AG679" s="76">
        <f>AF679-AE679</f>
        <v/>
      </c>
      <c r="AH679" s="75">
        <f>SUMIFS([1]инфо!$E$15:$E$28,[1]инфо!$A$15:$A$28,F679)</f>
        <v/>
      </c>
      <c r="AI679" s="64">
        <f>IF(H679=0,0,S679/H679)</f>
        <v/>
      </c>
      <c r="AJ679" s="76">
        <f>AI679-AH679</f>
        <v/>
      </c>
      <c r="AK679" s="75">
        <f>SUMIFS([1]инфо!$F$15:$F$28,[1]инфо!$A$15:$A$28,F679)</f>
        <v/>
      </c>
      <c r="AL679" s="64">
        <f>IF(H679=0,0,Y679/H679)</f>
        <v/>
      </c>
      <c r="AM679" s="76">
        <f>AL679-AK679</f>
        <v/>
      </c>
      <c r="AN679" s="75">
        <f>SUMIFS([1]инфо!$G$15:$G$28,[1]инфо!$A$15:$A$28,F679)</f>
        <v/>
      </c>
      <c r="AO679" s="64">
        <f>IF(H679=0,0,AA679/H679)</f>
        <v/>
      </c>
      <c r="AP679" s="76">
        <f>AO679-AN679</f>
        <v/>
      </c>
      <c r="AQ679" s="75">
        <f>SUMIFS([1]инфо!$H$15:$H$28,[1]инфо!$A$15:$A$28,F679)</f>
        <v/>
      </c>
      <c r="AR679" s="64">
        <f>IF(H678=0,0,AC679/H678)</f>
        <v/>
      </c>
      <c r="AS679" s="76">
        <f>AR679-AQ679</f>
        <v/>
      </c>
      <c r="AT679" s="75">
        <f>SUMIFS([1]инфо!$I$15:$I$28,[1]инфо!$A$15:$A$28,F679)</f>
        <v/>
      </c>
      <c r="AU679" s="62">
        <f>IF(H679=0,0,AD679/H679)</f>
        <v/>
      </c>
      <c r="AV679" s="76">
        <f>AU679-AT679</f>
        <v/>
      </c>
      <c r="AX679" s="70">
        <f>SUMIFS([1]инфо!$C$15:$C$28,[1]инфо!$A$15:$A$28,F679)*H678</f>
        <v/>
      </c>
    </row>
    <row r="680">
      <c r="A680" s="71">
        <f>A678+1</f>
        <v/>
      </c>
      <c r="B680" s="90" t="n"/>
      <c r="C680" s="52" t="n"/>
      <c r="D680" s="53" t="n"/>
      <c r="E680" s="91" t="n"/>
      <c r="F680" s="67" t="n"/>
      <c r="G680" s="58" t="n"/>
      <c r="H680" s="55" t="n"/>
      <c r="I680" s="57">
        <f>IFERROR(H680*VLOOKUP(F680,[1]инфо!$A$15:$C$28,3,FALSE)/1000,0)</f>
        <v/>
      </c>
      <c r="J680" s="55" t="n"/>
      <c r="K680" s="55" t="n"/>
      <c r="L680" s="55" t="n"/>
      <c r="M680" s="55" t="n"/>
      <c r="N680" s="55" t="n"/>
      <c r="O680" s="58" t="n"/>
      <c r="P680" s="58" t="n"/>
      <c r="Q680" s="58" t="n"/>
      <c r="R680" s="58" t="n"/>
      <c r="S680" s="59">
        <f>SUM(O680:R680)</f>
        <v/>
      </c>
      <c r="T680" s="52" t="n"/>
      <c r="U680" s="53" t="n"/>
      <c r="V680" s="58" t="n"/>
      <c r="W680" s="68" t="n"/>
      <c r="X680" s="58" t="n"/>
      <c r="Y680" s="52" t="n"/>
      <c r="Z680" s="58" t="n"/>
      <c r="AA680" s="58" t="n"/>
      <c r="AB680" s="58" t="n"/>
      <c r="AC680" s="68" t="n"/>
      <c r="AD680" s="53" t="n"/>
      <c r="AE680" s="61">
        <f>SUMIFS([1]инфо!$D$15:$D$28,[1]инфо!$A$15:$A$28,F680)</f>
        <v/>
      </c>
      <c r="AF680" s="62">
        <f>IF(H680=0,0,N680/H680)</f>
        <v/>
      </c>
      <c r="AG680" s="63">
        <f>AF680-AE680</f>
        <v/>
      </c>
      <c r="AH680" s="61">
        <f>SUMIFS([1]инфо!$E$15:$E$28,[1]инфо!$A$15:$A$28,F680)</f>
        <v/>
      </c>
      <c r="AI680" s="64">
        <f>IF(H680=0,0,S680/H680)</f>
        <v/>
      </c>
      <c r="AJ680" s="63">
        <f>AI680-AH680</f>
        <v/>
      </c>
      <c r="AK680" s="61">
        <f>SUMIFS([1]инфо!$F$15:$F$28,[1]инфо!$A$15:$A$28,F680)</f>
        <v/>
      </c>
      <c r="AL680" s="64">
        <f>IF(H680=0,0,Y680/H680)</f>
        <v/>
      </c>
      <c r="AM680" s="63">
        <f>AL680-AK680</f>
        <v/>
      </c>
      <c r="AN680" s="61">
        <f>SUMIFS([1]инфо!$G$15:$G$28,[1]инфо!$A$15:$A$28,F680)</f>
        <v/>
      </c>
      <c r="AO680" s="64">
        <f>IF(H680=0,0,AA680/H680)</f>
        <v/>
      </c>
      <c r="AP680" s="63">
        <f>AO680-AN680</f>
        <v/>
      </c>
      <c r="AQ680" s="61">
        <f>SUMIFS([1]инфо!$H$15:$H$28,[1]инфо!$A$15:$A$28,F680)</f>
        <v/>
      </c>
      <c r="AR680" s="62">
        <f>IF(H679=0,0,AC680/H679)</f>
        <v/>
      </c>
      <c r="AS680" s="63">
        <f>AR680-AQ680</f>
        <v/>
      </c>
      <c r="AT680" s="61">
        <f>SUMIFS([1]инфо!$I$15:$I$28,[1]инфо!$A$15:$A$28,F680)</f>
        <v/>
      </c>
      <c r="AU680" s="62">
        <f>IF(H680=0,0,AD680/H680)</f>
        <v/>
      </c>
      <c r="AV680" s="63">
        <f>AU680-AT680</f>
        <v/>
      </c>
      <c r="AX680" s="59">
        <f>SUMIFS([1]инфо!$C$15:$C$28,[1]инфо!$A$15:$A$28,F680)*H679</f>
        <v/>
      </c>
    </row>
    <row r="681">
      <c r="A681" s="71">
        <f>A679+1</f>
        <v/>
      </c>
      <c r="B681" s="90" t="n"/>
      <c r="C681" s="52" t="n"/>
      <c r="D681" s="53" t="n"/>
      <c r="E681" s="91" t="n"/>
      <c r="F681" s="67" t="n"/>
      <c r="G681" s="58" t="n"/>
      <c r="H681" s="56" t="n"/>
      <c r="I681" s="57">
        <f>IFERROR(H681*VLOOKUP(F681,[1]инфо!$A$15:$C$28,3,FALSE)/1000,0)</f>
        <v/>
      </c>
      <c r="J681" s="55" t="n"/>
      <c r="K681" s="55" t="n"/>
      <c r="L681" s="55" t="n"/>
      <c r="M681" s="55" t="n"/>
      <c r="N681" s="55" t="n"/>
      <c r="O681" s="58" t="n"/>
      <c r="P681" s="58" t="n"/>
      <c r="Q681" s="58" t="n"/>
      <c r="R681" s="58" t="n"/>
      <c r="S681" s="59">
        <f>SUM(O681:R681)</f>
        <v/>
      </c>
      <c r="T681" s="52" t="n"/>
      <c r="U681" s="53" t="n"/>
      <c r="V681" s="58" t="n"/>
      <c r="W681" s="68" t="n"/>
      <c r="X681" s="58" t="n"/>
      <c r="Y681" s="52" t="n"/>
      <c r="Z681" s="58" t="n"/>
      <c r="AA681" s="58" t="n"/>
      <c r="AB681" s="58" t="n"/>
      <c r="AC681" s="68" t="n"/>
      <c r="AD681" s="53" t="n"/>
      <c r="AE681" s="61">
        <f>SUMIFS([1]инфо!$D$15:$D$28,[1]инфо!$A$15:$A$28,F681)</f>
        <v/>
      </c>
      <c r="AF681" s="62">
        <f>IF(H681=0,0,N681/H681)</f>
        <v/>
      </c>
      <c r="AG681" s="63">
        <f>AF681-AE681</f>
        <v/>
      </c>
      <c r="AH681" s="61">
        <f>SUMIFS([1]инфо!$E$15:$E$28,[1]инфо!$A$15:$A$28,F681)</f>
        <v/>
      </c>
      <c r="AI681" s="64">
        <f>IF(H681=0,0,S681/H681)</f>
        <v/>
      </c>
      <c r="AJ681" s="63">
        <f>AI681-AH681</f>
        <v/>
      </c>
      <c r="AK681" s="61">
        <f>SUMIFS([1]инфо!$F$15:$F$28,[1]инфо!$A$15:$A$28,F681)</f>
        <v/>
      </c>
      <c r="AL681" s="64">
        <f>IF(H681=0,0,Y681/H681)</f>
        <v/>
      </c>
      <c r="AM681" s="63">
        <f>AL681-AK681</f>
        <v/>
      </c>
      <c r="AN681" s="61">
        <f>SUMIFS([1]инфо!$G$15:$G$28,[1]инфо!$A$15:$A$28,F681)</f>
        <v/>
      </c>
      <c r="AO681" s="64">
        <f>IF(H681=0,0,AA681/H681)</f>
        <v/>
      </c>
      <c r="AP681" s="63">
        <f>AO681-AN681</f>
        <v/>
      </c>
      <c r="AQ681" s="61">
        <f>SUMIFS([1]инфо!$H$15:$H$28,[1]инфо!$A$15:$A$28,F681)</f>
        <v/>
      </c>
      <c r="AR681" s="62">
        <f>IF(H680=0,0,AC681/H680)</f>
        <v/>
      </c>
      <c r="AS681" s="63">
        <f>AR681-AQ681</f>
        <v/>
      </c>
      <c r="AT681" s="61">
        <f>SUMIFS([1]инфо!$I$15:$I$28,[1]инфо!$A$15:$A$28,F681)</f>
        <v/>
      </c>
      <c r="AU681" s="62">
        <f>IF(H681=0,0,AD681/H681)</f>
        <v/>
      </c>
      <c r="AV681" s="63">
        <f>AU681-AT681</f>
        <v/>
      </c>
      <c r="AX681" s="59">
        <f>SUMIFS([1]инфо!$C$15:$C$28,[1]инфо!$A$15:$A$28,F681)*H680</f>
        <v/>
      </c>
    </row>
    <row r="682">
      <c r="A682" s="71">
        <f>A680+1</f>
        <v/>
      </c>
      <c r="B682" s="88" t="n"/>
      <c r="C682" s="77" t="n"/>
      <c r="D682" s="78" t="n"/>
      <c r="E682" s="91" t="n"/>
      <c r="F682" s="67" t="n"/>
      <c r="G682" s="79" t="n"/>
      <c r="H682" s="67" t="n"/>
      <c r="I682" s="57">
        <f>IFERROR(H682*VLOOKUP(F682,[1]инфо!$A$15:$C$28,3,FALSE)/1000,0)</f>
        <v/>
      </c>
      <c r="J682" s="55" t="n"/>
      <c r="K682" s="55" t="n"/>
      <c r="L682" s="55" t="n"/>
      <c r="M682" s="55" t="n"/>
      <c r="N682" s="56" t="n"/>
      <c r="O682" s="79" t="n"/>
      <c r="P682" s="79" t="n"/>
      <c r="Q682" s="79" t="n"/>
      <c r="R682" s="79" t="n"/>
      <c r="S682" s="80">
        <f>SUM(O682:R682)</f>
        <v/>
      </c>
      <c r="T682" s="77" t="n"/>
      <c r="U682" s="78" t="n"/>
      <c r="V682" s="79" t="n"/>
      <c r="W682" s="68" t="n"/>
      <c r="X682" s="79" t="n"/>
      <c r="Y682" s="77" t="n"/>
      <c r="Z682" s="79" t="n"/>
      <c r="AA682" s="79" t="n"/>
      <c r="AB682" s="79" t="n"/>
      <c r="AC682" s="68" t="n"/>
      <c r="AD682" s="78" t="n"/>
      <c r="AE682" s="81">
        <f>SUMIFS([1]инфо!$D$15:$D$28,[1]инфо!$A$15:$A$28,F682)</f>
        <v/>
      </c>
      <c r="AF682" s="62">
        <f>IF(H682=0,0,N682/H682)</f>
        <v/>
      </c>
      <c r="AG682" s="82">
        <f>AF682-AE682</f>
        <v/>
      </c>
      <c r="AH682" s="81">
        <f>SUMIFS([1]инфо!$E$15:$E$28,[1]инфо!$A$15:$A$28,F682)</f>
        <v/>
      </c>
      <c r="AI682" s="64">
        <f>IF(H682=0,0,S682/H682)</f>
        <v/>
      </c>
      <c r="AJ682" s="82">
        <f>AI682-AH682</f>
        <v/>
      </c>
      <c r="AK682" s="81">
        <f>SUMIFS([1]инфо!$F$15:$F$28,[1]инфо!$A$15:$A$28,F682)</f>
        <v/>
      </c>
      <c r="AL682" s="64">
        <f>IF(H682=0,0,Y682/H682)</f>
        <v/>
      </c>
      <c r="AM682" s="82">
        <f>AL682-AK682</f>
        <v/>
      </c>
      <c r="AN682" s="81">
        <f>SUMIFS([1]инфо!$G$15:$G$28,[1]инфо!$A$15:$A$28,F682)</f>
        <v/>
      </c>
      <c r="AO682" s="64">
        <f>IF(H682=0,0,AA682/H682)</f>
        <v/>
      </c>
      <c r="AP682" s="82">
        <f>AO682-AN682</f>
        <v/>
      </c>
      <c r="AQ682" s="81">
        <f>SUMIFS([1]инфо!$H$15:$H$28,[1]инфо!$A$15:$A$28,F682)</f>
        <v/>
      </c>
      <c r="AR682" s="85">
        <f>IF(H681=0,0,AC682/H681)</f>
        <v/>
      </c>
      <c r="AS682" s="82">
        <f>AR682-AQ682</f>
        <v/>
      </c>
      <c r="AT682" s="81">
        <f>SUMIFS([1]инфо!$I$15:$I$28,[1]инфо!$A$15:$A$28,F682)</f>
        <v/>
      </c>
      <c r="AU682" s="62">
        <f>IF(H682=0,0,AD682/H682)</f>
        <v/>
      </c>
      <c r="AV682" s="82">
        <f>AU682-AT682</f>
        <v/>
      </c>
      <c r="AX682" s="80">
        <f>SUMIFS([1]инфо!$C$15:$C$28,[1]инфо!$A$15:$A$28,F682)*H681</f>
        <v/>
      </c>
    </row>
    <row r="683">
      <c r="A683" s="71">
        <f>A681+1</f>
        <v/>
      </c>
      <c r="B683" s="89" t="n"/>
      <c r="C683" s="72" t="n"/>
      <c r="D683" s="73" t="n"/>
      <c r="E683" s="91" t="n"/>
      <c r="F683" s="67" t="n"/>
      <c r="G683" s="74" t="n"/>
      <c r="H683" s="55" t="n"/>
      <c r="I683" s="57">
        <f>IFERROR(H683*VLOOKUP(F683,[1]инфо!$A$15:$C$28,3,FALSE)/1000,0)</f>
        <v/>
      </c>
      <c r="J683" s="55" t="n"/>
      <c r="K683" s="55" t="n"/>
      <c r="L683" s="55" t="n"/>
      <c r="M683" s="55" t="n"/>
      <c r="N683" s="67" t="n"/>
      <c r="O683" s="74" t="n"/>
      <c r="P683" s="74" t="n"/>
      <c r="Q683" s="74" t="n"/>
      <c r="R683" s="74" t="n"/>
      <c r="S683" s="70">
        <f>SUM(O683:R683)</f>
        <v/>
      </c>
      <c r="T683" s="72" t="n"/>
      <c r="U683" s="73" t="n"/>
      <c r="V683" s="74" t="n"/>
      <c r="W683" s="68" t="n"/>
      <c r="X683" s="74" t="n"/>
      <c r="Y683" s="72" t="n"/>
      <c r="Z683" s="74" t="n"/>
      <c r="AA683" s="74" t="n"/>
      <c r="AB683" s="74" t="n"/>
      <c r="AC683" s="68" t="n"/>
      <c r="AD683" s="73" t="n"/>
      <c r="AE683" s="75">
        <f>SUMIFS([1]инфо!$D$15:$D$28,[1]инфо!$A$15:$A$28,F683)</f>
        <v/>
      </c>
      <c r="AF683" s="62">
        <f>IF(H683=0,0,N683/H683)</f>
        <v/>
      </c>
      <c r="AG683" s="76">
        <f>AF683-AE683</f>
        <v/>
      </c>
      <c r="AH683" s="75">
        <f>SUMIFS([1]инфо!$E$15:$E$28,[1]инфо!$A$15:$A$28,F683)</f>
        <v/>
      </c>
      <c r="AI683" s="64">
        <f>IF(H683=0,0,S683/H683)</f>
        <v/>
      </c>
      <c r="AJ683" s="76">
        <f>AI683-AH683</f>
        <v/>
      </c>
      <c r="AK683" s="75">
        <f>SUMIFS([1]инфо!$F$15:$F$28,[1]инфо!$A$15:$A$28,F683)</f>
        <v/>
      </c>
      <c r="AL683" s="64">
        <f>IF(H683=0,0,Y683/H683)</f>
        <v/>
      </c>
      <c r="AM683" s="76">
        <f>AL683-AK683</f>
        <v/>
      </c>
      <c r="AN683" s="75">
        <f>SUMIFS([1]инфо!$G$15:$G$28,[1]инфо!$A$15:$A$28,F683)</f>
        <v/>
      </c>
      <c r="AO683" s="64">
        <f>IF(H683=0,0,AA683/H683)</f>
        <v/>
      </c>
      <c r="AP683" s="76">
        <f>AO683-AN683</f>
        <v/>
      </c>
      <c r="AQ683" s="75">
        <f>SUMIFS([1]инфо!$H$15:$H$28,[1]инфо!$A$15:$A$28,F683)</f>
        <v/>
      </c>
      <c r="AR683" s="64">
        <f>IF(H682=0,0,AC683/H682)</f>
        <v/>
      </c>
      <c r="AS683" s="76">
        <f>AR683-AQ683</f>
        <v/>
      </c>
      <c r="AT683" s="75">
        <f>SUMIFS([1]инфо!$I$15:$I$28,[1]инфо!$A$15:$A$28,F683)</f>
        <v/>
      </c>
      <c r="AU683" s="62">
        <f>IF(H683=0,0,AD683/H683)</f>
        <v/>
      </c>
      <c r="AV683" s="76">
        <f>AU683-AT683</f>
        <v/>
      </c>
      <c r="AX683" s="70">
        <f>SUMIFS([1]инфо!$C$15:$C$28,[1]инфо!$A$15:$A$28,F683)*H682</f>
        <v/>
      </c>
    </row>
    <row r="684">
      <c r="A684" s="71">
        <f>A682+1</f>
        <v/>
      </c>
      <c r="B684" s="90" t="n"/>
      <c r="C684" s="52" t="n"/>
      <c r="D684" s="53" t="n"/>
      <c r="E684" s="91" t="n"/>
      <c r="F684" s="67" t="n"/>
      <c r="G684" s="58" t="n"/>
      <c r="H684" s="55" t="n"/>
      <c r="I684" s="57">
        <f>IFERROR(H684*VLOOKUP(F684,[1]инфо!$A$15:$C$28,3,FALSE)/1000,0)</f>
        <v/>
      </c>
      <c r="J684" s="55" t="n"/>
      <c r="K684" s="55" t="n"/>
      <c r="L684" s="55" t="n"/>
      <c r="M684" s="55" t="n"/>
      <c r="N684" s="55" t="n"/>
      <c r="O684" s="58" t="n"/>
      <c r="P684" s="58" t="n"/>
      <c r="Q684" s="58" t="n"/>
      <c r="R684" s="58" t="n"/>
      <c r="S684" s="59">
        <f>SUM(O684:R684)</f>
        <v/>
      </c>
      <c r="T684" s="52" t="n"/>
      <c r="U684" s="53" t="n"/>
      <c r="V684" s="58" t="n"/>
      <c r="W684" s="68" t="n"/>
      <c r="X684" s="58" t="n"/>
      <c r="Y684" s="52" t="n"/>
      <c r="Z684" s="58" t="n"/>
      <c r="AA684" s="58" t="n"/>
      <c r="AB684" s="58" t="n"/>
      <c r="AC684" s="68" t="n"/>
      <c r="AD684" s="53" t="n"/>
      <c r="AE684" s="61">
        <f>SUMIFS([1]инфо!$D$15:$D$28,[1]инфо!$A$15:$A$28,F684)</f>
        <v/>
      </c>
      <c r="AF684" s="62">
        <f>IF(H684=0,0,N684/H684)</f>
        <v/>
      </c>
      <c r="AG684" s="63">
        <f>AF684-AE684</f>
        <v/>
      </c>
      <c r="AH684" s="61">
        <f>SUMIFS([1]инфо!$E$15:$E$28,[1]инфо!$A$15:$A$28,F684)</f>
        <v/>
      </c>
      <c r="AI684" s="64">
        <f>IF(H684=0,0,S684/H684)</f>
        <v/>
      </c>
      <c r="AJ684" s="63">
        <f>AI684-AH684</f>
        <v/>
      </c>
      <c r="AK684" s="61">
        <f>SUMIFS([1]инфо!$F$15:$F$28,[1]инфо!$A$15:$A$28,F684)</f>
        <v/>
      </c>
      <c r="AL684" s="64">
        <f>IF(H684=0,0,Y684/H684)</f>
        <v/>
      </c>
      <c r="AM684" s="63">
        <f>AL684-AK684</f>
        <v/>
      </c>
      <c r="AN684" s="61">
        <f>SUMIFS([1]инфо!$G$15:$G$28,[1]инфо!$A$15:$A$28,F684)</f>
        <v/>
      </c>
      <c r="AO684" s="64">
        <f>IF(H684=0,0,AA684/H684)</f>
        <v/>
      </c>
      <c r="AP684" s="63">
        <f>AO684-AN684</f>
        <v/>
      </c>
      <c r="AQ684" s="61">
        <f>SUMIFS([1]инфо!$H$15:$H$28,[1]инфо!$A$15:$A$28,F684)</f>
        <v/>
      </c>
      <c r="AR684" s="62">
        <f>IF(H683=0,0,AC684/H683)</f>
        <v/>
      </c>
      <c r="AS684" s="63">
        <f>AR684-AQ684</f>
        <v/>
      </c>
      <c r="AT684" s="61">
        <f>SUMIFS([1]инфо!$I$15:$I$28,[1]инфо!$A$15:$A$28,F684)</f>
        <v/>
      </c>
      <c r="AU684" s="62">
        <f>IF(H684=0,0,AD684/H684)</f>
        <v/>
      </c>
      <c r="AV684" s="63">
        <f>AU684-AT684</f>
        <v/>
      </c>
      <c r="AX684" s="59">
        <f>SUMIFS([1]инфо!$C$15:$C$28,[1]инфо!$A$15:$A$28,F684)*H683</f>
        <v/>
      </c>
    </row>
    <row r="685">
      <c r="A685" s="71">
        <f>A683+1</f>
        <v/>
      </c>
      <c r="B685" s="90" t="n"/>
      <c r="C685" s="52" t="n"/>
      <c r="D685" s="53" t="n"/>
      <c r="E685" s="91" t="n"/>
      <c r="F685" s="67" t="n"/>
      <c r="G685" s="58" t="n"/>
      <c r="H685" s="56" t="n"/>
      <c r="I685" s="57">
        <f>IFERROR(H685*VLOOKUP(F685,[1]инфо!$A$15:$C$28,3,FALSE)/1000,0)</f>
        <v/>
      </c>
      <c r="J685" s="55" t="n"/>
      <c r="K685" s="55" t="n"/>
      <c r="L685" s="55" t="n"/>
      <c r="M685" s="55" t="n"/>
      <c r="N685" s="55" t="n"/>
      <c r="O685" s="58" t="n"/>
      <c r="P685" s="58" t="n"/>
      <c r="Q685" s="58" t="n"/>
      <c r="R685" s="58" t="n"/>
      <c r="S685" s="59">
        <f>SUM(O685:R685)</f>
        <v/>
      </c>
      <c r="T685" s="52" t="n"/>
      <c r="U685" s="53" t="n"/>
      <c r="V685" s="58" t="n"/>
      <c r="W685" s="68" t="n"/>
      <c r="X685" s="58" t="n"/>
      <c r="Y685" s="52" t="n"/>
      <c r="Z685" s="58" t="n"/>
      <c r="AA685" s="58" t="n"/>
      <c r="AB685" s="58" t="n"/>
      <c r="AC685" s="68" t="n"/>
      <c r="AD685" s="53" t="n"/>
      <c r="AE685" s="61">
        <f>SUMIFS([1]инфо!$D$15:$D$28,[1]инфо!$A$15:$A$28,F685)</f>
        <v/>
      </c>
      <c r="AF685" s="62">
        <f>IF(H685=0,0,N685/H685)</f>
        <v/>
      </c>
      <c r="AG685" s="63">
        <f>AF685-AE685</f>
        <v/>
      </c>
      <c r="AH685" s="61">
        <f>SUMIFS([1]инфо!$E$15:$E$28,[1]инфо!$A$15:$A$28,F685)</f>
        <v/>
      </c>
      <c r="AI685" s="64">
        <f>IF(H685=0,0,S685/H685)</f>
        <v/>
      </c>
      <c r="AJ685" s="63">
        <f>AI685-AH685</f>
        <v/>
      </c>
      <c r="AK685" s="61">
        <f>SUMIFS([1]инфо!$F$15:$F$28,[1]инфо!$A$15:$A$28,F685)</f>
        <v/>
      </c>
      <c r="AL685" s="64">
        <f>IF(H685=0,0,Y685/H685)</f>
        <v/>
      </c>
      <c r="AM685" s="63">
        <f>AL685-AK685</f>
        <v/>
      </c>
      <c r="AN685" s="61">
        <f>SUMIFS([1]инфо!$G$15:$G$28,[1]инфо!$A$15:$A$28,F685)</f>
        <v/>
      </c>
      <c r="AO685" s="64">
        <f>IF(H685=0,0,AA685/H685)</f>
        <v/>
      </c>
      <c r="AP685" s="63">
        <f>AO685-AN685</f>
        <v/>
      </c>
      <c r="AQ685" s="61">
        <f>SUMIFS([1]инфо!$H$15:$H$28,[1]инфо!$A$15:$A$28,F685)</f>
        <v/>
      </c>
      <c r="AR685" s="62">
        <f>IF(H684=0,0,AC685/H684)</f>
        <v/>
      </c>
      <c r="AS685" s="63">
        <f>AR685-AQ685</f>
        <v/>
      </c>
      <c r="AT685" s="61">
        <f>SUMIFS([1]инфо!$I$15:$I$28,[1]инфо!$A$15:$A$28,F685)</f>
        <v/>
      </c>
      <c r="AU685" s="62">
        <f>IF(H685=0,0,AD685/H685)</f>
        <v/>
      </c>
      <c r="AV685" s="63">
        <f>AU685-AT685</f>
        <v/>
      </c>
      <c r="AX685" s="59">
        <f>SUMIFS([1]инфо!$C$15:$C$28,[1]инфо!$A$15:$A$28,F685)*H684</f>
        <v/>
      </c>
    </row>
    <row r="686">
      <c r="A686" s="71">
        <f>A684+1</f>
        <v/>
      </c>
      <c r="B686" s="88" t="n"/>
      <c r="C686" s="77" t="n"/>
      <c r="D686" s="78" t="n"/>
      <c r="E686" s="91" t="n"/>
      <c r="F686" s="67" t="n"/>
      <c r="G686" s="79" t="n"/>
      <c r="H686" s="67" t="n"/>
      <c r="I686" s="57">
        <f>IFERROR(H686*VLOOKUP(F686,[1]инфо!$A$15:$C$28,3,FALSE)/1000,0)</f>
        <v/>
      </c>
      <c r="J686" s="55" t="n"/>
      <c r="K686" s="55" t="n"/>
      <c r="L686" s="55" t="n"/>
      <c r="M686" s="55" t="n"/>
      <c r="N686" s="56" t="n"/>
      <c r="O686" s="79" t="n"/>
      <c r="P686" s="79" t="n"/>
      <c r="Q686" s="79" t="n"/>
      <c r="R686" s="79" t="n"/>
      <c r="S686" s="80">
        <f>SUM(O686:R686)</f>
        <v/>
      </c>
      <c r="T686" s="77" t="n"/>
      <c r="U686" s="78" t="n"/>
      <c r="V686" s="79" t="n"/>
      <c r="W686" s="68" t="n"/>
      <c r="X686" s="79" t="n"/>
      <c r="Y686" s="77" t="n"/>
      <c r="Z686" s="79" t="n"/>
      <c r="AA686" s="79" t="n"/>
      <c r="AB686" s="79" t="n"/>
      <c r="AC686" s="68" t="n"/>
      <c r="AD686" s="78" t="n"/>
      <c r="AE686" s="81">
        <f>SUMIFS([1]инфо!$D$15:$D$28,[1]инфо!$A$15:$A$28,F686)</f>
        <v/>
      </c>
      <c r="AF686" s="62">
        <f>IF(H686=0,0,N686/H686)</f>
        <v/>
      </c>
      <c r="AG686" s="82">
        <f>AF686-AE686</f>
        <v/>
      </c>
      <c r="AH686" s="81">
        <f>SUMIFS([1]инфо!$E$15:$E$28,[1]инфо!$A$15:$A$28,F686)</f>
        <v/>
      </c>
      <c r="AI686" s="64">
        <f>IF(H686=0,0,S686/H686)</f>
        <v/>
      </c>
      <c r="AJ686" s="82">
        <f>AI686-AH686</f>
        <v/>
      </c>
      <c r="AK686" s="81">
        <f>SUMIFS([1]инфо!$F$15:$F$28,[1]инфо!$A$15:$A$28,F686)</f>
        <v/>
      </c>
      <c r="AL686" s="64">
        <f>IF(H686=0,0,Y686/H686)</f>
        <v/>
      </c>
      <c r="AM686" s="82">
        <f>AL686-AK686</f>
        <v/>
      </c>
      <c r="AN686" s="81">
        <f>SUMIFS([1]инфо!$G$15:$G$28,[1]инфо!$A$15:$A$28,F686)</f>
        <v/>
      </c>
      <c r="AO686" s="64">
        <f>IF(H686=0,0,AA686/H686)</f>
        <v/>
      </c>
      <c r="AP686" s="82">
        <f>AO686-AN686</f>
        <v/>
      </c>
      <c r="AQ686" s="81">
        <f>SUMIFS([1]инфо!$H$15:$H$28,[1]инфо!$A$15:$A$28,F686)</f>
        <v/>
      </c>
      <c r="AR686" s="85">
        <f>IF(H685=0,0,AC686/H685)</f>
        <v/>
      </c>
      <c r="AS686" s="82">
        <f>AR686-AQ686</f>
        <v/>
      </c>
      <c r="AT686" s="81">
        <f>SUMIFS([1]инфо!$I$15:$I$28,[1]инфо!$A$15:$A$28,F686)</f>
        <v/>
      </c>
      <c r="AU686" s="62">
        <f>IF(H686=0,0,AD686/H686)</f>
        <v/>
      </c>
      <c r="AV686" s="82">
        <f>AU686-AT686</f>
        <v/>
      </c>
      <c r="AX686" s="80">
        <f>SUMIFS([1]инфо!$C$15:$C$28,[1]инфо!$A$15:$A$28,F686)*H685</f>
        <v/>
      </c>
    </row>
    <row r="687">
      <c r="A687" s="71">
        <f>A685+1</f>
        <v/>
      </c>
      <c r="B687" s="89" t="n"/>
      <c r="C687" s="72" t="n"/>
      <c r="D687" s="73" t="n"/>
      <c r="E687" s="91" t="n"/>
      <c r="F687" s="67" t="n"/>
      <c r="G687" s="74" t="n"/>
      <c r="H687" s="55" t="n"/>
      <c r="I687" s="57">
        <f>IFERROR(H687*VLOOKUP(F687,[1]инфо!$A$15:$C$28,3,FALSE)/1000,0)</f>
        <v/>
      </c>
      <c r="J687" s="55" t="n"/>
      <c r="K687" s="55" t="n"/>
      <c r="L687" s="55" t="n"/>
      <c r="M687" s="55" t="n"/>
      <c r="N687" s="67" t="n"/>
      <c r="O687" s="74" t="n"/>
      <c r="P687" s="74" t="n"/>
      <c r="Q687" s="74" t="n"/>
      <c r="R687" s="74" t="n"/>
      <c r="S687" s="70">
        <f>SUM(O687:R687)</f>
        <v/>
      </c>
      <c r="T687" s="72" t="n"/>
      <c r="U687" s="73" t="n"/>
      <c r="V687" s="74" t="n"/>
      <c r="W687" s="68" t="n"/>
      <c r="X687" s="74" t="n"/>
      <c r="Y687" s="72" t="n"/>
      <c r="Z687" s="74" t="n"/>
      <c r="AA687" s="74" t="n"/>
      <c r="AB687" s="74" t="n"/>
      <c r="AC687" s="68" t="n"/>
      <c r="AD687" s="73" t="n"/>
      <c r="AE687" s="75">
        <f>SUMIFS([1]инфо!$D$15:$D$28,[1]инфо!$A$15:$A$28,F687)</f>
        <v/>
      </c>
      <c r="AF687" s="62">
        <f>IF(H687=0,0,N687/H687)</f>
        <v/>
      </c>
      <c r="AG687" s="76">
        <f>AF687-AE687</f>
        <v/>
      </c>
      <c r="AH687" s="75">
        <f>SUMIFS([1]инфо!$E$15:$E$28,[1]инфо!$A$15:$A$28,F687)</f>
        <v/>
      </c>
      <c r="AI687" s="64">
        <f>IF(H687=0,0,S687/H687)</f>
        <v/>
      </c>
      <c r="AJ687" s="76">
        <f>AI687-AH687</f>
        <v/>
      </c>
      <c r="AK687" s="75">
        <f>SUMIFS([1]инфо!$F$15:$F$28,[1]инфо!$A$15:$A$28,F687)</f>
        <v/>
      </c>
      <c r="AL687" s="64">
        <f>IF(H687=0,0,Y687/H687)</f>
        <v/>
      </c>
      <c r="AM687" s="76">
        <f>AL687-AK687</f>
        <v/>
      </c>
      <c r="AN687" s="75">
        <f>SUMIFS([1]инфо!$G$15:$G$28,[1]инфо!$A$15:$A$28,F687)</f>
        <v/>
      </c>
      <c r="AO687" s="64">
        <f>IF(H687=0,0,AA687/H687)</f>
        <v/>
      </c>
      <c r="AP687" s="76">
        <f>AO687-AN687</f>
        <v/>
      </c>
      <c r="AQ687" s="75">
        <f>SUMIFS([1]инфо!$H$15:$H$28,[1]инфо!$A$15:$A$28,F687)</f>
        <v/>
      </c>
      <c r="AR687" s="64">
        <f>IF(H686=0,0,AC687/H686)</f>
        <v/>
      </c>
      <c r="AS687" s="76">
        <f>AR687-AQ687</f>
        <v/>
      </c>
      <c r="AT687" s="75">
        <f>SUMIFS([1]инфо!$I$15:$I$28,[1]инфо!$A$15:$A$28,F687)</f>
        <v/>
      </c>
      <c r="AU687" s="62">
        <f>IF(H687=0,0,AD687/H687)</f>
        <v/>
      </c>
      <c r="AV687" s="76">
        <f>AU687-AT687</f>
        <v/>
      </c>
      <c r="AX687" s="70">
        <f>SUMIFS([1]инфо!$C$15:$C$28,[1]инфо!$A$15:$A$28,F687)*H686</f>
        <v/>
      </c>
    </row>
    <row r="688">
      <c r="A688" s="71">
        <f>A686+1</f>
        <v/>
      </c>
      <c r="B688" s="90" t="n"/>
      <c r="C688" s="52" t="n"/>
      <c r="D688" s="53" t="n"/>
      <c r="E688" s="91" t="n"/>
      <c r="F688" s="67" t="n"/>
      <c r="G688" s="58" t="n"/>
      <c r="H688" s="55" t="n"/>
      <c r="I688" s="57">
        <f>IFERROR(H688*VLOOKUP(F688,[1]инфо!$A$15:$C$28,3,FALSE)/1000,0)</f>
        <v/>
      </c>
      <c r="J688" s="55" t="n"/>
      <c r="K688" s="55" t="n"/>
      <c r="L688" s="55" t="n"/>
      <c r="M688" s="55" t="n"/>
      <c r="N688" s="55" t="n"/>
      <c r="O688" s="58" t="n"/>
      <c r="P688" s="58" t="n"/>
      <c r="Q688" s="58" t="n"/>
      <c r="R688" s="58" t="n"/>
      <c r="S688" s="59">
        <f>SUM(O688:R688)</f>
        <v/>
      </c>
      <c r="T688" s="52" t="n"/>
      <c r="U688" s="53" t="n"/>
      <c r="V688" s="58" t="n"/>
      <c r="W688" s="68" t="n"/>
      <c r="X688" s="58" t="n"/>
      <c r="Y688" s="52" t="n"/>
      <c r="Z688" s="58" t="n"/>
      <c r="AA688" s="58" t="n"/>
      <c r="AB688" s="58" t="n"/>
      <c r="AC688" s="68" t="n"/>
      <c r="AD688" s="53" t="n"/>
      <c r="AE688" s="61">
        <f>SUMIFS([1]инфо!$D$15:$D$28,[1]инфо!$A$15:$A$28,F688)</f>
        <v/>
      </c>
      <c r="AF688" s="62">
        <f>IF(H688=0,0,N688/H688)</f>
        <v/>
      </c>
      <c r="AG688" s="63">
        <f>AF688-AE688</f>
        <v/>
      </c>
      <c r="AH688" s="61">
        <f>SUMIFS([1]инфо!$E$15:$E$28,[1]инфо!$A$15:$A$28,F688)</f>
        <v/>
      </c>
      <c r="AI688" s="64">
        <f>IF(H688=0,0,S688/H688)</f>
        <v/>
      </c>
      <c r="AJ688" s="63">
        <f>AI688-AH688</f>
        <v/>
      </c>
      <c r="AK688" s="61">
        <f>SUMIFS([1]инфо!$F$15:$F$28,[1]инфо!$A$15:$A$28,F688)</f>
        <v/>
      </c>
      <c r="AL688" s="64">
        <f>IF(H688=0,0,Y688/H688)</f>
        <v/>
      </c>
      <c r="AM688" s="63">
        <f>AL688-AK688</f>
        <v/>
      </c>
      <c r="AN688" s="61">
        <f>SUMIFS([1]инфо!$G$15:$G$28,[1]инфо!$A$15:$A$28,F688)</f>
        <v/>
      </c>
      <c r="AO688" s="64">
        <f>IF(H688=0,0,AA688/H688)</f>
        <v/>
      </c>
      <c r="AP688" s="63">
        <f>AO688-AN688</f>
        <v/>
      </c>
      <c r="AQ688" s="61">
        <f>SUMIFS([1]инфо!$H$15:$H$28,[1]инфо!$A$15:$A$28,F688)</f>
        <v/>
      </c>
      <c r="AR688" s="62">
        <f>IF(H687=0,0,AC688/H687)</f>
        <v/>
      </c>
      <c r="AS688" s="63">
        <f>AR688-AQ688</f>
        <v/>
      </c>
      <c r="AT688" s="61">
        <f>SUMIFS([1]инфо!$I$15:$I$28,[1]инфо!$A$15:$A$28,F688)</f>
        <v/>
      </c>
      <c r="AU688" s="62">
        <f>IF(H688=0,0,AD688/H688)</f>
        <v/>
      </c>
      <c r="AV688" s="63">
        <f>AU688-AT688</f>
        <v/>
      </c>
      <c r="AX688" s="59">
        <f>SUMIFS([1]инфо!$C$15:$C$28,[1]инфо!$A$15:$A$28,F688)*H687</f>
        <v/>
      </c>
    </row>
    <row r="689">
      <c r="A689" s="71">
        <f>A687+1</f>
        <v/>
      </c>
      <c r="B689" s="90" t="n"/>
      <c r="C689" s="52" t="n"/>
      <c r="D689" s="53" t="n"/>
      <c r="E689" s="91" t="n"/>
      <c r="F689" s="67" t="n"/>
      <c r="G689" s="58" t="n"/>
      <c r="H689" s="56" t="n"/>
      <c r="I689" s="57">
        <f>IFERROR(H689*VLOOKUP(F689,[1]инфо!$A$15:$C$28,3,FALSE)/1000,0)</f>
        <v/>
      </c>
      <c r="J689" s="55" t="n"/>
      <c r="K689" s="55" t="n"/>
      <c r="L689" s="55" t="n"/>
      <c r="M689" s="55" t="n"/>
      <c r="N689" s="55" t="n"/>
      <c r="O689" s="58" t="n"/>
      <c r="P689" s="58" t="n"/>
      <c r="Q689" s="58" t="n"/>
      <c r="R689" s="58" t="n"/>
      <c r="S689" s="59">
        <f>SUM(O689:R689)</f>
        <v/>
      </c>
      <c r="T689" s="52" t="n"/>
      <c r="U689" s="53" t="n"/>
      <c r="V689" s="58" t="n"/>
      <c r="W689" s="68" t="n"/>
      <c r="X689" s="58" t="n"/>
      <c r="Y689" s="52" t="n"/>
      <c r="Z689" s="58" t="n"/>
      <c r="AA689" s="58" t="n"/>
      <c r="AB689" s="58" t="n"/>
      <c r="AC689" s="68" t="n"/>
      <c r="AD689" s="53" t="n"/>
      <c r="AE689" s="61">
        <f>SUMIFS([1]инфо!$D$15:$D$28,[1]инфо!$A$15:$A$28,F689)</f>
        <v/>
      </c>
      <c r="AF689" s="62">
        <f>IF(H689=0,0,N689/H689)</f>
        <v/>
      </c>
      <c r="AG689" s="63">
        <f>AF689-AE689</f>
        <v/>
      </c>
      <c r="AH689" s="61">
        <f>SUMIFS([1]инфо!$E$15:$E$28,[1]инфо!$A$15:$A$28,F689)</f>
        <v/>
      </c>
      <c r="AI689" s="64">
        <f>IF(H689=0,0,S689/H689)</f>
        <v/>
      </c>
      <c r="AJ689" s="63">
        <f>AI689-AH689</f>
        <v/>
      </c>
      <c r="AK689" s="61">
        <f>SUMIFS([1]инфо!$F$15:$F$28,[1]инфо!$A$15:$A$28,F689)</f>
        <v/>
      </c>
      <c r="AL689" s="64">
        <f>IF(H689=0,0,Y689/H689)</f>
        <v/>
      </c>
      <c r="AM689" s="63">
        <f>AL689-AK689</f>
        <v/>
      </c>
      <c r="AN689" s="61">
        <f>SUMIFS([1]инфо!$G$15:$G$28,[1]инфо!$A$15:$A$28,F689)</f>
        <v/>
      </c>
      <c r="AO689" s="64">
        <f>IF(H689=0,0,AA689/H689)</f>
        <v/>
      </c>
      <c r="AP689" s="63">
        <f>AO689-AN689</f>
        <v/>
      </c>
      <c r="AQ689" s="61">
        <f>SUMIFS([1]инфо!$H$15:$H$28,[1]инфо!$A$15:$A$28,F689)</f>
        <v/>
      </c>
      <c r="AR689" s="62">
        <f>IF(H688=0,0,AC689/H688)</f>
        <v/>
      </c>
      <c r="AS689" s="63">
        <f>AR689-AQ689</f>
        <v/>
      </c>
      <c r="AT689" s="61">
        <f>SUMIFS([1]инфо!$I$15:$I$28,[1]инфо!$A$15:$A$28,F689)</f>
        <v/>
      </c>
      <c r="AU689" s="62">
        <f>IF(H689=0,0,AD689/H689)</f>
        <v/>
      </c>
      <c r="AV689" s="63">
        <f>AU689-AT689</f>
        <v/>
      </c>
      <c r="AX689" s="59">
        <f>SUMIFS([1]инфо!$C$15:$C$28,[1]инфо!$A$15:$A$28,F689)*H688</f>
        <v/>
      </c>
    </row>
    <row r="690">
      <c r="A690" s="71">
        <f>A688+1</f>
        <v/>
      </c>
      <c r="B690" s="88" t="n"/>
      <c r="C690" s="77" t="n"/>
      <c r="D690" s="78" t="n"/>
      <c r="E690" s="91" t="n"/>
      <c r="F690" s="67" t="n"/>
      <c r="G690" s="79" t="n"/>
      <c r="H690" s="67" t="n"/>
      <c r="I690" s="57">
        <f>IFERROR(H690*VLOOKUP(F690,[1]инфо!$A$15:$C$28,3,FALSE)/1000,0)</f>
        <v/>
      </c>
      <c r="J690" s="55" t="n"/>
      <c r="K690" s="55" t="n"/>
      <c r="L690" s="55" t="n"/>
      <c r="M690" s="55" t="n"/>
      <c r="N690" s="56" t="n"/>
      <c r="O690" s="79" t="n"/>
      <c r="P690" s="79" t="n"/>
      <c r="Q690" s="79" t="n"/>
      <c r="R690" s="79" t="n"/>
      <c r="S690" s="80">
        <f>SUM(O690:R690)</f>
        <v/>
      </c>
      <c r="T690" s="77" t="n"/>
      <c r="U690" s="78" t="n"/>
      <c r="V690" s="79" t="n"/>
      <c r="W690" s="68" t="n"/>
      <c r="X690" s="79" t="n"/>
      <c r="Y690" s="77" t="n"/>
      <c r="Z690" s="79" t="n"/>
      <c r="AA690" s="79" t="n"/>
      <c r="AB690" s="79" t="n"/>
      <c r="AC690" s="68" t="n"/>
      <c r="AD690" s="78" t="n"/>
      <c r="AE690" s="81">
        <f>SUMIFS([1]инфо!$D$15:$D$28,[1]инфо!$A$15:$A$28,F690)</f>
        <v/>
      </c>
      <c r="AF690" s="62">
        <f>IF(H690=0,0,N690/H690)</f>
        <v/>
      </c>
      <c r="AG690" s="82">
        <f>AF690-AE690</f>
        <v/>
      </c>
      <c r="AH690" s="81">
        <f>SUMIFS([1]инфо!$E$15:$E$28,[1]инфо!$A$15:$A$28,F690)</f>
        <v/>
      </c>
      <c r="AI690" s="64">
        <f>IF(H690=0,0,S690/H690)</f>
        <v/>
      </c>
      <c r="AJ690" s="82">
        <f>AI690-AH690</f>
        <v/>
      </c>
      <c r="AK690" s="81">
        <f>SUMIFS([1]инфо!$F$15:$F$28,[1]инфо!$A$15:$A$28,F690)</f>
        <v/>
      </c>
      <c r="AL690" s="64">
        <f>IF(H690=0,0,Y690/H690)</f>
        <v/>
      </c>
      <c r="AM690" s="82">
        <f>AL690-AK690</f>
        <v/>
      </c>
      <c r="AN690" s="81">
        <f>SUMIFS([1]инфо!$G$15:$G$28,[1]инфо!$A$15:$A$28,F690)</f>
        <v/>
      </c>
      <c r="AO690" s="64">
        <f>IF(H690=0,0,AA690/H690)</f>
        <v/>
      </c>
      <c r="AP690" s="82">
        <f>AO690-AN690</f>
        <v/>
      </c>
      <c r="AQ690" s="81">
        <f>SUMIFS([1]инфо!$H$15:$H$28,[1]инфо!$A$15:$A$28,F690)</f>
        <v/>
      </c>
      <c r="AR690" s="85">
        <f>IF(H689=0,0,AC690/H689)</f>
        <v/>
      </c>
      <c r="AS690" s="82">
        <f>AR690-AQ690</f>
        <v/>
      </c>
      <c r="AT690" s="81">
        <f>SUMIFS([1]инфо!$I$15:$I$28,[1]инфо!$A$15:$A$28,F690)</f>
        <v/>
      </c>
      <c r="AU690" s="62">
        <f>IF(H690=0,0,AD690/H690)</f>
        <v/>
      </c>
      <c r="AV690" s="82">
        <f>AU690-AT690</f>
        <v/>
      </c>
      <c r="AX690" s="80">
        <f>SUMIFS([1]инфо!$C$15:$C$28,[1]инфо!$A$15:$A$28,F690)*H689</f>
        <v/>
      </c>
    </row>
    <row r="691">
      <c r="A691" s="71">
        <f>A689+1</f>
        <v/>
      </c>
      <c r="B691" s="89" t="n"/>
      <c r="C691" s="72" t="n"/>
      <c r="D691" s="73" t="n"/>
      <c r="E691" s="91" t="n"/>
      <c r="F691" s="67" t="n"/>
      <c r="G691" s="74" t="n"/>
      <c r="H691" s="55" t="n"/>
      <c r="I691" s="57">
        <f>IFERROR(H691*VLOOKUP(F691,[1]инфо!$A$15:$C$28,3,FALSE)/1000,0)</f>
        <v/>
      </c>
      <c r="J691" s="55" t="n"/>
      <c r="K691" s="55" t="n"/>
      <c r="L691" s="55" t="n"/>
      <c r="M691" s="55" t="n"/>
      <c r="N691" s="67" t="n"/>
      <c r="O691" s="74" t="n"/>
      <c r="P691" s="74" t="n"/>
      <c r="Q691" s="74" t="n"/>
      <c r="R691" s="74" t="n"/>
      <c r="S691" s="70">
        <f>SUM(O691:R691)</f>
        <v/>
      </c>
      <c r="T691" s="72" t="n"/>
      <c r="U691" s="73" t="n"/>
      <c r="V691" s="74" t="n"/>
      <c r="W691" s="68" t="n"/>
      <c r="X691" s="74" t="n"/>
      <c r="Y691" s="72" t="n"/>
      <c r="Z691" s="74" t="n"/>
      <c r="AA691" s="74" t="n"/>
      <c r="AB691" s="74" t="n"/>
      <c r="AC691" s="68" t="n"/>
      <c r="AD691" s="73" t="n"/>
      <c r="AE691" s="75">
        <f>SUMIFS([1]инфо!$D$15:$D$28,[1]инфо!$A$15:$A$28,F691)</f>
        <v/>
      </c>
      <c r="AF691" s="62">
        <f>IF(H691=0,0,N691/H691)</f>
        <v/>
      </c>
      <c r="AG691" s="76">
        <f>AF691-AE691</f>
        <v/>
      </c>
      <c r="AH691" s="75">
        <f>SUMIFS([1]инфо!$E$15:$E$28,[1]инфо!$A$15:$A$28,F691)</f>
        <v/>
      </c>
      <c r="AI691" s="64">
        <f>IF(H691=0,0,S691/H691)</f>
        <v/>
      </c>
      <c r="AJ691" s="76">
        <f>AI691-AH691</f>
        <v/>
      </c>
      <c r="AK691" s="75">
        <f>SUMIFS([1]инфо!$F$15:$F$28,[1]инфо!$A$15:$A$28,F691)</f>
        <v/>
      </c>
      <c r="AL691" s="64">
        <f>IF(H691=0,0,Y691/H691)</f>
        <v/>
      </c>
      <c r="AM691" s="76">
        <f>AL691-AK691</f>
        <v/>
      </c>
      <c r="AN691" s="75">
        <f>SUMIFS([1]инфо!$G$15:$G$28,[1]инфо!$A$15:$A$28,F691)</f>
        <v/>
      </c>
      <c r="AO691" s="64">
        <f>IF(H691=0,0,AA691/H691)</f>
        <v/>
      </c>
      <c r="AP691" s="76">
        <f>AO691-AN691</f>
        <v/>
      </c>
      <c r="AQ691" s="75">
        <f>SUMIFS([1]инфо!$H$15:$H$28,[1]инфо!$A$15:$A$28,F691)</f>
        <v/>
      </c>
      <c r="AR691" s="64">
        <f>IF(H690=0,0,AC691/H690)</f>
        <v/>
      </c>
      <c r="AS691" s="76">
        <f>AR691-AQ691</f>
        <v/>
      </c>
      <c r="AT691" s="75">
        <f>SUMIFS([1]инфо!$I$15:$I$28,[1]инфо!$A$15:$A$28,F691)</f>
        <v/>
      </c>
      <c r="AU691" s="62">
        <f>IF(H691=0,0,AD691/H691)</f>
        <v/>
      </c>
      <c r="AV691" s="76">
        <f>AU691-AT691</f>
        <v/>
      </c>
      <c r="AX691" s="70">
        <f>SUMIFS([1]инфо!$C$15:$C$28,[1]инфо!$A$15:$A$28,F691)*H690</f>
        <v/>
      </c>
    </row>
    <row r="692">
      <c r="A692" s="71">
        <f>A690+1</f>
        <v/>
      </c>
      <c r="B692" s="90" t="n"/>
      <c r="C692" s="52" t="n"/>
      <c r="D692" s="53" t="n"/>
      <c r="E692" s="91" t="n"/>
      <c r="F692" s="67" t="n"/>
      <c r="G692" s="58" t="n"/>
      <c r="H692" s="55" t="n"/>
      <c r="I692" s="57">
        <f>IFERROR(H692*VLOOKUP(F692,[1]инфо!$A$15:$C$28,3,FALSE)/1000,0)</f>
        <v/>
      </c>
      <c r="J692" s="55" t="n"/>
      <c r="K692" s="55" t="n"/>
      <c r="L692" s="55" t="n"/>
      <c r="M692" s="55" t="n"/>
      <c r="N692" s="55" t="n"/>
      <c r="O692" s="58" t="n"/>
      <c r="P692" s="58" t="n"/>
      <c r="Q692" s="58" t="n"/>
      <c r="R692" s="58" t="n"/>
      <c r="S692" s="59">
        <f>SUM(O692:R692)</f>
        <v/>
      </c>
      <c r="T692" s="52" t="n"/>
      <c r="U692" s="53" t="n"/>
      <c r="V692" s="58" t="n"/>
      <c r="W692" s="68" t="n"/>
      <c r="X692" s="58" t="n"/>
      <c r="Y692" s="52" t="n"/>
      <c r="Z692" s="58" t="n"/>
      <c r="AA692" s="58" t="n"/>
      <c r="AB692" s="58" t="n"/>
      <c r="AC692" s="68" t="n"/>
      <c r="AD692" s="53" t="n"/>
      <c r="AE692" s="61">
        <f>SUMIFS([1]инфо!$D$15:$D$28,[1]инфо!$A$15:$A$28,F692)</f>
        <v/>
      </c>
      <c r="AF692" s="62">
        <f>IF(H692=0,0,N692/H692)</f>
        <v/>
      </c>
      <c r="AG692" s="63">
        <f>AF692-AE692</f>
        <v/>
      </c>
      <c r="AH692" s="61">
        <f>SUMIFS([1]инфо!$E$15:$E$28,[1]инфо!$A$15:$A$28,F692)</f>
        <v/>
      </c>
      <c r="AI692" s="64">
        <f>IF(H692=0,0,S692/H692)</f>
        <v/>
      </c>
      <c r="AJ692" s="63">
        <f>AI692-AH692</f>
        <v/>
      </c>
      <c r="AK692" s="61">
        <f>SUMIFS([1]инфо!$F$15:$F$28,[1]инфо!$A$15:$A$28,F692)</f>
        <v/>
      </c>
      <c r="AL692" s="64">
        <f>IF(H692=0,0,Y692/H692)</f>
        <v/>
      </c>
      <c r="AM692" s="63">
        <f>AL692-AK692</f>
        <v/>
      </c>
      <c r="AN692" s="61">
        <f>SUMIFS([1]инфо!$G$15:$G$28,[1]инфо!$A$15:$A$28,F692)</f>
        <v/>
      </c>
      <c r="AO692" s="64">
        <f>IF(H692=0,0,AA692/H692)</f>
        <v/>
      </c>
      <c r="AP692" s="63">
        <f>AO692-AN692</f>
        <v/>
      </c>
      <c r="AQ692" s="61">
        <f>SUMIFS([1]инфо!$H$15:$H$28,[1]инфо!$A$15:$A$28,F692)</f>
        <v/>
      </c>
      <c r="AR692" s="62">
        <f>IF(H691=0,0,AC692/H691)</f>
        <v/>
      </c>
      <c r="AS692" s="63">
        <f>AR692-AQ692</f>
        <v/>
      </c>
      <c r="AT692" s="61">
        <f>SUMIFS([1]инфо!$I$15:$I$28,[1]инфо!$A$15:$A$28,F692)</f>
        <v/>
      </c>
      <c r="AU692" s="62">
        <f>IF(H692=0,0,AD692/H692)</f>
        <v/>
      </c>
      <c r="AV692" s="63">
        <f>AU692-AT692</f>
        <v/>
      </c>
      <c r="AX692" s="59">
        <f>SUMIFS([1]инфо!$C$15:$C$28,[1]инфо!$A$15:$A$28,F692)*H691</f>
        <v/>
      </c>
    </row>
    <row r="693">
      <c r="A693" s="71">
        <f>A691+1</f>
        <v/>
      </c>
      <c r="B693" s="90" t="n"/>
      <c r="C693" s="52" t="n"/>
      <c r="D693" s="53" t="n"/>
      <c r="E693" s="91" t="n"/>
      <c r="F693" s="67" t="n"/>
      <c r="G693" s="58" t="n"/>
      <c r="H693" s="56" t="n"/>
      <c r="I693" s="57">
        <f>IFERROR(H693*VLOOKUP(F693,[1]инфо!$A$15:$C$28,3,FALSE)/1000,0)</f>
        <v/>
      </c>
      <c r="J693" s="55" t="n"/>
      <c r="K693" s="55" t="n"/>
      <c r="L693" s="55" t="n"/>
      <c r="M693" s="55" t="n"/>
      <c r="N693" s="55" t="n"/>
      <c r="O693" s="58" t="n"/>
      <c r="P693" s="58" t="n"/>
      <c r="Q693" s="58" t="n"/>
      <c r="R693" s="58" t="n"/>
      <c r="S693" s="59">
        <f>SUM(O693:R693)</f>
        <v/>
      </c>
      <c r="T693" s="52" t="n"/>
      <c r="U693" s="53" t="n"/>
      <c r="V693" s="58" t="n"/>
      <c r="W693" s="68" t="n"/>
      <c r="X693" s="58" t="n"/>
      <c r="Y693" s="52" t="n"/>
      <c r="Z693" s="58" t="n"/>
      <c r="AA693" s="58" t="n"/>
      <c r="AB693" s="58" t="n"/>
      <c r="AC693" s="68" t="n"/>
      <c r="AD693" s="53" t="n"/>
      <c r="AE693" s="61">
        <f>SUMIFS([1]инфо!$D$15:$D$28,[1]инфо!$A$15:$A$28,F693)</f>
        <v/>
      </c>
      <c r="AF693" s="62">
        <f>IF(H693=0,0,N693/H693)</f>
        <v/>
      </c>
      <c r="AG693" s="63">
        <f>AF693-AE693</f>
        <v/>
      </c>
      <c r="AH693" s="61">
        <f>SUMIFS([1]инфо!$E$15:$E$28,[1]инфо!$A$15:$A$28,F693)</f>
        <v/>
      </c>
      <c r="AI693" s="64">
        <f>IF(H693=0,0,S693/H693)</f>
        <v/>
      </c>
      <c r="AJ693" s="63">
        <f>AI693-AH693</f>
        <v/>
      </c>
      <c r="AK693" s="61">
        <f>SUMIFS([1]инфо!$F$15:$F$28,[1]инфо!$A$15:$A$28,F693)</f>
        <v/>
      </c>
      <c r="AL693" s="64">
        <f>IF(H693=0,0,Y693/H693)</f>
        <v/>
      </c>
      <c r="AM693" s="63">
        <f>AL693-AK693</f>
        <v/>
      </c>
      <c r="AN693" s="61">
        <f>SUMIFS([1]инфо!$G$15:$G$28,[1]инфо!$A$15:$A$28,F693)</f>
        <v/>
      </c>
      <c r="AO693" s="64">
        <f>IF(H693=0,0,AA693/H693)</f>
        <v/>
      </c>
      <c r="AP693" s="63">
        <f>AO693-AN693</f>
        <v/>
      </c>
      <c r="AQ693" s="61">
        <f>SUMIFS([1]инфо!$H$15:$H$28,[1]инфо!$A$15:$A$28,F693)</f>
        <v/>
      </c>
      <c r="AR693" s="62">
        <f>IF(H692=0,0,AC693/H692)</f>
        <v/>
      </c>
      <c r="AS693" s="63">
        <f>AR693-AQ693</f>
        <v/>
      </c>
      <c r="AT693" s="61">
        <f>SUMIFS([1]инфо!$I$15:$I$28,[1]инфо!$A$15:$A$28,F693)</f>
        <v/>
      </c>
      <c r="AU693" s="62">
        <f>IF(H693=0,0,AD693/H693)</f>
        <v/>
      </c>
      <c r="AV693" s="63">
        <f>AU693-AT693</f>
        <v/>
      </c>
      <c r="AX693" s="59">
        <f>SUMIFS([1]инфо!$C$15:$C$28,[1]инфо!$A$15:$A$28,F693)*H692</f>
        <v/>
      </c>
    </row>
    <row r="694">
      <c r="A694" s="71">
        <f>A692+1</f>
        <v/>
      </c>
      <c r="B694" s="88" t="n"/>
      <c r="C694" s="77" t="n"/>
      <c r="D694" s="78" t="n"/>
      <c r="E694" s="91" t="n"/>
      <c r="F694" s="67" t="n"/>
      <c r="G694" s="79" t="n"/>
      <c r="H694" s="67" t="n"/>
      <c r="I694" s="57">
        <f>IFERROR(H694*VLOOKUP(F694,[1]инфо!$A$15:$C$28,3,FALSE)/1000,0)</f>
        <v/>
      </c>
      <c r="J694" s="55" t="n"/>
      <c r="K694" s="55" t="n"/>
      <c r="L694" s="55" t="n"/>
      <c r="M694" s="55" t="n"/>
      <c r="N694" s="56" t="n"/>
      <c r="O694" s="79" t="n"/>
      <c r="P694" s="79" t="n"/>
      <c r="Q694" s="79" t="n"/>
      <c r="R694" s="79" t="n"/>
      <c r="S694" s="80">
        <f>SUM(O694:R694)</f>
        <v/>
      </c>
      <c r="T694" s="77" t="n"/>
      <c r="U694" s="78" t="n"/>
      <c r="V694" s="79" t="n"/>
      <c r="W694" s="68" t="n"/>
      <c r="X694" s="79" t="n"/>
      <c r="Y694" s="77" t="n"/>
      <c r="Z694" s="79" t="n"/>
      <c r="AA694" s="79" t="n"/>
      <c r="AB694" s="79" t="n"/>
      <c r="AC694" s="68" t="n"/>
      <c r="AD694" s="78" t="n"/>
      <c r="AE694" s="81">
        <f>SUMIFS([1]инфо!$D$15:$D$28,[1]инфо!$A$15:$A$28,F694)</f>
        <v/>
      </c>
      <c r="AF694" s="62">
        <f>IF(H694=0,0,N694/H694)</f>
        <v/>
      </c>
      <c r="AG694" s="82">
        <f>AF694-AE694</f>
        <v/>
      </c>
      <c r="AH694" s="81">
        <f>SUMIFS([1]инфо!$E$15:$E$28,[1]инфо!$A$15:$A$28,F694)</f>
        <v/>
      </c>
      <c r="AI694" s="64">
        <f>IF(H694=0,0,S694/H694)</f>
        <v/>
      </c>
      <c r="AJ694" s="82">
        <f>AI694-AH694</f>
        <v/>
      </c>
      <c r="AK694" s="81">
        <f>SUMIFS([1]инфо!$F$15:$F$28,[1]инфо!$A$15:$A$28,F694)</f>
        <v/>
      </c>
      <c r="AL694" s="64">
        <f>IF(H694=0,0,Y694/H694)</f>
        <v/>
      </c>
      <c r="AM694" s="82">
        <f>AL694-AK694</f>
        <v/>
      </c>
      <c r="AN694" s="81">
        <f>SUMIFS([1]инфо!$G$15:$G$28,[1]инфо!$A$15:$A$28,F694)</f>
        <v/>
      </c>
      <c r="AO694" s="64">
        <f>IF(H694=0,0,AA694/H694)</f>
        <v/>
      </c>
      <c r="AP694" s="82">
        <f>AO694-AN694</f>
        <v/>
      </c>
      <c r="AQ694" s="81">
        <f>SUMIFS([1]инфо!$H$15:$H$28,[1]инфо!$A$15:$A$28,F694)</f>
        <v/>
      </c>
      <c r="AR694" s="85">
        <f>IF(H693=0,0,AC694/H693)</f>
        <v/>
      </c>
      <c r="AS694" s="82">
        <f>AR694-AQ694</f>
        <v/>
      </c>
      <c r="AT694" s="81">
        <f>SUMIFS([1]инфо!$I$15:$I$28,[1]инфо!$A$15:$A$28,F694)</f>
        <v/>
      </c>
      <c r="AU694" s="62">
        <f>IF(H694=0,0,AD694/H694)</f>
        <v/>
      </c>
      <c r="AV694" s="82">
        <f>AU694-AT694</f>
        <v/>
      </c>
      <c r="AX694" s="80">
        <f>SUMIFS([1]инфо!$C$15:$C$28,[1]инфо!$A$15:$A$28,F694)*H693</f>
        <v/>
      </c>
    </row>
    <row r="695">
      <c r="A695" s="71">
        <f>A693+1</f>
        <v/>
      </c>
      <c r="B695" s="89" t="n"/>
      <c r="C695" s="72" t="n"/>
      <c r="D695" s="73" t="n"/>
      <c r="E695" s="91" t="n"/>
      <c r="F695" s="67" t="n"/>
      <c r="G695" s="74" t="n"/>
      <c r="H695" s="55" t="n"/>
      <c r="I695" s="57">
        <f>IFERROR(H695*VLOOKUP(F695,[1]инфо!$A$15:$C$28,3,FALSE)/1000,0)</f>
        <v/>
      </c>
      <c r="J695" s="55" t="n"/>
      <c r="K695" s="55" t="n"/>
      <c r="L695" s="55" t="n"/>
      <c r="M695" s="55" t="n"/>
      <c r="N695" s="67" t="n"/>
      <c r="O695" s="74" t="n"/>
      <c r="P695" s="74" t="n"/>
      <c r="Q695" s="74" t="n"/>
      <c r="R695" s="74" t="n"/>
      <c r="S695" s="70">
        <f>SUM(O695:R695)</f>
        <v/>
      </c>
      <c r="T695" s="72" t="n"/>
      <c r="U695" s="73" t="n"/>
      <c r="V695" s="74" t="n"/>
      <c r="W695" s="68" t="n"/>
      <c r="X695" s="74" t="n"/>
      <c r="Y695" s="72" t="n"/>
      <c r="Z695" s="74" t="n"/>
      <c r="AA695" s="74" t="n"/>
      <c r="AB695" s="74" t="n"/>
      <c r="AC695" s="68" t="n"/>
      <c r="AD695" s="73" t="n"/>
      <c r="AE695" s="75">
        <f>SUMIFS([1]инфо!$D$15:$D$28,[1]инфо!$A$15:$A$28,F695)</f>
        <v/>
      </c>
      <c r="AF695" s="62">
        <f>IF(H695=0,0,N695/H695)</f>
        <v/>
      </c>
      <c r="AG695" s="76">
        <f>AF695-AE695</f>
        <v/>
      </c>
      <c r="AH695" s="75">
        <f>SUMIFS([1]инфо!$E$15:$E$28,[1]инфо!$A$15:$A$28,F695)</f>
        <v/>
      </c>
      <c r="AI695" s="64">
        <f>IF(H695=0,0,S695/H695)</f>
        <v/>
      </c>
      <c r="AJ695" s="76">
        <f>AI695-AH695</f>
        <v/>
      </c>
      <c r="AK695" s="75">
        <f>SUMIFS([1]инфо!$F$15:$F$28,[1]инфо!$A$15:$A$28,F695)</f>
        <v/>
      </c>
      <c r="AL695" s="64">
        <f>IF(H695=0,0,Y695/H695)</f>
        <v/>
      </c>
      <c r="AM695" s="76">
        <f>AL695-AK695</f>
        <v/>
      </c>
      <c r="AN695" s="75">
        <f>SUMIFS([1]инфо!$G$15:$G$28,[1]инфо!$A$15:$A$28,F695)</f>
        <v/>
      </c>
      <c r="AO695" s="64">
        <f>IF(H695=0,0,AA695/H695)</f>
        <v/>
      </c>
      <c r="AP695" s="76">
        <f>AO695-AN695</f>
        <v/>
      </c>
      <c r="AQ695" s="75">
        <f>SUMIFS([1]инфо!$H$15:$H$28,[1]инфо!$A$15:$A$28,F695)</f>
        <v/>
      </c>
      <c r="AR695" s="64">
        <f>IF(H694=0,0,AC695/H694)</f>
        <v/>
      </c>
      <c r="AS695" s="76">
        <f>AR695-AQ695</f>
        <v/>
      </c>
      <c r="AT695" s="75">
        <f>SUMIFS([1]инфо!$I$15:$I$28,[1]инфо!$A$15:$A$28,F695)</f>
        <v/>
      </c>
      <c r="AU695" s="62">
        <f>IF(H695=0,0,AD695/H695)</f>
        <v/>
      </c>
      <c r="AV695" s="76">
        <f>AU695-AT695</f>
        <v/>
      </c>
      <c r="AX695" s="70">
        <f>SUMIFS([1]инфо!$C$15:$C$28,[1]инфо!$A$15:$A$28,F695)*H694</f>
        <v/>
      </c>
    </row>
    <row r="696">
      <c r="A696" s="71">
        <f>A694+1</f>
        <v/>
      </c>
      <c r="B696" s="90" t="n"/>
      <c r="C696" s="52" t="n"/>
      <c r="D696" s="53" t="n"/>
      <c r="E696" s="91" t="n"/>
      <c r="F696" s="67" t="n"/>
      <c r="G696" s="58" t="n"/>
      <c r="H696" s="55" t="n"/>
      <c r="I696" s="57">
        <f>IFERROR(H696*VLOOKUP(F696,[1]инфо!$A$15:$C$28,3,FALSE)/1000,0)</f>
        <v/>
      </c>
      <c r="J696" s="55" t="n"/>
      <c r="K696" s="55" t="n"/>
      <c r="L696" s="55" t="n"/>
      <c r="M696" s="55" t="n"/>
      <c r="N696" s="55" t="n"/>
      <c r="O696" s="58" t="n"/>
      <c r="P696" s="58" t="n"/>
      <c r="Q696" s="58" t="n"/>
      <c r="R696" s="58" t="n"/>
      <c r="S696" s="59">
        <f>SUM(O696:R696)</f>
        <v/>
      </c>
      <c r="T696" s="52" t="n"/>
      <c r="U696" s="53" t="n"/>
      <c r="V696" s="58" t="n"/>
      <c r="W696" s="68" t="n"/>
      <c r="X696" s="58" t="n"/>
      <c r="Y696" s="52" t="n"/>
      <c r="Z696" s="58" t="n"/>
      <c r="AA696" s="58" t="n"/>
      <c r="AB696" s="58" t="n"/>
      <c r="AC696" s="68" t="n"/>
      <c r="AD696" s="53" t="n"/>
      <c r="AE696" s="61">
        <f>SUMIFS([1]инфо!$D$15:$D$28,[1]инфо!$A$15:$A$28,F696)</f>
        <v/>
      </c>
      <c r="AF696" s="62">
        <f>IF(H696=0,0,N696/H696)</f>
        <v/>
      </c>
      <c r="AG696" s="63">
        <f>AF696-AE696</f>
        <v/>
      </c>
      <c r="AH696" s="61">
        <f>SUMIFS([1]инфо!$E$15:$E$28,[1]инфо!$A$15:$A$28,F696)</f>
        <v/>
      </c>
      <c r="AI696" s="64">
        <f>IF(H696=0,0,S696/H696)</f>
        <v/>
      </c>
      <c r="AJ696" s="63">
        <f>AI696-AH696</f>
        <v/>
      </c>
      <c r="AK696" s="61">
        <f>SUMIFS([1]инфо!$F$15:$F$28,[1]инфо!$A$15:$A$28,F696)</f>
        <v/>
      </c>
      <c r="AL696" s="64">
        <f>IF(H696=0,0,Y696/H696)</f>
        <v/>
      </c>
      <c r="AM696" s="63">
        <f>AL696-AK696</f>
        <v/>
      </c>
      <c r="AN696" s="61">
        <f>SUMIFS([1]инфо!$G$15:$G$28,[1]инфо!$A$15:$A$28,F696)</f>
        <v/>
      </c>
      <c r="AO696" s="64">
        <f>IF(H696=0,0,AA696/H696)</f>
        <v/>
      </c>
      <c r="AP696" s="63">
        <f>AO696-AN696</f>
        <v/>
      </c>
      <c r="AQ696" s="61">
        <f>SUMIFS([1]инфо!$H$15:$H$28,[1]инфо!$A$15:$A$28,F696)</f>
        <v/>
      </c>
      <c r="AR696" s="62">
        <f>IF(H695=0,0,AC696/H695)</f>
        <v/>
      </c>
      <c r="AS696" s="63">
        <f>AR696-AQ696</f>
        <v/>
      </c>
      <c r="AT696" s="61">
        <f>SUMIFS([1]инфо!$I$15:$I$28,[1]инфо!$A$15:$A$28,F696)</f>
        <v/>
      </c>
      <c r="AU696" s="62">
        <f>IF(H696=0,0,AD696/H696)</f>
        <v/>
      </c>
      <c r="AV696" s="63">
        <f>AU696-AT696</f>
        <v/>
      </c>
      <c r="AX696" s="59">
        <f>SUMIFS([1]инфо!$C$15:$C$28,[1]инфо!$A$15:$A$28,F696)*H695</f>
        <v/>
      </c>
    </row>
    <row r="697">
      <c r="A697" s="71">
        <f>A695+1</f>
        <v/>
      </c>
      <c r="B697" s="90" t="n"/>
      <c r="C697" s="52" t="n"/>
      <c r="D697" s="53" t="n"/>
      <c r="E697" s="91" t="n"/>
      <c r="F697" s="67" t="n"/>
      <c r="G697" s="58" t="n"/>
      <c r="H697" s="56" t="n"/>
      <c r="I697" s="57">
        <f>IFERROR(H697*VLOOKUP(F697,[1]инфо!$A$15:$C$28,3,FALSE)/1000,0)</f>
        <v/>
      </c>
      <c r="J697" s="55" t="n"/>
      <c r="K697" s="55" t="n"/>
      <c r="L697" s="55" t="n"/>
      <c r="M697" s="55" t="n"/>
      <c r="N697" s="55" t="n"/>
      <c r="O697" s="58" t="n"/>
      <c r="P697" s="58" t="n"/>
      <c r="Q697" s="58" t="n"/>
      <c r="R697" s="58" t="n"/>
      <c r="S697" s="59">
        <f>SUM(O697:R697)</f>
        <v/>
      </c>
      <c r="T697" s="52" t="n"/>
      <c r="U697" s="53" t="n"/>
      <c r="V697" s="58" t="n"/>
      <c r="W697" s="68" t="n"/>
      <c r="X697" s="58" t="n"/>
      <c r="Y697" s="52" t="n"/>
      <c r="Z697" s="58" t="n"/>
      <c r="AA697" s="58" t="n"/>
      <c r="AB697" s="58" t="n"/>
      <c r="AC697" s="68" t="n"/>
      <c r="AD697" s="53" t="n"/>
      <c r="AE697" s="61">
        <f>SUMIFS([1]инфо!$D$15:$D$28,[1]инфо!$A$15:$A$28,F697)</f>
        <v/>
      </c>
      <c r="AF697" s="62">
        <f>IF(H697=0,0,N697/H697)</f>
        <v/>
      </c>
      <c r="AG697" s="63">
        <f>AF697-AE697</f>
        <v/>
      </c>
      <c r="AH697" s="61">
        <f>SUMIFS([1]инфо!$E$15:$E$28,[1]инфо!$A$15:$A$28,F697)</f>
        <v/>
      </c>
      <c r="AI697" s="64">
        <f>IF(H697=0,0,S697/H697)</f>
        <v/>
      </c>
      <c r="AJ697" s="63">
        <f>AI697-AH697</f>
        <v/>
      </c>
      <c r="AK697" s="61">
        <f>SUMIFS([1]инфо!$F$15:$F$28,[1]инфо!$A$15:$A$28,F697)</f>
        <v/>
      </c>
      <c r="AL697" s="64">
        <f>IF(H697=0,0,Y697/H697)</f>
        <v/>
      </c>
      <c r="AM697" s="63">
        <f>AL697-AK697</f>
        <v/>
      </c>
      <c r="AN697" s="61">
        <f>SUMIFS([1]инфо!$G$15:$G$28,[1]инфо!$A$15:$A$28,F697)</f>
        <v/>
      </c>
      <c r="AO697" s="64">
        <f>IF(H697=0,0,AA697/H697)</f>
        <v/>
      </c>
      <c r="AP697" s="63">
        <f>AO697-AN697</f>
        <v/>
      </c>
      <c r="AQ697" s="61">
        <f>SUMIFS([1]инфо!$H$15:$H$28,[1]инфо!$A$15:$A$28,F697)</f>
        <v/>
      </c>
      <c r="AR697" s="62">
        <f>IF(H696=0,0,AC697/H696)</f>
        <v/>
      </c>
      <c r="AS697" s="63">
        <f>AR697-AQ697</f>
        <v/>
      </c>
      <c r="AT697" s="61">
        <f>SUMIFS([1]инфо!$I$15:$I$28,[1]инфо!$A$15:$A$28,F697)</f>
        <v/>
      </c>
      <c r="AU697" s="62">
        <f>IF(H697=0,0,AD697/H697)</f>
        <v/>
      </c>
      <c r="AV697" s="63">
        <f>AU697-AT697</f>
        <v/>
      </c>
      <c r="AX697" s="59">
        <f>SUMIFS([1]инфо!$C$15:$C$28,[1]инфо!$A$15:$A$28,F697)*H696</f>
        <v/>
      </c>
    </row>
    <row r="698">
      <c r="A698" s="71">
        <f>A696+1</f>
        <v/>
      </c>
      <c r="B698" s="88" t="n"/>
      <c r="C698" s="77" t="n"/>
      <c r="D698" s="78" t="n"/>
      <c r="E698" s="91" t="n"/>
      <c r="F698" s="67" t="n"/>
      <c r="G698" s="79" t="n"/>
      <c r="H698" s="67" t="n"/>
      <c r="I698" s="57">
        <f>IFERROR(H698*VLOOKUP(F698,[1]инфо!$A$15:$C$28,3,FALSE)/1000,0)</f>
        <v/>
      </c>
      <c r="J698" s="55" t="n"/>
      <c r="K698" s="55" t="n"/>
      <c r="L698" s="55" t="n"/>
      <c r="M698" s="55" t="n"/>
      <c r="N698" s="56" t="n"/>
      <c r="O698" s="79" t="n"/>
      <c r="P698" s="79" t="n"/>
      <c r="Q698" s="79" t="n"/>
      <c r="R698" s="79" t="n"/>
      <c r="S698" s="80">
        <f>SUM(O698:R698)</f>
        <v/>
      </c>
      <c r="T698" s="77" t="n"/>
      <c r="U698" s="78" t="n"/>
      <c r="V698" s="79" t="n"/>
      <c r="W698" s="68" t="n"/>
      <c r="X698" s="79" t="n"/>
      <c r="Y698" s="77" t="n"/>
      <c r="Z698" s="79" t="n"/>
      <c r="AA698" s="79" t="n"/>
      <c r="AB698" s="79" t="n"/>
      <c r="AC698" s="68" t="n"/>
      <c r="AD698" s="78" t="n"/>
      <c r="AE698" s="81">
        <f>SUMIFS([1]инфо!$D$15:$D$28,[1]инфо!$A$15:$A$28,F698)</f>
        <v/>
      </c>
      <c r="AF698" s="62">
        <f>IF(H698=0,0,N698/H698)</f>
        <v/>
      </c>
      <c r="AG698" s="82">
        <f>AF698-AE698</f>
        <v/>
      </c>
      <c r="AH698" s="81">
        <f>SUMIFS([1]инфо!$E$15:$E$28,[1]инфо!$A$15:$A$28,F698)</f>
        <v/>
      </c>
      <c r="AI698" s="64">
        <f>IF(H698=0,0,S698/H698)</f>
        <v/>
      </c>
      <c r="AJ698" s="82">
        <f>AI698-AH698</f>
        <v/>
      </c>
      <c r="AK698" s="81">
        <f>SUMIFS([1]инфо!$F$15:$F$28,[1]инфо!$A$15:$A$28,F698)</f>
        <v/>
      </c>
      <c r="AL698" s="64">
        <f>IF(H698=0,0,Y698/H698)</f>
        <v/>
      </c>
      <c r="AM698" s="82">
        <f>AL698-AK698</f>
        <v/>
      </c>
      <c r="AN698" s="81">
        <f>SUMIFS([1]инфо!$G$15:$G$28,[1]инфо!$A$15:$A$28,F698)</f>
        <v/>
      </c>
      <c r="AO698" s="64">
        <f>IF(H698=0,0,AA698/H698)</f>
        <v/>
      </c>
      <c r="AP698" s="82">
        <f>AO698-AN698</f>
        <v/>
      </c>
      <c r="AQ698" s="81">
        <f>SUMIFS([1]инфо!$H$15:$H$28,[1]инфо!$A$15:$A$28,F698)</f>
        <v/>
      </c>
      <c r="AR698" s="85">
        <f>IF(H697=0,0,AC698/H697)</f>
        <v/>
      </c>
      <c r="AS698" s="82">
        <f>AR698-AQ698</f>
        <v/>
      </c>
      <c r="AT698" s="81">
        <f>SUMIFS([1]инфо!$I$15:$I$28,[1]инфо!$A$15:$A$28,F698)</f>
        <v/>
      </c>
      <c r="AU698" s="62">
        <f>IF(H698=0,0,AD698/H698)</f>
        <v/>
      </c>
      <c r="AV698" s="82">
        <f>AU698-AT698</f>
        <v/>
      </c>
      <c r="AX698" s="80">
        <f>SUMIFS([1]инфо!$C$15:$C$28,[1]инфо!$A$15:$A$28,F698)*H697</f>
        <v/>
      </c>
    </row>
    <row r="699">
      <c r="A699" s="71">
        <f>A697+1</f>
        <v/>
      </c>
      <c r="B699" s="89" t="n"/>
      <c r="C699" s="72" t="n"/>
      <c r="D699" s="73" t="n"/>
      <c r="E699" s="91" t="n"/>
      <c r="F699" s="67" t="n"/>
      <c r="G699" s="74" t="n"/>
      <c r="H699" s="55" t="n"/>
      <c r="I699" s="57">
        <f>IFERROR(H699*VLOOKUP(F699,[1]инфо!$A$15:$C$28,3,FALSE)/1000,0)</f>
        <v/>
      </c>
      <c r="J699" s="55" t="n"/>
      <c r="K699" s="55" t="n"/>
      <c r="L699" s="55" t="n"/>
      <c r="M699" s="55" t="n"/>
      <c r="N699" s="67" t="n"/>
      <c r="O699" s="74" t="n"/>
      <c r="P699" s="74" t="n"/>
      <c r="Q699" s="74" t="n"/>
      <c r="R699" s="74" t="n"/>
      <c r="S699" s="70">
        <f>SUM(O699:R699)</f>
        <v/>
      </c>
      <c r="T699" s="72" t="n"/>
      <c r="U699" s="73" t="n"/>
      <c r="V699" s="74" t="n"/>
      <c r="W699" s="68" t="n"/>
      <c r="X699" s="74" t="n"/>
      <c r="Y699" s="72" t="n"/>
      <c r="Z699" s="74" t="n"/>
      <c r="AA699" s="74" t="n"/>
      <c r="AB699" s="74" t="n"/>
      <c r="AC699" s="68" t="n"/>
      <c r="AD699" s="73" t="n"/>
      <c r="AE699" s="75">
        <f>SUMIFS([1]инфо!$D$15:$D$28,[1]инфо!$A$15:$A$28,F699)</f>
        <v/>
      </c>
      <c r="AF699" s="62">
        <f>IF(H699=0,0,N699/H699)</f>
        <v/>
      </c>
      <c r="AG699" s="76">
        <f>AF699-AE699</f>
        <v/>
      </c>
      <c r="AH699" s="75">
        <f>SUMIFS([1]инфо!$E$15:$E$28,[1]инфо!$A$15:$A$28,F699)</f>
        <v/>
      </c>
      <c r="AI699" s="64">
        <f>IF(H699=0,0,S699/H699)</f>
        <v/>
      </c>
      <c r="AJ699" s="76">
        <f>AI699-AH699</f>
        <v/>
      </c>
      <c r="AK699" s="75">
        <f>SUMIFS([1]инфо!$F$15:$F$28,[1]инфо!$A$15:$A$28,F699)</f>
        <v/>
      </c>
      <c r="AL699" s="64">
        <f>IF(H699=0,0,Y699/H699)</f>
        <v/>
      </c>
      <c r="AM699" s="76">
        <f>AL699-AK699</f>
        <v/>
      </c>
      <c r="AN699" s="75">
        <f>SUMIFS([1]инфо!$G$15:$G$28,[1]инфо!$A$15:$A$28,F699)</f>
        <v/>
      </c>
      <c r="AO699" s="64">
        <f>IF(H699=0,0,AA699/H699)</f>
        <v/>
      </c>
      <c r="AP699" s="76">
        <f>AO699-AN699</f>
        <v/>
      </c>
      <c r="AQ699" s="75">
        <f>SUMIFS([1]инфо!$H$15:$H$28,[1]инфо!$A$15:$A$28,F699)</f>
        <v/>
      </c>
      <c r="AR699" s="64">
        <f>IF(H698=0,0,AC699/H698)</f>
        <v/>
      </c>
      <c r="AS699" s="76">
        <f>AR699-AQ699</f>
        <v/>
      </c>
      <c r="AT699" s="75">
        <f>SUMIFS([1]инфо!$I$15:$I$28,[1]инфо!$A$15:$A$28,F699)</f>
        <v/>
      </c>
      <c r="AU699" s="62">
        <f>IF(H699=0,0,AD699/H699)</f>
        <v/>
      </c>
      <c r="AV699" s="76">
        <f>AU699-AT699</f>
        <v/>
      </c>
      <c r="AX699" s="70">
        <f>SUMIFS([1]инфо!$C$15:$C$28,[1]инфо!$A$15:$A$28,F699)*H698</f>
        <v/>
      </c>
    </row>
    <row r="700">
      <c r="A700" s="71">
        <f>A698+1</f>
        <v/>
      </c>
      <c r="B700" s="90" t="n"/>
      <c r="C700" s="52" t="n"/>
      <c r="D700" s="53" t="n"/>
      <c r="E700" s="91" t="n"/>
      <c r="F700" s="67" t="n"/>
      <c r="G700" s="58" t="n"/>
      <c r="H700" s="55" t="n"/>
      <c r="I700" s="57">
        <f>IFERROR(H700*VLOOKUP(F700,[1]инфо!$A$15:$C$28,3,FALSE)/1000,0)</f>
        <v/>
      </c>
      <c r="J700" s="55" t="n"/>
      <c r="K700" s="55" t="n"/>
      <c r="L700" s="55" t="n"/>
      <c r="M700" s="55" t="n"/>
      <c r="N700" s="55" t="n"/>
      <c r="O700" s="58" t="n"/>
      <c r="P700" s="58" t="n"/>
      <c r="Q700" s="58" t="n"/>
      <c r="R700" s="58" t="n"/>
      <c r="S700" s="59">
        <f>SUM(O700:R700)</f>
        <v/>
      </c>
      <c r="T700" s="52" t="n"/>
      <c r="U700" s="53" t="n"/>
      <c r="V700" s="58" t="n"/>
      <c r="W700" s="68" t="n"/>
      <c r="X700" s="58" t="n"/>
      <c r="Y700" s="52" t="n"/>
      <c r="Z700" s="58" t="n"/>
      <c r="AA700" s="58" t="n"/>
      <c r="AB700" s="58" t="n"/>
      <c r="AC700" s="68" t="n"/>
      <c r="AD700" s="53" t="n"/>
      <c r="AE700" s="61">
        <f>SUMIFS([1]инфо!$D$15:$D$28,[1]инфо!$A$15:$A$28,F700)</f>
        <v/>
      </c>
      <c r="AF700" s="62">
        <f>IF(H700=0,0,N700/H700)</f>
        <v/>
      </c>
      <c r="AG700" s="63">
        <f>AF700-AE700</f>
        <v/>
      </c>
      <c r="AH700" s="61">
        <f>SUMIFS([1]инфо!$E$15:$E$28,[1]инфо!$A$15:$A$28,F700)</f>
        <v/>
      </c>
      <c r="AI700" s="64">
        <f>IF(H700=0,0,S700/H700)</f>
        <v/>
      </c>
      <c r="AJ700" s="63">
        <f>AI700-AH700</f>
        <v/>
      </c>
      <c r="AK700" s="61">
        <f>SUMIFS([1]инфо!$F$15:$F$28,[1]инфо!$A$15:$A$28,F700)</f>
        <v/>
      </c>
      <c r="AL700" s="64">
        <f>IF(H700=0,0,Y700/H700)</f>
        <v/>
      </c>
      <c r="AM700" s="63">
        <f>AL700-AK700</f>
        <v/>
      </c>
      <c r="AN700" s="61">
        <f>SUMIFS([1]инфо!$G$15:$G$28,[1]инфо!$A$15:$A$28,F700)</f>
        <v/>
      </c>
      <c r="AO700" s="64">
        <f>IF(H700=0,0,AA700/H700)</f>
        <v/>
      </c>
      <c r="AP700" s="63">
        <f>AO700-AN700</f>
        <v/>
      </c>
      <c r="AQ700" s="61">
        <f>SUMIFS([1]инфо!$H$15:$H$28,[1]инфо!$A$15:$A$28,F700)</f>
        <v/>
      </c>
      <c r="AR700" s="62">
        <f>IF(H699=0,0,AC700/H699)</f>
        <v/>
      </c>
      <c r="AS700" s="63">
        <f>AR700-AQ700</f>
        <v/>
      </c>
      <c r="AT700" s="61">
        <f>SUMIFS([1]инфо!$I$15:$I$28,[1]инфо!$A$15:$A$28,F700)</f>
        <v/>
      </c>
      <c r="AU700" s="62">
        <f>IF(H700=0,0,AD700/H700)</f>
        <v/>
      </c>
      <c r="AV700" s="63">
        <f>AU700-AT700</f>
        <v/>
      </c>
      <c r="AX700" s="59">
        <f>SUMIFS([1]инфо!$C$15:$C$28,[1]инфо!$A$15:$A$28,F700)*H699</f>
        <v/>
      </c>
    </row>
    <row r="701">
      <c r="A701" s="71">
        <f>A699+1</f>
        <v/>
      </c>
      <c r="B701" s="90" t="n"/>
      <c r="C701" s="52" t="n"/>
      <c r="D701" s="53" t="n"/>
      <c r="E701" s="91" t="n"/>
      <c r="F701" s="67" t="n"/>
      <c r="G701" s="58" t="n"/>
      <c r="H701" s="56" t="n"/>
      <c r="I701" s="57">
        <f>IFERROR(H701*VLOOKUP(F701,[1]инфо!$A$15:$C$28,3,FALSE)/1000,0)</f>
        <v/>
      </c>
      <c r="J701" s="55" t="n"/>
      <c r="K701" s="55" t="n"/>
      <c r="L701" s="55" t="n"/>
      <c r="M701" s="55" t="n"/>
      <c r="N701" s="55" t="n"/>
      <c r="O701" s="58" t="n"/>
      <c r="P701" s="58" t="n"/>
      <c r="Q701" s="58" t="n"/>
      <c r="R701" s="58" t="n"/>
      <c r="S701" s="59">
        <f>SUM(O701:R701)</f>
        <v/>
      </c>
      <c r="T701" s="52" t="n"/>
      <c r="U701" s="53" t="n"/>
      <c r="V701" s="58" t="n"/>
      <c r="W701" s="68" t="n"/>
      <c r="X701" s="58" t="n"/>
      <c r="Y701" s="52" t="n"/>
      <c r="Z701" s="58" t="n"/>
      <c r="AA701" s="58" t="n"/>
      <c r="AB701" s="58" t="n"/>
      <c r="AC701" s="68" t="n"/>
      <c r="AD701" s="53" t="n"/>
      <c r="AE701" s="61">
        <f>SUMIFS([1]инфо!$D$15:$D$28,[1]инфо!$A$15:$A$28,F701)</f>
        <v/>
      </c>
      <c r="AF701" s="62">
        <f>IF(H701=0,0,N701/H701)</f>
        <v/>
      </c>
      <c r="AG701" s="63">
        <f>AF701-AE701</f>
        <v/>
      </c>
      <c r="AH701" s="61">
        <f>SUMIFS([1]инфо!$E$15:$E$28,[1]инфо!$A$15:$A$28,F701)</f>
        <v/>
      </c>
      <c r="AI701" s="64">
        <f>IF(H701=0,0,S701/H701)</f>
        <v/>
      </c>
      <c r="AJ701" s="63">
        <f>AI701-AH701</f>
        <v/>
      </c>
      <c r="AK701" s="61">
        <f>SUMIFS([1]инфо!$F$15:$F$28,[1]инфо!$A$15:$A$28,F701)</f>
        <v/>
      </c>
      <c r="AL701" s="64">
        <f>IF(H701=0,0,Y701/H701)</f>
        <v/>
      </c>
      <c r="AM701" s="63">
        <f>AL701-AK701</f>
        <v/>
      </c>
      <c r="AN701" s="61">
        <f>SUMIFS([1]инфо!$G$15:$G$28,[1]инфо!$A$15:$A$28,F701)</f>
        <v/>
      </c>
      <c r="AO701" s="64">
        <f>IF(H701=0,0,AA701/H701)</f>
        <v/>
      </c>
      <c r="AP701" s="63">
        <f>AO701-AN701</f>
        <v/>
      </c>
      <c r="AQ701" s="61">
        <f>SUMIFS([1]инфо!$H$15:$H$28,[1]инфо!$A$15:$A$28,F701)</f>
        <v/>
      </c>
      <c r="AR701" s="62">
        <f>IF(H700=0,0,AC701/H700)</f>
        <v/>
      </c>
      <c r="AS701" s="63">
        <f>AR701-AQ701</f>
        <v/>
      </c>
      <c r="AT701" s="61">
        <f>SUMIFS([1]инфо!$I$15:$I$28,[1]инфо!$A$15:$A$28,F701)</f>
        <v/>
      </c>
      <c r="AU701" s="62">
        <f>IF(H701=0,0,AD701/H701)</f>
        <v/>
      </c>
      <c r="AV701" s="63">
        <f>AU701-AT701</f>
        <v/>
      </c>
      <c r="AX701" s="59">
        <f>SUMIFS([1]инфо!$C$15:$C$28,[1]инфо!$A$15:$A$28,F701)*H700</f>
        <v/>
      </c>
    </row>
    <row r="702">
      <c r="A702" s="71">
        <f>A700+1</f>
        <v/>
      </c>
      <c r="B702" s="88" t="n"/>
      <c r="C702" s="77" t="n"/>
      <c r="D702" s="78" t="n"/>
      <c r="E702" s="91" t="n"/>
      <c r="F702" s="67" t="n"/>
      <c r="G702" s="79" t="n"/>
      <c r="H702" s="67" t="n"/>
      <c r="I702" s="57">
        <f>IFERROR(H702*VLOOKUP(F702,[1]инфо!$A$15:$C$28,3,FALSE)/1000,0)</f>
        <v/>
      </c>
      <c r="J702" s="55" t="n"/>
      <c r="K702" s="55" t="n"/>
      <c r="L702" s="55" t="n"/>
      <c r="M702" s="55" t="n"/>
      <c r="N702" s="56" t="n"/>
      <c r="O702" s="79" t="n"/>
      <c r="P702" s="79" t="n"/>
      <c r="Q702" s="79" t="n"/>
      <c r="R702" s="79" t="n"/>
      <c r="S702" s="80">
        <f>SUM(O702:R702)</f>
        <v/>
      </c>
      <c r="T702" s="77" t="n"/>
      <c r="U702" s="78" t="n"/>
      <c r="V702" s="79" t="n"/>
      <c r="W702" s="68" t="n"/>
      <c r="X702" s="79" t="n"/>
      <c r="Y702" s="77" t="n"/>
      <c r="Z702" s="79" t="n"/>
      <c r="AA702" s="79" t="n"/>
      <c r="AB702" s="79" t="n"/>
      <c r="AC702" s="68" t="n"/>
      <c r="AD702" s="78" t="n"/>
      <c r="AE702" s="81">
        <f>SUMIFS([1]инфо!$D$15:$D$28,[1]инфо!$A$15:$A$28,F702)</f>
        <v/>
      </c>
      <c r="AF702" s="62">
        <f>IF(H702=0,0,N702/H702)</f>
        <v/>
      </c>
      <c r="AG702" s="82">
        <f>AF702-AE702</f>
        <v/>
      </c>
      <c r="AH702" s="81">
        <f>SUMIFS([1]инфо!$E$15:$E$28,[1]инфо!$A$15:$A$28,F702)</f>
        <v/>
      </c>
      <c r="AI702" s="64">
        <f>IF(H702=0,0,S702/H702)</f>
        <v/>
      </c>
      <c r="AJ702" s="82">
        <f>AI702-AH702</f>
        <v/>
      </c>
      <c r="AK702" s="81">
        <f>SUMIFS([1]инфо!$F$15:$F$28,[1]инфо!$A$15:$A$28,F702)</f>
        <v/>
      </c>
      <c r="AL702" s="64">
        <f>IF(H702=0,0,Y702/H702)</f>
        <v/>
      </c>
      <c r="AM702" s="82">
        <f>AL702-AK702</f>
        <v/>
      </c>
      <c r="AN702" s="81">
        <f>SUMIFS([1]инфо!$G$15:$G$28,[1]инфо!$A$15:$A$28,F702)</f>
        <v/>
      </c>
      <c r="AO702" s="64">
        <f>IF(H702=0,0,AA702/H702)</f>
        <v/>
      </c>
      <c r="AP702" s="82">
        <f>AO702-AN702</f>
        <v/>
      </c>
      <c r="AQ702" s="81">
        <f>SUMIFS([1]инфо!$H$15:$H$28,[1]инфо!$A$15:$A$28,F702)</f>
        <v/>
      </c>
      <c r="AR702" s="85">
        <f>IF(H701=0,0,AC702/H701)</f>
        <v/>
      </c>
      <c r="AS702" s="82">
        <f>AR702-AQ702</f>
        <v/>
      </c>
      <c r="AT702" s="81">
        <f>SUMIFS([1]инфо!$I$15:$I$28,[1]инфо!$A$15:$A$28,F702)</f>
        <v/>
      </c>
      <c r="AU702" s="62">
        <f>IF(H702=0,0,AD702/H702)</f>
        <v/>
      </c>
      <c r="AV702" s="82">
        <f>AU702-AT702</f>
        <v/>
      </c>
      <c r="AX702" s="80">
        <f>SUMIFS([1]инфо!$C$15:$C$28,[1]инфо!$A$15:$A$28,F702)*H701</f>
        <v/>
      </c>
    </row>
    <row r="703">
      <c r="A703" s="71">
        <f>A701+1</f>
        <v/>
      </c>
      <c r="B703" s="89" t="n"/>
      <c r="C703" s="72" t="n"/>
      <c r="D703" s="73" t="n"/>
      <c r="E703" s="91" t="n"/>
      <c r="F703" s="67" t="n"/>
      <c r="G703" s="74" t="n"/>
      <c r="H703" s="55" t="n"/>
      <c r="I703" s="57">
        <f>IFERROR(H703*VLOOKUP(F703,[1]инфо!$A$15:$C$28,3,FALSE)/1000,0)</f>
        <v/>
      </c>
      <c r="J703" s="55" t="n"/>
      <c r="K703" s="55" t="n"/>
      <c r="L703" s="55" t="n"/>
      <c r="M703" s="55" t="n"/>
      <c r="N703" s="67" t="n"/>
      <c r="O703" s="74" t="n"/>
      <c r="P703" s="74" t="n"/>
      <c r="Q703" s="74" t="n"/>
      <c r="R703" s="74" t="n"/>
      <c r="S703" s="70">
        <f>SUM(O703:R703)</f>
        <v/>
      </c>
      <c r="T703" s="72" t="n"/>
      <c r="U703" s="73" t="n"/>
      <c r="V703" s="74" t="n"/>
      <c r="W703" s="68" t="n"/>
      <c r="X703" s="74" t="n"/>
      <c r="Y703" s="72" t="n"/>
      <c r="Z703" s="74" t="n"/>
      <c r="AA703" s="74" t="n"/>
      <c r="AB703" s="74" t="n"/>
      <c r="AC703" s="68" t="n"/>
      <c r="AD703" s="73" t="n"/>
      <c r="AE703" s="75">
        <f>SUMIFS([1]инфо!$D$15:$D$28,[1]инфо!$A$15:$A$28,F703)</f>
        <v/>
      </c>
      <c r="AF703" s="62">
        <f>IF(H703=0,0,N703/H703)</f>
        <v/>
      </c>
      <c r="AG703" s="76">
        <f>AF703-AE703</f>
        <v/>
      </c>
      <c r="AH703" s="75">
        <f>SUMIFS([1]инфо!$E$15:$E$28,[1]инфо!$A$15:$A$28,F703)</f>
        <v/>
      </c>
      <c r="AI703" s="64">
        <f>IF(H703=0,0,S703/H703)</f>
        <v/>
      </c>
      <c r="AJ703" s="76">
        <f>AI703-AH703</f>
        <v/>
      </c>
      <c r="AK703" s="75">
        <f>SUMIFS([1]инфо!$F$15:$F$28,[1]инфо!$A$15:$A$28,F703)</f>
        <v/>
      </c>
      <c r="AL703" s="64">
        <f>IF(H703=0,0,Y703/H703)</f>
        <v/>
      </c>
      <c r="AM703" s="76">
        <f>AL703-AK703</f>
        <v/>
      </c>
      <c r="AN703" s="75">
        <f>SUMIFS([1]инфо!$G$15:$G$28,[1]инфо!$A$15:$A$28,F703)</f>
        <v/>
      </c>
      <c r="AO703" s="64">
        <f>IF(H703=0,0,AA703/H703)</f>
        <v/>
      </c>
      <c r="AP703" s="76">
        <f>AO703-AN703</f>
        <v/>
      </c>
      <c r="AQ703" s="75">
        <f>SUMIFS([1]инфо!$H$15:$H$28,[1]инфо!$A$15:$A$28,F703)</f>
        <v/>
      </c>
      <c r="AR703" s="64">
        <f>IF(H702=0,0,AC703/H702)</f>
        <v/>
      </c>
      <c r="AS703" s="76">
        <f>AR703-AQ703</f>
        <v/>
      </c>
      <c r="AT703" s="75">
        <f>SUMIFS([1]инфо!$I$15:$I$28,[1]инфо!$A$15:$A$28,F703)</f>
        <v/>
      </c>
      <c r="AU703" s="62">
        <f>IF(H703=0,0,AD703/H703)</f>
        <v/>
      </c>
      <c r="AV703" s="76">
        <f>AU703-AT703</f>
        <v/>
      </c>
      <c r="AX703" s="70">
        <f>SUMIFS([1]инфо!$C$15:$C$28,[1]инфо!$A$15:$A$28,F703)*H702</f>
        <v/>
      </c>
    </row>
    <row r="704">
      <c r="A704" s="71">
        <f>A702+1</f>
        <v/>
      </c>
      <c r="B704" s="90" t="n"/>
      <c r="C704" s="52" t="n"/>
      <c r="D704" s="53" t="n"/>
      <c r="E704" s="91" t="n"/>
      <c r="F704" s="67" t="n"/>
      <c r="G704" s="58" t="n"/>
      <c r="H704" s="55" t="n"/>
      <c r="I704" s="57">
        <f>IFERROR(H704*VLOOKUP(F704,[1]инфо!$A$15:$C$28,3,FALSE)/1000,0)</f>
        <v/>
      </c>
      <c r="J704" s="55" t="n"/>
      <c r="K704" s="55" t="n"/>
      <c r="L704" s="55" t="n"/>
      <c r="M704" s="55" t="n"/>
      <c r="N704" s="55" t="n"/>
      <c r="O704" s="58" t="n"/>
      <c r="P704" s="58" t="n"/>
      <c r="Q704" s="58" t="n"/>
      <c r="R704" s="58" t="n"/>
      <c r="S704" s="59">
        <f>SUM(O704:R704)</f>
        <v/>
      </c>
      <c r="T704" s="52" t="n"/>
      <c r="U704" s="53" t="n"/>
      <c r="V704" s="58" t="n"/>
      <c r="W704" s="68" t="n"/>
      <c r="X704" s="58" t="n"/>
      <c r="Y704" s="52" t="n"/>
      <c r="Z704" s="58" t="n"/>
      <c r="AA704" s="58" t="n"/>
      <c r="AB704" s="58" t="n"/>
      <c r="AC704" s="68" t="n"/>
      <c r="AD704" s="53" t="n"/>
      <c r="AE704" s="61">
        <f>SUMIFS([1]инфо!$D$15:$D$28,[1]инфо!$A$15:$A$28,F704)</f>
        <v/>
      </c>
      <c r="AF704" s="62">
        <f>IF(H704=0,0,N704/H704)</f>
        <v/>
      </c>
      <c r="AG704" s="63">
        <f>AF704-AE704</f>
        <v/>
      </c>
      <c r="AH704" s="61">
        <f>SUMIFS([1]инфо!$E$15:$E$28,[1]инфо!$A$15:$A$28,F704)</f>
        <v/>
      </c>
      <c r="AI704" s="64">
        <f>IF(H704=0,0,S704/H704)</f>
        <v/>
      </c>
      <c r="AJ704" s="63">
        <f>AI704-AH704</f>
        <v/>
      </c>
      <c r="AK704" s="61">
        <f>SUMIFS([1]инфо!$F$15:$F$28,[1]инфо!$A$15:$A$28,F704)</f>
        <v/>
      </c>
      <c r="AL704" s="64">
        <f>IF(H704=0,0,Y704/H704)</f>
        <v/>
      </c>
      <c r="AM704" s="63">
        <f>AL704-AK704</f>
        <v/>
      </c>
      <c r="AN704" s="61">
        <f>SUMIFS([1]инфо!$G$15:$G$28,[1]инфо!$A$15:$A$28,F704)</f>
        <v/>
      </c>
      <c r="AO704" s="64">
        <f>IF(H704=0,0,AA704/H704)</f>
        <v/>
      </c>
      <c r="AP704" s="63">
        <f>AO704-AN704</f>
        <v/>
      </c>
      <c r="AQ704" s="61">
        <f>SUMIFS([1]инфо!$H$15:$H$28,[1]инфо!$A$15:$A$28,F704)</f>
        <v/>
      </c>
      <c r="AR704" s="62">
        <f>IF(H703=0,0,AC704/H703)</f>
        <v/>
      </c>
      <c r="AS704" s="63">
        <f>AR704-AQ704</f>
        <v/>
      </c>
      <c r="AT704" s="61">
        <f>SUMIFS([1]инфо!$I$15:$I$28,[1]инфо!$A$15:$A$28,F704)</f>
        <v/>
      </c>
      <c r="AU704" s="62">
        <f>IF(H704=0,0,AD704/H704)</f>
        <v/>
      </c>
      <c r="AV704" s="63">
        <f>AU704-AT704</f>
        <v/>
      </c>
      <c r="AX704" s="59">
        <f>SUMIFS([1]инфо!$C$15:$C$28,[1]инфо!$A$15:$A$28,F704)*H703</f>
        <v/>
      </c>
    </row>
    <row r="705">
      <c r="A705" s="71">
        <f>A703+1</f>
        <v/>
      </c>
      <c r="B705" s="90" t="n"/>
      <c r="C705" s="52" t="n"/>
      <c r="D705" s="53" t="n"/>
      <c r="E705" s="91" t="n"/>
      <c r="F705" s="67" t="n"/>
      <c r="G705" s="58" t="n"/>
      <c r="H705" s="56" t="n"/>
      <c r="I705" s="57">
        <f>IFERROR(H705*VLOOKUP(F705,[1]инфо!$A$15:$C$28,3,FALSE)/1000,0)</f>
        <v/>
      </c>
      <c r="J705" s="55" t="n"/>
      <c r="K705" s="55" t="n"/>
      <c r="L705" s="55" t="n"/>
      <c r="M705" s="55" t="n"/>
      <c r="N705" s="55" t="n"/>
      <c r="O705" s="58" t="n"/>
      <c r="P705" s="58" t="n"/>
      <c r="Q705" s="58" t="n"/>
      <c r="R705" s="58" t="n"/>
      <c r="S705" s="59">
        <f>SUM(O705:R705)</f>
        <v/>
      </c>
      <c r="T705" s="52" t="n"/>
      <c r="U705" s="53" t="n"/>
      <c r="V705" s="58" t="n"/>
      <c r="W705" s="68" t="n"/>
      <c r="X705" s="58" t="n"/>
      <c r="Y705" s="52" t="n"/>
      <c r="Z705" s="58" t="n"/>
      <c r="AA705" s="58" t="n"/>
      <c r="AB705" s="58" t="n"/>
      <c r="AC705" s="68" t="n"/>
      <c r="AD705" s="53" t="n"/>
      <c r="AE705" s="61">
        <f>SUMIFS([1]инфо!$D$15:$D$28,[1]инфо!$A$15:$A$28,F705)</f>
        <v/>
      </c>
      <c r="AF705" s="62">
        <f>IF(H705=0,0,N705/H705)</f>
        <v/>
      </c>
      <c r="AG705" s="63">
        <f>AF705-AE705</f>
        <v/>
      </c>
      <c r="AH705" s="61">
        <f>SUMIFS([1]инфо!$E$15:$E$28,[1]инфо!$A$15:$A$28,F705)</f>
        <v/>
      </c>
      <c r="AI705" s="64">
        <f>IF(H705=0,0,S705/H705)</f>
        <v/>
      </c>
      <c r="AJ705" s="63">
        <f>AI705-AH705</f>
        <v/>
      </c>
      <c r="AK705" s="61">
        <f>SUMIFS([1]инфо!$F$15:$F$28,[1]инфо!$A$15:$A$28,F705)</f>
        <v/>
      </c>
      <c r="AL705" s="64">
        <f>IF(H705=0,0,Y705/H705)</f>
        <v/>
      </c>
      <c r="AM705" s="63">
        <f>AL705-AK705</f>
        <v/>
      </c>
      <c r="AN705" s="61">
        <f>SUMIFS([1]инфо!$G$15:$G$28,[1]инфо!$A$15:$A$28,F705)</f>
        <v/>
      </c>
      <c r="AO705" s="64">
        <f>IF(H705=0,0,AA705/H705)</f>
        <v/>
      </c>
      <c r="AP705" s="63">
        <f>AO705-AN705</f>
        <v/>
      </c>
      <c r="AQ705" s="61">
        <f>SUMIFS([1]инфо!$H$15:$H$28,[1]инфо!$A$15:$A$28,F705)</f>
        <v/>
      </c>
      <c r="AR705" s="62">
        <f>IF(H704=0,0,AC705/H704)</f>
        <v/>
      </c>
      <c r="AS705" s="63">
        <f>AR705-AQ705</f>
        <v/>
      </c>
      <c r="AT705" s="61">
        <f>SUMIFS([1]инфо!$I$15:$I$28,[1]инфо!$A$15:$A$28,F705)</f>
        <v/>
      </c>
      <c r="AU705" s="62">
        <f>IF(H705=0,0,AD705/H705)</f>
        <v/>
      </c>
      <c r="AV705" s="63">
        <f>AU705-AT705</f>
        <v/>
      </c>
      <c r="AX705" s="59">
        <f>SUMIFS([1]инфо!$C$15:$C$28,[1]инфо!$A$15:$A$28,F705)*H704</f>
        <v/>
      </c>
    </row>
    <row r="706">
      <c r="A706" s="71">
        <f>A704+1</f>
        <v/>
      </c>
      <c r="B706" s="88" t="n"/>
      <c r="C706" s="77" t="n"/>
      <c r="D706" s="78" t="n"/>
      <c r="E706" s="91" t="n"/>
      <c r="F706" s="67" t="n"/>
      <c r="G706" s="79" t="n"/>
      <c r="H706" s="67" t="n"/>
      <c r="I706" s="57">
        <f>IFERROR(H706*VLOOKUP(F706,[1]инфо!$A$15:$C$28,3,FALSE)/1000,0)</f>
        <v/>
      </c>
      <c r="J706" s="55" t="n"/>
      <c r="K706" s="55" t="n"/>
      <c r="L706" s="55" t="n"/>
      <c r="M706" s="55" t="n"/>
      <c r="N706" s="56" t="n"/>
      <c r="O706" s="79" t="n"/>
      <c r="P706" s="79" t="n"/>
      <c r="Q706" s="79" t="n"/>
      <c r="R706" s="79" t="n"/>
      <c r="S706" s="80">
        <f>SUM(O706:R706)</f>
        <v/>
      </c>
      <c r="T706" s="77" t="n"/>
      <c r="U706" s="78" t="n"/>
      <c r="V706" s="79" t="n"/>
      <c r="W706" s="68" t="n"/>
      <c r="X706" s="79" t="n"/>
      <c r="Y706" s="77" t="n"/>
      <c r="Z706" s="79" t="n"/>
      <c r="AA706" s="79" t="n"/>
      <c r="AB706" s="79" t="n"/>
      <c r="AC706" s="68" t="n"/>
      <c r="AD706" s="78" t="n"/>
      <c r="AE706" s="81">
        <f>SUMIFS([1]инфо!$D$15:$D$28,[1]инфо!$A$15:$A$28,F706)</f>
        <v/>
      </c>
      <c r="AF706" s="62">
        <f>IF(H706=0,0,N706/H706)</f>
        <v/>
      </c>
      <c r="AG706" s="82">
        <f>AF706-AE706</f>
        <v/>
      </c>
      <c r="AH706" s="81">
        <f>SUMIFS([1]инфо!$E$15:$E$28,[1]инфо!$A$15:$A$28,F706)</f>
        <v/>
      </c>
      <c r="AI706" s="64">
        <f>IF(H706=0,0,S706/H706)</f>
        <v/>
      </c>
      <c r="AJ706" s="82">
        <f>AI706-AH706</f>
        <v/>
      </c>
      <c r="AK706" s="81">
        <f>SUMIFS([1]инфо!$F$15:$F$28,[1]инфо!$A$15:$A$28,F706)</f>
        <v/>
      </c>
      <c r="AL706" s="64">
        <f>IF(H706=0,0,Y706/H706)</f>
        <v/>
      </c>
      <c r="AM706" s="82">
        <f>AL706-AK706</f>
        <v/>
      </c>
      <c r="AN706" s="81">
        <f>SUMIFS([1]инфо!$G$15:$G$28,[1]инфо!$A$15:$A$28,F706)</f>
        <v/>
      </c>
      <c r="AO706" s="64">
        <f>IF(H706=0,0,AA706/H706)</f>
        <v/>
      </c>
      <c r="AP706" s="82">
        <f>AO706-AN706</f>
        <v/>
      </c>
      <c r="AQ706" s="81">
        <f>SUMIFS([1]инфо!$H$15:$H$28,[1]инфо!$A$15:$A$28,F706)</f>
        <v/>
      </c>
      <c r="AR706" s="85">
        <f>IF(H705=0,0,AC706/H705)</f>
        <v/>
      </c>
      <c r="AS706" s="82">
        <f>AR706-AQ706</f>
        <v/>
      </c>
      <c r="AT706" s="81">
        <f>SUMIFS([1]инфо!$I$15:$I$28,[1]инфо!$A$15:$A$28,F706)</f>
        <v/>
      </c>
      <c r="AU706" s="62">
        <f>IF(H706=0,0,AD706/H706)</f>
        <v/>
      </c>
      <c r="AV706" s="82">
        <f>AU706-AT706</f>
        <v/>
      </c>
      <c r="AX706" s="80">
        <f>SUMIFS([1]инфо!$C$15:$C$28,[1]инфо!$A$15:$A$28,F706)*H705</f>
        <v/>
      </c>
    </row>
    <row r="707">
      <c r="A707" s="71">
        <f>A705+1</f>
        <v/>
      </c>
      <c r="B707" s="89" t="n"/>
      <c r="C707" s="72" t="n"/>
      <c r="D707" s="73" t="n"/>
      <c r="E707" s="91" t="n"/>
      <c r="F707" s="67" t="n"/>
      <c r="G707" s="74" t="n"/>
      <c r="H707" s="55" t="n"/>
      <c r="I707" s="57">
        <f>IFERROR(H707*VLOOKUP(F707,[1]инфо!$A$15:$C$28,3,FALSE)/1000,0)</f>
        <v/>
      </c>
      <c r="J707" s="55" t="n"/>
      <c r="K707" s="55" t="n"/>
      <c r="L707" s="55" t="n"/>
      <c r="M707" s="55" t="n"/>
      <c r="N707" s="67" t="n"/>
      <c r="O707" s="74" t="n"/>
      <c r="P707" s="74" t="n"/>
      <c r="Q707" s="74" t="n"/>
      <c r="R707" s="74" t="n"/>
      <c r="S707" s="70">
        <f>SUM(O707:R707)</f>
        <v/>
      </c>
      <c r="T707" s="72" t="n"/>
      <c r="U707" s="73" t="n"/>
      <c r="V707" s="74" t="n"/>
      <c r="W707" s="68" t="n"/>
      <c r="X707" s="74" t="n"/>
      <c r="Y707" s="72" t="n"/>
      <c r="Z707" s="74" t="n"/>
      <c r="AA707" s="74" t="n"/>
      <c r="AB707" s="74" t="n"/>
      <c r="AC707" s="68" t="n"/>
      <c r="AD707" s="73" t="n"/>
      <c r="AE707" s="75">
        <f>SUMIFS([1]инфо!$D$15:$D$28,[1]инфо!$A$15:$A$28,F707)</f>
        <v/>
      </c>
      <c r="AF707" s="62">
        <f>IF(H707=0,0,N707/H707)</f>
        <v/>
      </c>
      <c r="AG707" s="76">
        <f>AF707-AE707</f>
        <v/>
      </c>
      <c r="AH707" s="75">
        <f>SUMIFS([1]инфо!$E$15:$E$28,[1]инфо!$A$15:$A$28,F707)</f>
        <v/>
      </c>
      <c r="AI707" s="64">
        <f>IF(H707=0,0,S707/H707)</f>
        <v/>
      </c>
      <c r="AJ707" s="76">
        <f>AI707-AH707</f>
        <v/>
      </c>
      <c r="AK707" s="75">
        <f>SUMIFS([1]инфо!$F$15:$F$28,[1]инфо!$A$15:$A$28,F707)</f>
        <v/>
      </c>
      <c r="AL707" s="64">
        <f>IF(H707=0,0,Y707/H707)</f>
        <v/>
      </c>
      <c r="AM707" s="76">
        <f>AL707-AK707</f>
        <v/>
      </c>
      <c r="AN707" s="75">
        <f>SUMIFS([1]инфо!$G$15:$G$28,[1]инфо!$A$15:$A$28,F707)</f>
        <v/>
      </c>
      <c r="AO707" s="64">
        <f>IF(H707=0,0,AA707/H707)</f>
        <v/>
      </c>
      <c r="AP707" s="76">
        <f>AO707-AN707</f>
        <v/>
      </c>
      <c r="AQ707" s="75">
        <f>SUMIFS([1]инфо!$H$15:$H$28,[1]инфо!$A$15:$A$28,F707)</f>
        <v/>
      </c>
      <c r="AR707" s="64">
        <f>IF(H706=0,0,AC707/H706)</f>
        <v/>
      </c>
      <c r="AS707" s="76">
        <f>AR707-AQ707</f>
        <v/>
      </c>
      <c r="AT707" s="75">
        <f>SUMIFS([1]инфо!$I$15:$I$28,[1]инфо!$A$15:$A$28,F707)</f>
        <v/>
      </c>
      <c r="AU707" s="62">
        <f>IF(H707=0,0,AD707/H707)</f>
        <v/>
      </c>
      <c r="AV707" s="76">
        <f>AU707-AT707</f>
        <v/>
      </c>
      <c r="AX707" s="70">
        <f>SUMIFS([1]инфо!$C$15:$C$28,[1]инфо!$A$15:$A$28,F707)*H706</f>
        <v/>
      </c>
    </row>
    <row r="708">
      <c r="A708" s="71">
        <f>A706+1</f>
        <v/>
      </c>
      <c r="B708" s="90" t="n"/>
      <c r="C708" s="52" t="n"/>
      <c r="D708" s="53" t="n"/>
      <c r="E708" s="91" t="n"/>
      <c r="F708" s="67" t="n"/>
      <c r="G708" s="58" t="n"/>
      <c r="H708" s="55" t="n"/>
      <c r="I708" s="57">
        <f>IFERROR(H708*VLOOKUP(F708,[1]инфо!$A$15:$C$28,3,FALSE)/1000,0)</f>
        <v/>
      </c>
      <c r="J708" s="55" t="n"/>
      <c r="K708" s="55" t="n"/>
      <c r="L708" s="55" t="n"/>
      <c r="M708" s="55" t="n"/>
      <c r="N708" s="55" t="n"/>
      <c r="O708" s="58" t="n"/>
      <c r="P708" s="58" t="n"/>
      <c r="Q708" s="58" t="n"/>
      <c r="R708" s="58" t="n"/>
      <c r="S708" s="59">
        <f>SUM(O708:R708)</f>
        <v/>
      </c>
      <c r="T708" s="52" t="n"/>
      <c r="U708" s="53" t="n"/>
      <c r="V708" s="58" t="n"/>
      <c r="W708" s="68" t="n"/>
      <c r="X708" s="58" t="n"/>
      <c r="Y708" s="52" t="n"/>
      <c r="Z708" s="58" t="n"/>
      <c r="AA708" s="58" t="n"/>
      <c r="AB708" s="58" t="n"/>
      <c r="AC708" s="68" t="n"/>
      <c r="AD708" s="53" t="n"/>
      <c r="AE708" s="61">
        <f>SUMIFS([1]инфо!$D$15:$D$28,[1]инфо!$A$15:$A$28,F708)</f>
        <v/>
      </c>
      <c r="AF708" s="62">
        <f>IF(H708=0,0,N708/H708)</f>
        <v/>
      </c>
      <c r="AG708" s="63">
        <f>AF708-AE708</f>
        <v/>
      </c>
      <c r="AH708" s="61">
        <f>SUMIFS([1]инфо!$E$15:$E$28,[1]инфо!$A$15:$A$28,F708)</f>
        <v/>
      </c>
      <c r="AI708" s="64">
        <f>IF(H708=0,0,S708/H708)</f>
        <v/>
      </c>
      <c r="AJ708" s="63">
        <f>AI708-AH708</f>
        <v/>
      </c>
      <c r="AK708" s="61">
        <f>SUMIFS([1]инфо!$F$15:$F$28,[1]инфо!$A$15:$A$28,F708)</f>
        <v/>
      </c>
      <c r="AL708" s="64">
        <f>IF(H708=0,0,Y708/H708)</f>
        <v/>
      </c>
      <c r="AM708" s="63">
        <f>AL708-AK708</f>
        <v/>
      </c>
      <c r="AN708" s="61">
        <f>SUMIFS([1]инфо!$G$15:$G$28,[1]инфо!$A$15:$A$28,F708)</f>
        <v/>
      </c>
      <c r="AO708" s="64">
        <f>IF(H708=0,0,AA708/H708)</f>
        <v/>
      </c>
      <c r="AP708" s="63">
        <f>AO708-AN708</f>
        <v/>
      </c>
      <c r="AQ708" s="61">
        <f>SUMIFS([1]инфо!$H$15:$H$28,[1]инфо!$A$15:$A$28,F708)</f>
        <v/>
      </c>
      <c r="AR708" s="62">
        <f>IF(H707=0,0,AC708/H707)</f>
        <v/>
      </c>
      <c r="AS708" s="63">
        <f>AR708-AQ708</f>
        <v/>
      </c>
      <c r="AT708" s="61">
        <f>SUMIFS([1]инфо!$I$15:$I$28,[1]инфо!$A$15:$A$28,F708)</f>
        <v/>
      </c>
      <c r="AU708" s="62">
        <f>IF(H708=0,0,AD708/H708)</f>
        <v/>
      </c>
      <c r="AV708" s="63">
        <f>AU708-AT708</f>
        <v/>
      </c>
      <c r="AX708" s="59">
        <f>SUMIFS([1]инфо!$C$15:$C$28,[1]инфо!$A$15:$A$28,F708)*H707</f>
        <v/>
      </c>
    </row>
    <row r="709">
      <c r="A709" s="71">
        <f>A707+1</f>
        <v/>
      </c>
      <c r="B709" s="90" t="n"/>
      <c r="C709" s="52" t="n"/>
      <c r="D709" s="53" t="n"/>
      <c r="E709" s="91" t="n"/>
      <c r="F709" s="67" t="n"/>
      <c r="G709" s="58" t="n"/>
      <c r="H709" s="56" t="n"/>
      <c r="I709" s="57">
        <f>IFERROR(H709*VLOOKUP(F709,[1]инфо!$A$15:$C$28,3,FALSE)/1000,0)</f>
        <v/>
      </c>
      <c r="J709" s="55" t="n"/>
      <c r="K709" s="55" t="n"/>
      <c r="L709" s="55" t="n"/>
      <c r="M709" s="55" t="n"/>
      <c r="N709" s="55" t="n"/>
      <c r="O709" s="58" t="n"/>
      <c r="P709" s="58" t="n"/>
      <c r="Q709" s="58" t="n"/>
      <c r="R709" s="58" t="n"/>
      <c r="S709" s="59">
        <f>SUM(O709:R709)</f>
        <v/>
      </c>
      <c r="T709" s="52" t="n"/>
      <c r="U709" s="53" t="n"/>
      <c r="V709" s="58" t="n"/>
      <c r="W709" s="68" t="n"/>
      <c r="X709" s="58" t="n"/>
      <c r="Y709" s="52" t="n"/>
      <c r="Z709" s="58" t="n"/>
      <c r="AA709" s="58" t="n"/>
      <c r="AB709" s="58" t="n"/>
      <c r="AC709" s="68" t="n"/>
      <c r="AD709" s="53" t="n"/>
      <c r="AE709" s="61">
        <f>SUMIFS([1]инфо!$D$15:$D$28,[1]инфо!$A$15:$A$28,F709)</f>
        <v/>
      </c>
      <c r="AF709" s="62">
        <f>IF(H709=0,0,N709/H709)</f>
        <v/>
      </c>
      <c r="AG709" s="63">
        <f>AF709-AE709</f>
        <v/>
      </c>
      <c r="AH709" s="61">
        <f>SUMIFS([1]инфо!$E$15:$E$28,[1]инфо!$A$15:$A$28,F709)</f>
        <v/>
      </c>
      <c r="AI709" s="64">
        <f>IF(H709=0,0,S709/H709)</f>
        <v/>
      </c>
      <c r="AJ709" s="63">
        <f>AI709-AH709</f>
        <v/>
      </c>
      <c r="AK709" s="61">
        <f>SUMIFS([1]инфо!$F$15:$F$28,[1]инфо!$A$15:$A$28,F709)</f>
        <v/>
      </c>
      <c r="AL709" s="64">
        <f>IF(H709=0,0,Y709/H709)</f>
        <v/>
      </c>
      <c r="AM709" s="63">
        <f>AL709-AK709</f>
        <v/>
      </c>
      <c r="AN709" s="61">
        <f>SUMIFS([1]инфо!$G$15:$G$28,[1]инфо!$A$15:$A$28,F709)</f>
        <v/>
      </c>
      <c r="AO709" s="64">
        <f>IF(H709=0,0,AA709/H709)</f>
        <v/>
      </c>
      <c r="AP709" s="63">
        <f>AO709-AN709</f>
        <v/>
      </c>
      <c r="AQ709" s="61">
        <f>SUMIFS([1]инфо!$H$15:$H$28,[1]инфо!$A$15:$A$28,F709)</f>
        <v/>
      </c>
      <c r="AR709" s="62">
        <f>IF(H708=0,0,AC709/H708)</f>
        <v/>
      </c>
      <c r="AS709" s="63">
        <f>AR709-AQ709</f>
        <v/>
      </c>
      <c r="AT709" s="61">
        <f>SUMIFS([1]инфо!$I$15:$I$28,[1]инфо!$A$15:$A$28,F709)</f>
        <v/>
      </c>
      <c r="AU709" s="62">
        <f>IF(H709=0,0,AD709/H709)</f>
        <v/>
      </c>
      <c r="AV709" s="63">
        <f>AU709-AT709</f>
        <v/>
      </c>
      <c r="AX709" s="59">
        <f>SUMIFS([1]инфо!$C$15:$C$28,[1]инфо!$A$15:$A$28,F709)*H708</f>
        <v/>
      </c>
    </row>
    <row r="710">
      <c r="A710" s="71">
        <f>A708+1</f>
        <v/>
      </c>
      <c r="B710" s="88" t="n"/>
      <c r="C710" s="77" t="n"/>
      <c r="D710" s="78" t="n"/>
      <c r="E710" s="91" t="n"/>
      <c r="F710" s="67" t="n"/>
      <c r="G710" s="79" t="n"/>
      <c r="H710" s="67" t="n"/>
      <c r="I710" s="57">
        <f>IFERROR(H710*VLOOKUP(F710,[1]инфо!$A$15:$C$28,3,FALSE)/1000,0)</f>
        <v/>
      </c>
      <c r="J710" s="55" t="n"/>
      <c r="K710" s="55" t="n"/>
      <c r="L710" s="55" t="n"/>
      <c r="M710" s="55" t="n"/>
      <c r="N710" s="56" t="n"/>
      <c r="O710" s="79" t="n"/>
      <c r="P710" s="79" t="n"/>
      <c r="Q710" s="79" t="n"/>
      <c r="R710" s="79" t="n"/>
      <c r="S710" s="80">
        <f>SUM(O710:R710)</f>
        <v/>
      </c>
      <c r="T710" s="77" t="n"/>
      <c r="U710" s="78" t="n"/>
      <c r="V710" s="79" t="n"/>
      <c r="W710" s="68" t="n"/>
      <c r="X710" s="79" t="n"/>
      <c r="Y710" s="77" t="n"/>
      <c r="Z710" s="79" t="n"/>
      <c r="AA710" s="79" t="n"/>
      <c r="AB710" s="79" t="n"/>
      <c r="AC710" s="68" t="n"/>
      <c r="AD710" s="78" t="n"/>
      <c r="AE710" s="81">
        <f>SUMIFS([1]инфо!$D$15:$D$28,[1]инфо!$A$15:$A$28,F710)</f>
        <v/>
      </c>
      <c r="AF710" s="62">
        <f>IF(H710=0,0,N710/H710)</f>
        <v/>
      </c>
      <c r="AG710" s="82">
        <f>AF710-AE710</f>
        <v/>
      </c>
      <c r="AH710" s="81">
        <f>SUMIFS([1]инфо!$E$15:$E$28,[1]инфо!$A$15:$A$28,F710)</f>
        <v/>
      </c>
      <c r="AI710" s="64">
        <f>IF(H710=0,0,S710/H710)</f>
        <v/>
      </c>
      <c r="AJ710" s="82">
        <f>AI710-AH710</f>
        <v/>
      </c>
      <c r="AK710" s="81">
        <f>SUMIFS([1]инфо!$F$15:$F$28,[1]инфо!$A$15:$A$28,F710)</f>
        <v/>
      </c>
      <c r="AL710" s="64">
        <f>IF(H710=0,0,Y710/H710)</f>
        <v/>
      </c>
      <c r="AM710" s="82">
        <f>AL710-AK710</f>
        <v/>
      </c>
      <c r="AN710" s="81">
        <f>SUMIFS([1]инфо!$G$15:$G$28,[1]инфо!$A$15:$A$28,F710)</f>
        <v/>
      </c>
      <c r="AO710" s="64">
        <f>IF(H710=0,0,AA710/H710)</f>
        <v/>
      </c>
      <c r="AP710" s="82">
        <f>AO710-AN710</f>
        <v/>
      </c>
      <c r="AQ710" s="81">
        <f>SUMIFS([1]инфо!$H$15:$H$28,[1]инфо!$A$15:$A$28,F710)</f>
        <v/>
      </c>
      <c r="AR710" s="85">
        <f>IF(H709=0,0,AC710/H709)</f>
        <v/>
      </c>
      <c r="AS710" s="82">
        <f>AR710-AQ710</f>
        <v/>
      </c>
      <c r="AT710" s="81">
        <f>SUMIFS([1]инфо!$I$15:$I$28,[1]инфо!$A$15:$A$28,F710)</f>
        <v/>
      </c>
      <c r="AU710" s="62">
        <f>IF(H710=0,0,AD710/H710)</f>
        <v/>
      </c>
      <c r="AV710" s="82">
        <f>AU710-AT710</f>
        <v/>
      </c>
      <c r="AX710" s="80">
        <f>SUMIFS([1]инфо!$C$15:$C$28,[1]инфо!$A$15:$A$28,F710)*H709</f>
        <v/>
      </c>
    </row>
    <row r="711">
      <c r="A711" s="71">
        <f>A709+1</f>
        <v/>
      </c>
      <c r="B711" s="89" t="n"/>
      <c r="C711" s="72" t="n"/>
      <c r="D711" s="73" t="n"/>
      <c r="E711" s="91" t="n"/>
      <c r="F711" s="67" t="n"/>
      <c r="G711" s="74" t="n"/>
      <c r="H711" s="55" t="n"/>
      <c r="I711" s="57">
        <f>IFERROR(H711*VLOOKUP(F711,[1]инфо!$A$15:$C$28,3,FALSE)/1000,0)</f>
        <v/>
      </c>
      <c r="J711" s="55" t="n"/>
      <c r="K711" s="55" t="n"/>
      <c r="L711" s="55" t="n"/>
      <c r="M711" s="55" t="n"/>
      <c r="N711" s="67" t="n"/>
      <c r="O711" s="74" t="n"/>
      <c r="P711" s="74" t="n"/>
      <c r="Q711" s="74" t="n"/>
      <c r="R711" s="74" t="n"/>
      <c r="S711" s="70">
        <f>SUM(O711:R711)</f>
        <v/>
      </c>
      <c r="T711" s="72" t="n"/>
      <c r="U711" s="73" t="n"/>
      <c r="V711" s="74" t="n"/>
      <c r="W711" s="68" t="n"/>
      <c r="X711" s="74" t="n"/>
      <c r="Y711" s="72" t="n"/>
      <c r="Z711" s="74" t="n"/>
      <c r="AA711" s="74" t="n"/>
      <c r="AB711" s="74" t="n"/>
      <c r="AC711" s="68" t="n"/>
      <c r="AD711" s="73" t="n"/>
      <c r="AE711" s="75">
        <f>SUMIFS([1]инфо!$D$15:$D$28,[1]инфо!$A$15:$A$28,F711)</f>
        <v/>
      </c>
      <c r="AF711" s="62">
        <f>IF(H711=0,0,N711/H711)</f>
        <v/>
      </c>
      <c r="AG711" s="76">
        <f>AF711-AE711</f>
        <v/>
      </c>
      <c r="AH711" s="75">
        <f>SUMIFS([1]инфо!$E$15:$E$28,[1]инфо!$A$15:$A$28,F711)</f>
        <v/>
      </c>
      <c r="AI711" s="64">
        <f>IF(H711=0,0,S711/H711)</f>
        <v/>
      </c>
      <c r="AJ711" s="76">
        <f>AI711-AH711</f>
        <v/>
      </c>
      <c r="AK711" s="75">
        <f>SUMIFS([1]инфо!$F$15:$F$28,[1]инфо!$A$15:$A$28,F711)</f>
        <v/>
      </c>
      <c r="AL711" s="64">
        <f>IF(H711=0,0,Y711/H711)</f>
        <v/>
      </c>
      <c r="AM711" s="76">
        <f>AL711-AK711</f>
        <v/>
      </c>
      <c r="AN711" s="75">
        <f>SUMIFS([1]инфо!$G$15:$G$28,[1]инфо!$A$15:$A$28,F711)</f>
        <v/>
      </c>
      <c r="AO711" s="64">
        <f>IF(H711=0,0,AA711/H711)</f>
        <v/>
      </c>
      <c r="AP711" s="76">
        <f>AO711-AN711</f>
        <v/>
      </c>
      <c r="AQ711" s="75">
        <f>SUMIFS([1]инфо!$H$15:$H$28,[1]инфо!$A$15:$A$28,F711)</f>
        <v/>
      </c>
      <c r="AR711" s="64">
        <f>IF(H710=0,0,AC711/H710)</f>
        <v/>
      </c>
      <c r="AS711" s="76">
        <f>AR711-AQ711</f>
        <v/>
      </c>
      <c r="AT711" s="75">
        <f>SUMIFS([1]инфо!$I$15:$I$28,[1]инфо!$A$15:$A$28,F711)</f>
        <v/>
      </c>
      <c r="AU711" s="62">
        <f>IF(H711=0,0,AD711/H711)</f>
        <v/>
      </c>
      <c r="AV711" s="76">
        <f>AU711-AT711</f>
        <v/>
      </c>
      <c r="AX711" s="70">
        <f>SUMIFS([1]инфо!$C$15:$C$28,[1]инфо!$A$15:$A$28,F711)*H710</f>
        <v/>
      </c>
    </row>
    <row r="712">
      <c r="A712" s="71">
        <f>A710+1</f>
        <v/>
      </c>
      <c r="B712" s="90" t="n"/>
      <c r="C712" s="52" t="n"/>
      <c r="D712" s="53" t="n"/>
      <c r="E712" s="91" t="n"/>
      <c r="F712" s="67" t="n"/>
      <c r="G712" s="58" t="n"/>
      <c r="H712" s="55" t="n"/>
      <c r="I712" s="57">
        <f>IFERROR(H712*VLOOKUP(F712,[1]инфо!$A$15:$C$28,3,FALSE)/1000,0)</f>
        <v/>
      </c>
      <c r="J712" s="55" t="n"/>
      <c r="K712" s="55" t="n"/>
      <c r="L712" s="55" t="n"/>
      <c r="M712" s="55" t="n"/>
      <c r="N712" s="55" t="n"/>
      <c r="O712" s="58" t="n"/>
      <c r="P712" s="58" t="n"/>
      <c r="Q712" s="58" t="n"/>
      <c r="R712" s="58" t="n"/>
      <c r="S712" s="59">
        <f>SUM(O712:R712)</f>
        <v/>
      </c>
      <c r="T712" s="52" t="n"/>
      <c r="U712" s="53" t="n"/>
      <c r="V712" s="58" t="n"/>
      <c r="W712" s="68" t="n"/>
      <c r="X712" s="58" t="n"/>
      <c r="Y712" s="52" t="n"/>
      <c r="Z712" s="58" t="n"/>
      <c r="AA712" s="58" t="n"/>
      <c r="AB712" s="58" t="n"/>
      <c r="AC712" s="68" t="n"/>
      <c r="AD712" s="53" t="n"/>
      <c r="AE712" s="61">
        <f>SUMIFS([1]инфо!$D$15:$D$28,[1]инфо!$A$15:$A$28,F712)</f>
        <v/>
      </c>
      <c r="AF712" s="62">
        <f>IF(H712=0,0,N712/H712)</f>
        <v/>
      </c>
      <c r="AG712" s="63">
        <f>AF712-AE712</f>
        <v/>
      </c>
      <c r="AH712" s="61">
        <f>SUMIFS([1]инфо!$E$15:$E$28,[1]инфо!$A$15:$A$28,F712)</f>
        <v/>
      </c>
      <c r="AI712" s="64">
        <f>IF(H712=0,0,S712/H712)</f>
        <v/>
      </c>
      <c r="AJ712" s="63">
        <f>AI712-AH712</f>
        <v/>
      </c>
      <c r="AK712" s="61">
        <f>SUMIFS([1]инфо!$F$15:$F$28,[1]инфо!$A$15:$A$28,F712)</f>
        <v/>
      </c>
      <c r="AL712" s="64">
        <f>IF(H712=0,0,Y712/H712)</f>
        <v/>
      </c>
      <c r="AM712" s="63">
        <f>AL712-AK712</f>
        <v/>
      </c>
      <c r="AN712" s="61">
        <f>SUMIFS([1]инфо!$G$15:$G$28,[1]инфо!$A$15:$A$28,F712)</f>
        <v/>
      </c>
      <c r="AO712" s="64">
        <f>IF(H712=0,0,AA712/H712)</f>
        <v/>
      </c>
      <c r="AP712" s="63">
        <f>AO712-AN712</f>
        <v/>
      </c>
      <c r="AQ712" s="61">
        <f>SUMIFS([1]инфо!$H$15:$H$28,[1]инфо!$A$15:$A$28,F712)</f>
        <v/>
      </c>
      <c r="AR712" s="62">
        <f>IF(H711=0,0,AC712/H711)</f>
        <v/>
      </c>
      <c r="AS712" s="63">
        <f>AR712-AQ712</f>
        <v/>
      </c>
      <c r="AT712" s="61">
        <f>SUMIFS([1]инфо!$I$15:$I$28,[1]инфо!$A$15:$A$28,F712)</f>
        <v/>
      </c>
      <c r="AU712" s="62">
        <f>IF(H712=0,0,AD712/H712)</f>
        <v/>
      </c>
      <c r="AV712" s="63">
        <f>AU712-AT712</f>
        <v/>
      </c>
      <c r="AX712" s="59">
        <f>SUMIFS([1]инфо!$C$15:$C$28,[1]инфо!$A$15:$A$28,F712)*H711</f>
        <v/>
      </c>
    </row>
    <row r="713">
      <c r="A713" s="71">
        <f>A711+1</f>
        <v/>
      </c>
      <c r="B713" s="90" t="n"/>
      <c r="C713" s="52" t="n"/>
      <c r="D713" s="53" t="n"/>
      <c r="E713" s="91" t="n"/>
      <c r="F713" s="67" t="n"/>
      <c r="G713" s="58" t="n"/>
      <c r="H713" s="56" t="n"/>
      <c r="I713" s="57">
        <f>IFERROR(H713*VLOOKUP(F713,[1]инфо!$A$15:$C$28,3,FALSE)/1000,0)</f>
        <v/>
      </c>
      <c r="J713" s="55" t="n"/>
      <c r="K713" s="55" t="n"/>
      <c r="L713" s="55" t="n"/>
      <c r="M713" s="55" t="n"/>
      <c r="N713" s="55" t="n"/>
      <c r="O713" s="58" t="n"/>
      <c r="P713" s="58" t="n"/>
      <c r="Q713" s="58" t="n"/>
      <c r="R713" s="58" t="n"/>
      <c r="S713" s="59">
        <f>SUM(O713:R713)</f>
        <v/>
      </c>
      <c r="T713" s="52" t="n"/>
      <c r="U713" s="53" t="n"/>
      <c r="V713" s="58" t="n"/>
      <c r="W713" s="68" t="n"/>
      <c r="X713" s="58" t="n"/>
      <c r="Y713" s="52" t="n"/>
      <c r="Z713" s="58" t="n"/>
      <c r="AA713" s="58" t="n"/>
      <c r="AB713" s="58" t="n"/>
      <c r="AC713" s="68" t="n"/>
      <c r="AD713" s="53" t="n"/>
      <c r="AE713" s="61">
        <f>SUMIFS([1]инфо!$D$15:$D$28,[1]инфо!$A$15:$A$28,F713)</f>
        <v/>
      </c>
      <c r="AF713" s="62">
        <f>IF(H713=0,0,N713/H713)</f>
        <v/>
      </c>
      <c r="AG713" s="63">
        <f>AF713-AE713</f>
        <v/>
      </c>
      <c r="AH713" s="61">
        <f>SUMIFS([1]инфо!$E$15:$E$28,[1]инфо!$A$15:$A$28,F713)</f>
        <v/>
      </c>
      <c r="AI713" s="64">
        <f>IF(H713=0,0,S713/H713)</f>
        <v/>
      </c>
      <c r="AJ713" s="63">
        <f>AI713-AH713</f>
        <v/>
      </c>
      <c r="AK713" s="61">
        <f>SUMIFS([1]инфо!$F$15:$F$28,[1]инфо!$A$15:$A$28,F713)</f>
        <v/>
      </c>
      <c r="AL713" s="64">
        <f>IF(H713=0,0,Y713/H713)</f>
        <v/>
      </c>
      <c r="AM713" s="63">
        <f>AL713-AK713</f>
        <v/>
      </c>
      <c r="AN713" s="61">
        <f>SUMIFS([1]инфо!$G$15:$G$28,[1]инфо!$A$15:$A$28,F713)</f>
        <v/>
      </c>
      <c r="AO713" s="64">
        <f>IF(H713=0,0,AA713/H713)</f>
        <v/>
      </c>
      <c r="AP713" s="63">
        <f>AO713-AN713</f>
        <v/>
      </c>
      <c r="AQ713" s="61">
        <f>SUMIFS([1]инфо!$H$15:$H$28,[1]инфо!$A$15:$A$28,F713)</f>
        <v/>
      </c>
      <c r="AR713" s="62">
        <f>IF(H712=0,0,AC713/H712)</f>
        <v/>
      </c>
      <c r="AS713" s="63">
        <f>AR713-AQ713</f>
        <v/>
      </c>
      <c r="AT713" s="61">
        <f>SUMIFS([1]инфо!$I$15:$I$28,[1]инфо!$A$15:$A$28,F713)</f>
        <v/>
      </c>
      <c r="AU713" s="62">
        <f>IF(H713=0,0,AD713/H713)</f>
        <v/>
      </c>
      <c r="AV713" s="63">
        <f>AU713-AT713</f>
        <v/>
      </c>
      <c r="AX713" s="59">
        <f>SUMIFS([1]инфо!$C$15:$C$28,[1]инфо!$A$15:$A$28,F713)*H712</f>
        <v/>
      </c>
    </row>
    <row r="714">
      <c r="A714" s="71">
        <f>A712+1</f>
        <v/>
      </c>
      <c r="B714" s="88" t="n"/>
      <c r="C714" s="77" t="n"/>
      <c r="D714" s="78" t="n"/>
      <c r="E714" s="91" t="n"/>
      <c r="F714" s="67" t="n"/>
      <c r="G714" s="79" t="n"/>
      <c r="H714" s="67" t="n"/>
      <c r="I714" s="57">
        <f>IFERROR(H714*VLOOKUP(F714,[1]инфо!$A$15:$C$28,3,FALSE)/1000,0)</f>
        <v/>
      </c>
      <c r="J714" s="55" t="n"/>
      <c r="K714" s="55" t="n"/>
      <c r="L714" s="55" t="n"/>
      <c r="M714" s="55" t="n"/>
      <c r="N714" s="56" t="n"/>
      <c r="O714" s="79" t="n"/>
      <c r="P714" s="79" t="n"/>
      <c r="Q714" s="79" t="n"/>
      <c r="R714" s="79" t="n"/>
      <c r="S714" s="80">
        <f>SUM(O714:R714)</f>
        <v/>
      </c>
      <c r="T714" s="77" t="n"/>
      <c r="U714" s="78" t="n"/>
      <c r="V714" s="79" t="n"/>
      <c r="W714" s="68" t="n"/>
      <c r="X714" s="79" t="n"/>
      <c r="Y714" s="77" t="n"/>
      <c r="Z714" s="79" t="n"/>
      <c r="AA714" s="79" t="n"/>
      <c r="AB714" s="79" t="n"/>
      <c r="AC714" s="68" t="n"/>
      <c r="AD714" s="78" t="n"/>
      <c r="AE714" s="81">
        <f>SUMIFS([1]инфо!$D$15:$D$28,[1]инфо!$A$15:$A$28,F714)</f>
        <v/>
      </c>
      <c r="AF714" s="62">
        <f>IF(H714=0,0,N714/H714)</f>
        <v/>
      </c>
      <c r="AG714" s="82">
        <f>AF714-AE714</f>
        <v/>
      </c>
      <c r="AH714" s="81">
        <f>SUMIFS([1]инфо!$E$15:$E$28,[1]инфо!$A$15:$A$28,F714)</f>
        <v/>
      </c>
      <c r="AI714" s="64">
        <f>IF(H714=0,0,S714/H714)</f>
        <v/>
      </c>
      <c r="AJ714" s="82">
        <f>AI714-AH714</f>
        <v/>
      </c>
      <c r="AK714" s="81">
        <f>SUMIFS([1]инфо!$F$15:$F$28,[1]инфо!$A$15:$A$28,F714)</f>
        <v/>
      </c>
      <c r="AL714" s="64">
        <f>IF(H714=0,0,Y714/H714)</f>
        <v/>
      </c>
      <c r="AM714" s="82">
        <f>AL714-AK714</f>
        <v/>
      </c>
      <c r="AN714" s="81">
        <f>SUMIFS([1]инфо!$G$15:$G$28,[1]инфо!$A$15:$A$28,F714)</f>
        <v/>
      </c>
      <c r="AO714" s="64">
        <f>IF(H714=0,0,AA714/H714)</f>
        <v/>
      </c>
      <c r="AP714" s="82">
        <f>AO714-AN714</f>
        <v/>
      </c>
      <c r="AQ714" s="81">
        <f>SUMIFS([1]инфо!$H$15:$H$28,[1]инфо!$A$15:$A$28,F714)</f>
        <v/>
      </c>
      <c r="AR714" s="85">
        <f>IF(H713=0,0,AC714/H713)</f>
        <v/>
      </c>
      <c r="AS714" s="82">
        <f>AR714-AQ714</f>
        <v/>
      </c>
      <c r="AT714" s="81">
        <f>SUMIFS([1]инфо!$I$15:$I$28,[1]инфо!$A$15:$A$28,F714)</f>
        <v/>
      </c>
      <c r="AU714" s="62">
        <f>IF(H714=0,0,AD714/H714)</f>
        <v/>
      </c>
      <c r="AV714" s="82">
        <f>AU714-AT714</f>
        <v/>
      </c>
      <c r="AX714" s="80">
        <f>SUMIFS([1]инфо!$C$15:$C$28,[1]инфо!$A$15:$A$28,F714)*H713</f>
        <v/>
      </c>
    </row>
    <row r="715">
      <c r="A715" s="71">
        <f>A713+1</f>
        <v/>
      </c>
      <c r="B715" s="89" t="n"/>
      <c r="C715" s="72" t="n"/>
      <c r="D715" s="73" t="n"/>
      <c r="E715" s="91" t="n"/>
      <c r="F715" s="67" t="n"/>
      <c r="G715" s="74" t="n"/>
      <c r="H715" s="55" t="n"/>
      <c r="I715" s="57">
        <f>IFERROR(H715*VLOOKUP(F715,[1]инфо!$A$15:$C$28,3,FALSE)/1000,0)</f>
        <v/>
      </c>
      <c r="J715" s="55" t="n"/>
      <c r="K715" s="55" t="n"/>
      <c r="L715" s="55" t="n"/>
      <c r="M715" s="55" t="n"/>
      <c r="N715" s="67" t="n"/>
      <c r="O715" s="74" t="n"/>
      <c r="P715" s="74" t="n"/>
      <c r="Q715" s="74" t="n"/>
      <c r="R715" s="74" t="n"/>
      <c r="S715" s="70">
        <f>SUM(O715:R715)</f>
        <v/>
      </c>
      <c r="T715" s="72" t="n"/>
      <c r="U715" s="73" t="n"/>
      <c r="V715" s="74" t="n"/>
      <c r="W715" s="68" t="n"/>
      <c r="X715" s="74" t="n"/>
      <c r="Y715" s="72" t="n"/>
      <c r="Z715" s="74" t="n"/>
      <c r="AA715" s="74" t="n"/>
      <c r="AB715" s="74" t="n"/>
      <c r="AC715" s="68" t="n"/>
      <c r="AD715" s="73" t="n"/>
      <c r="AE715" s="75">
        <f>SUMIFS([1]инфо!$D$15:$D$28,[1]инфо!$A$15:$A$28,F715)</f>
        <v/>
      </c>
      <c r="AF715" s="62">
        <f>IF(H715=0,0,N715/H715)</f>
        <v/>
      </c>
      <c r="AG715" s="76">
        <f>AF715-AE715</f>
        <v/>
      </c>
      <c r="AH715" s="75">
        <f>SUMIFS([1]инфо!$E$15:$E$28,[1]инфо!$A$15:$A$28,F715)</f>
        <v/>
      </c>
      <c r="AI715" s="64">
        <f>IF(H715=0,0,S715/H715)</f>
        <v/>
      </c>
      <c r="AJ715" s="76">
        <f>AI715-AH715</f>
        <v/>
      </c>
      <c r="AK715" s="75">
        <f>SUMIFS([1]инфо!$F$15:$F$28,[1]инфо!$A$15:$A$28,F715)</f>
        <v/>
      </c>
      <c r="AL715" s="64">
        <f>IF(H715=0,0,Y715/H715)</f>
        <v/>
      </c>
      <c r="AM715" s="76">
        <f>AL715-AK715</f>
        <v/>
      </c>
      <c r="AN715" s="75">
        <f>SUMIFS([1]инфо!$G$15:$G$28,[1]инфо!$A$15:$A$28,F715)</f>
        <v/>
      </c>
      <c r="AO715" s="64">
        <f>IF(H715=0,0,AA715/H715)</f>
        <v/>
      </c>
      <c r="AP715" s="76">
        <f>AO715-AN715</f>
        <v/>
      </c>
      <c r="AQ715" s="75">
        <f>SUMIFS([1]инфо!$H$15:$H$28,[1]инфо!$A$15:$A$28,F715)</f>
        <v/>
      </c>
      <c r="AR715" s="64">
        <f>IF(H714=0,0,AC715/H714)</f>
        <v/>
      </c>
      <c r="AS715" s="76">
        <f>AR715-AQ715</f>
        <v/>
      </c>
      <c r="AT715" s="75">
        <f>SUMIFS([1]инфо!$I$15:$I$28,[1]инфо!$A$15:$A$28,F715)</f>
        <v/>
      </c>
      <c r="AU715" s="62">
        <f>IF(H715=0,0,AD715/H715)</f>
        <v/>
      </c>
      <c r="AV715" s="76">
        <f>AU715-AT715</f>
        <v/>
      </c>
      <c r="AX715" s="70">
        <f>SUMIFS([1]инфо!$C$15:$C$28,[1]инфо!$A$15:$A$28,F715)*H714</f>
        <v/>
      </c>
    </row>
    <row r="716">
      <c r="A716" s="71">
        <f>A714+1</f>
        <v/>
      </c>
      <c r="B716" s="90" t="n"/>
      <c r="C716" s="52" t="n"/>
      <c r="D716" s="53" t="n"/>
      <c r="E716" s="91" t="n"/>
      <c r="F716" s="67" t="n"/>
      <c r="G716" s="58" t="n"/>
      <c r="H716" s="55" t="n"/>
      <c r="I716" s="57">
        <f>IFERROR(H716*VLOOKUP(F716,[1]инфо!$A$15:$C$28,3,FALSE)/1000,0)</f>
        <v/>
      </c>
      <c r="J716" s="55" t="n"/>
      <c r="K716" s="55" t="n"/>
      <c r="L716" s="55" t="n"/>
      <c r="M716" s="55" t="n"/>
      <c r="N716" s="55" t="n"/>
      <c r="O716" s="58" t="n"/>
      <c r="P716" s="58" t="n"/>
      <c r="Q716" s="58" t="n"/>
      <c r="R716" s="58" t="n"/>
      <c r="S716" s="59">
        <f>SUM(O716:R716)</f>
        <v/>
      </c>
      <c r="T716" s="52" t="n"/>
      <c r="U716" s="53" t="n"/>
      <c r="V716" s="58" t="n"/>
      <c r="W716" s="68" t="n"/>
      <c r="X716" s="58" t="n"/>
      <c r="Y716" s="52" t="n"/>
      <c r="Z716" s="58" t="n"/>
      <c r="AA716" s="58" t="n"/>
      <c r="AB716" s="58" t="n"/>
      <c r="AC716" s="68" t="n"/>
      <c r="AD716" s="53" t="n"/>
      <c r="AE716" s="61">
        <f>SUMIFS([1]инфо!$D$15:$D$28,[1]инфо!$A$15:$A$28,F716)</f>
        <v/>
      </c>
      <c r="AF716" s="62">
        <f>IF(H716=0,0,N716/H716)</f>
        <v/>
      </c>
      <c r="AG716" s="63">
        <f>AF716-AE716</f>
        <v/>
      </c>
      <c r="AH716" s="61">
        <f>SUMIFS([1]инфо!$E$15:$E$28,[1]инфо!$A$15:$A$28,F716)</f>
        <v/>
      </c>
      <c r="AI716" s="64">
        <f>IF(H716=0,0,S716/H716)</f>
        <v/>
      </c>
      <c r="AJ716" s="63">
        <f>AI716-AH716</f>
        <v/>
      </c>
      <c r="AK716" s="61">
        <f>SUMIFS([1]инфо!$F$15:$F$28,[1]инфо!$A$15:$A$28,F716)</f>
        <v/>
      </c>
      <c r="AL716" s="64">
        <f>IF(H716=0,0,Y716/H716)</f>
        <v/>
      </c>
      <c r="AM716" s="63">
        <f>AL716-AK716</f>
        <v/>
      </c>
      <c r="AN716" s="61">
        <f>SUMIFS([1]инфо!$G$15:$G$28,[1]инфо!$A$15:$A$28,F716)</f>
        <v/>
      </c>
      <c r="AO716" s="64">
        <f>IF(H716=0,0,AA716/H716)</f>
        <v/>
      </c>
      <c r="AP716" s="63">
        <f>AO716-AN716</f>
        <v/>
      </c>
      <c r="AQ716" s="61">
        <f>SUMIFS([1]инфо!$H$15:$H$28,[1]инфо!$A$15:$A$28,F716)</f>
        <v/>
      </c>
      <c r="AR716" s="62">
        <f>IF(H715=0,0,AC716/H715)</f>
        <v/>
      </c>
      <c r="AS716" s="63">
        <f>AR716-AQ716</f>
        <v/>
      </c>
      <c r="AT716" s="61">
        <f>SUMIFS([1]инфо!$I$15:$I$28,[1]инфо!$A$15:$A$28,F716)</f>
        <v/>
      </c>
      <c r="AU716" s="62">
        <f>IF(H716=0,0,AD716/H716)</f>
        <v/>
      </c>
      <c r="AV716" s="63">
        <f>AU716-AT716</f>
        <v/>
      </c>
      <c r="AX716" s="59">
        <f>SUMIFS([1]инфо!$C$15:$C$28,[1]инфо!$A$15:$A$28,F716)*H715</f>
        <v/>
      </c>
    </row>
    <row r="717">
      <c r="A717" s="71">
        <f>A715+1</f>
        <v/>
      </c>
      <c r="B717" s="90" t="n"/>
      <c r="C717" s="52" t="n"/>
      <c r="D717" s="53" t="n"/>
      <c r="E717" s="91" t="n"/>
      <c r="F717" s="67" t="n"/>
      <c r="G717" s="58" t="n"/>
      <c r="H717" s="56" t="n"/>
      <c r="I717" s="57">
        <f>IFERROR(H717*VLOOKUP(F717,[1]инфо!$A$15:$C$28,3,FALSE)/1000,0)</f>
        <v/>
      </c>
      <c r="J717" s="55" t="n"/>
      <c r="K717" s="55" t="n"/>
      <c r="L717" s="55" t="n"/>
      <c r="M717" s="55" t="n"/>
      <c r="N717" s="55" t="n"/>
      <c r="O717" s="58" t="n"/>
      <c r="P717" s="58" t="n"/>
      <c r="Q717" s="58" t="n"/>
      <c r="R717" s="58" t="n"/>
      <c r="S717" s="59">
        <f>SUM(O717:R717)</f>
        <v/>
      </c>
      <c r="T717" s="52" t="n"/>
      <c r="U717" s="53" t="n"/>
      <c r="V717" s="58" t="n"/>
      <c r="W717" s="68" t="n"/>
      <c r="X717" s="58" t="n"/>
      <c r="Y717" s="52" t="n"/>
      <c r="Z717" s="58" t="n"/>
      <c r="AA717" s="58" t="n"/>
      <c r="AB717" s="58" t="n"/>
      <c r="AC717" s="68" t="n"/>
      <c r="AD717" s="53" t="n"/>
      <c r="AE717" s="61">
        <f>SUMIFS([1]инфо!$D$15:$D$28,[1]инфо!$A$15:$A$28,F717)</f>
        <v/>
      </c>
      <c r="AF717" s="62">
        <f>IF(H717=0,0,N717/H717)</f>
        <v/>
      </c>
      <c r="AG717" s="63">
        <f>AF717-AE717</f>
        <v/>
      </c>
      <c r="AH717" s="61">
        <f>SUMIFS([1]инфо!$E$15:$E$28,[1]инфо!$A$15:$A$28,F717)</f>
        <v/>
      </c>
      <c r="AI717" s="64">
        <f>IF(H717=0,0,S717/H717)</f>
        <v/>
      </c>
      <c r="AJ717" s="63">
        <f>AI717-AH717</f>
        <v/>
      </c>
      <c r="AK717" s="61">
        <f>SUMIFS([1]инфо!$F$15:$F$28,[1]инфо!$A$15:$A$28,F717)</f>
        <v/>
      </c>
      <c r="AL717" s="64">
        <f>IF(H717=0,0,Y717/H717)</f>
        <v/>
      </c>
      <c r="AM717" s="63">
        <f>AL717-AK717</f>
        <v/>
      </c>
      <c r="AN717" s="61">
        <f>SUMIFS([1]инфо!$G$15:$G$28,[1]инфо!$A$15:$A$28,F717)</f>
        <v/>
      </c>
      <c r="AO717" s="64">
        <f>IF(H717=0,0,AA717/H717)</f>
        <v/>
      </c>
      <c r="AP717" s="63">
        <f>AO717-AN717</f>
        <v/>
      </c>
      <c r="AQ717" s="61">
        <f>SUMIFS([1]инфо!$H$15:$H$28,[1]инфо!$A$15:$A$28,F717)</f>
        <v/>
      </c>
      <c r="AR717" s="62">
        <f>IF(H716=0,0,AC717/H716)</f>
        <v/>
      </c>
      <c r="AS717" s="63">
        <f>AR717-AQ717</f>
        <v/>
      </c>
      <c r="AT717" s="61">
        <f>SUMIFS([1]инфо!$I$15:$I$28,[1]инфо!$A$15:$A$28,F717)</f>
        <v/>
      </c>
      <c r="AU717" s="62">
        <f>IF(H717=0,0,AD717/H717)</f>
        <v/>
      </c>
      <c r="AV717" s="63">
        <f>AU717-AT717</f>
        <v/>
      </c>
      <c r="AX717" s="59">
        <f>SUMIFS([1]инфо!$C$15:$C$28,[1]инфо!$A$15:$A$28,F717)*H716</f>
        <v/>
      </c>
    </row>
    <row r="718">
      <c r="A718" s="71">
        <f>A716+1</f>
        <v/>
      </c>
      <c r="B718" s="88" t="n"/>
      <c r="C718" s="77" t="n"/>
      <c r="D718" s="78" t="n"/>
      <c r="E718" s="91" t="n"/>
      <c r="F718" s="67" t="n"/>
      <c r="G718" s="79" t="n"/>
      <c r="H718" s="67" t="n"/>
      <c r="I718" s="57">
        <f>IFERROR(H718*VLOOKUP(F718,[1]инфо!$A$15:$C$28,3,FALSE)/1000,0)</f>
        <v/>
      </c>
      <c r="J718" s="55" t="n"/>
      <c r="K718" s="55" t="n"/>
      <c r="L718" s="55" t="n"/>
      <c r="M718" s="55" t="n"/>
      <c r="N718" s="56" t="n"/>
      <c r="O718" s="79" t="n"/>
      <c r="P718" s="79" t="n"/>
      <c r="Q718" s="79" t="n"/>
      <c r="R718" s="79" t="n"/>
      <c r="S718" s="80">
        <f>SUM(O718:R718)</f>
        <v/>
      </c>
      <c r="T718" s="77" t="n"/>
      <c r="U718" s="78" t="n"/>
      <c r="V718" s="79" t="n"/>
      <c r="W718" s="68" t="n"/>
      <c r="X718" s="79" t="n"/>
      <c r="Y718" s="77" t="n"/>
      <c r="Z718" s="79" t="n"/>
      <c r="AA718" s="79" t="n"/>
      <c r="AB718" s="79" t="n"/>
      <c r="AC718" s="68" t="n"/>
      <c r="AD718" s="78" t="n"/>
      <c r="AE718" s="81">
        <f>SUMIFS([1]инфо!$D$15:$D$28,[1]инфо!$A$15:$A$28,F718)</f>
        <v/>
      </c>
      <c r="AF718" s="62">
        <f>IF(H718=0,0,N718/H718)</f>
        <v/>
      </c>
      <c r="AG718" s="82">
        <f>AF718-AE718</f>
        <v/>
      </c>
      <c r="AH718" s="81">
        <f>SUMIFS([1]инфо!$E$15:$E$28,[1]инфо!$A$15:$A$28,F718)</f>
        <v/>
      </c>
      <c r="AI718" s="64">
        <f>IF(H718=0,0,S718/H718)</f>
        <v/>
      </c>
      <c r="AJ718" s="82">
        <f>AI718-AH718</f>
        <v/>
      </c>
      <c r="AK718" s="81">
        <f>SUMIFS([1]инфо!$F$15:$F$28,[1]инфо!$A$15:$A$28,F718)</f>
        <v/>
      </c>
      <c r="AL718" s="64">
        <f>IF(H718=0,0,Y718/H718)</f>
        <v/>
      </c>
      <c r="AM718" s="82">
        <f>AL718-AK718</f>
        <v/>
      </c>
      <c r="AN718" s="81">
        <f>SUMIFS([1]инфо!$G$15:$G$28,[1]инфо!$A$15:$A$28,F718)</f>
        <v/>
      </c>
      <c r="AO718" s="64">
        <f>IF(H718=0,0,AA718/H718)</f>
        <v/>
      </c>
      <c r="AP718" s="82">
        <f>AO718-AN718</f>
        <v/>
      </c>
      <c r="AQ718" s="81">
        <f>SUMIFS([1]инфо!$H$15:$H$28,[1]инфо!$A$15:$A$28,F718)</f>
        <v/>
      </c>
      <c r="AR718" s="85">
        <f>IF(H717=0,0,AC718/H717)</f>
        <v/>
      </c>
      <c r="AS718" s="82">
        <f>AR718-AQ718</f>
        <v/>
      </c>
      <c r="AT718" s="81">
        <f>SUMIFS([1]инфо!$I$15:$I$28,[1]инфо!$A$15:$A$28,F718)</f>
        <v/>
      </c>
      <c r="AU718" s="62">
        <f>IF(H718=0,0,AD718/H718)</f>
        <v/>
      </c>
      <c r="AV718" s="82">
        <f>AU718-AT718</f>
        <v/>
      </c>
      <c r="AX718" s="80">
        <f>SUMIFS([1]инфо!$C$15:$C$28,[1]инфо!$A$15:$A$28,F718)*H717</f>
        <v/>
      </c>
    </row>
    <row r="719">
      <c r="A719" s="71">
        <f>A717+1</f>
        <v/>
      </c>
      <c r="B719" s="89" t="n"/>
      <c r="C719" s="72" t="n"/>
      <c r="D719" s="73" t="n"/>
      <c r="E719" s="91" t="n"/>
      <c r="F719" s="67" t="n"/>
      <c r="G719" s="74" t="n"/>
      <c r="H719" s="55" t="n"/>
      <c r="I719" s="57">
        <f>IFERROR(H719*VLOOKUP(F719,[1]инфо!$A$15:$C$28,3,FALSE)/1000,0)</f>
        <v/>
      </c>
      <c r="J719" s="55" t="n"/>
      <c r="K719" s="55" t="n"/>
      <c r="L719" s="55" t="n"/>
      <c r="M719" s="55" t="n"/>
      <c r="N719" s="67" t="n"/>
      <c r="O719" s="74" t="n"/>
      <c r="P719" s="74" t="n"/>
      <c r="Q719" s="74" t="n"/>
      <c r="R719" s="74" t="n"/>
      <c r="S719" s="70">
        <f>SUM(O719:R719)</f>
        <v/>
      </c>
      <c r="T719" s="72" t="n"/>
      <c r="U719" s="73" t="n"/>
      <c r="V719" s="74" t="n"/>
      <c r="W719" s="68" t="n"/>
      <c r="X719" s="74" t="n"/>
      <c r="Y719" s="72" t="n"/>
      <c r="Z719" s="74" t="n"/>
      <c r="AA719" s="74" t="n"/>
      <c r="AB719" s="74" t="n"/>
      <c r="AC719" s="68" t="n"/>
      <c r="AD719" s="73" t="n"/>
      <c r="AE719" s="75">
        <f>SUMIFS([1]инфо!$D$15:$D$28,[1]инфо!$A$15:$A$28,F719)</f>
        <v/>
      </c>
      <c r="AF719" s="62">
        <f>IF(H719=0,0,N719/H719)</f>
        <v/>
      </c>
      <c r="AG719" s="76">
        <f>AF719-AE719</f>
        <v/>
      </c>
      <c r="AH719" s="75">
        <f>SUMIFS([1]инфо!$E$15:$E$28,[1]инфо!$A$15:$A$28,F719)</f>
        <v/>
      </c>
      <c r="AI719" s="64">
        <f>IF(H719=0,0,S719/H719)</f>
        <v/>
      </c>
      <c r="AJ719" s="76">
        <f>AI719-AH719</f>
        <v/>
      </c>
      <c r="AK719" s="75">
        <f>SUMIFS([1]инфо!$F$15:$F$28,[1]инфо!$A$15:$A$28,F719)</f>
        <v/>
      </c>
      <c r="AL719" s="64">
        <f>IF(H719=0,0,Y719/H719)</f>
        <v/>
      </c>
      <c r="AM719" s="76">
        <f>AL719-AK719</f>
        <v/>
      </c>
      <c r="AN719" s="75">
        <f>SUMIFS([1]инфо!$G$15:$G$28,[1]инфо!$A$15:$A$28,F719)</f>
        <v/>
      </c>
      <c r="AO719" s="64">
        <f>IF(H719=0,0,AA719/H719)</f>
        <v/>
      </c>
      <c r="AP719" s="76">
        <f>AO719-AN719</f>
        <v/>
      </c>
      <c r="AQ719" s="75">
        <f>SUMIFS([1]инфо!$H$15:$H$28,[1]инфо!$A$15:$A$28,F719)</f>
        <v/>
      </c>
      <c r="AR719" s="64">
        <f>IF(H718=0,0,AC719/H718)</f>
        <v/>
      </c>
      <c r="AS719" s="76">
        <f>AR719-AQ719</f>
        <v/>
      </c>
      <c r="AT719" s="75">
        <f>SUMIFS([1]инфо!$I$15:$I$28,[1]инфо!$A$15:$A$28,F719)</f>
        <v/>
      </c>
      <c r="AU719" s="62">
        <f>IF(H719=0,0,AD719/H719)</f>
        <v/>
      </c>
      <c r="AV719" s="76">
        <f>AU719-AT719</f>
        <v/>
      </c>
      <c r="AX719" s="70">
        <f>SUMIFS([1]инфо!$C$15:$C$28,[1]инфо!$A$15:$A$28,F719)*H718</f>
        <v/>
      </c>
    </row>
    <row r="720">
      <c r="A720" s="71">
        <f>A718+1</f>
        <v/>
      </c>
      <c r="B720" s="90" t="n"/>
      <c r="C720" s="52" t="n"/>
      <c r="D720" s="53" t="n"/>
      <c r="E720" s="91" t="n"/>
      <c r="F720" s="67" t="n"/>
      <c r="G720" s="58" t="n"/>
      <c r="H720" s="55" t="n"/>
      <c r="I720" s="57">
        <f>IFERROR(H720*VLOOKUP(F720,[1]инфо!$A$15:$C$28,3,FALSE)/1000,0)</f>
        <v/>
      </c>
      <c r="J720" s="55" t="n"/>
      <c r="K720" s="55" t="n"/>
      <c r="L720" s="55" t="n"/>
      <c r="M720" s="55" t="n"/>
      <c r="N720" s="55" t="n"/>
      <c r="O720" s="58" t="n"/>
      <c r="P720" s="58" t="n"/>
      <c r="Q720" s="58" t="n"/>
      <c r="R720" s="58" t="n"/>
      <c r="S720" s="59">
        <f>SUM(O720:R720)</f>
        <v/>
      </c>
      <c r="T720" s="52" t="n"/>
      <c r="U720" s="53" t="n"/>
      <c r="V720" s="58" t="n"/>
      <c r="W720" s="68" t="n"/>
      <c r="X720" s="58" t="n"/>
      <c r="Y720" s="52" t="n"/>
      <c r="Z720" s="58" t="n"/>
      <c r="AA720" s="58" t="n"/>
      <c r="AB720" s="58" t="n"/>
      <c r="AC720" s="68" t="n"/>
      <c r="AD720" s="53" t="n"/>
      <c r="AE720" s="61">
        <f>SUMIFS([1]инфо!$D$15:$D$28,[1]инфо!$A$15:$A$28,F720)</f>
        <v/>
      </c>
      <c r="AF720" s="62">
        <f>IF(H720=0,0,N720/H720)</f>
        <v/>
      </c>
      <c r="AG720" s="63">
        <f>AF720-AE720</f>
        <v/>
      </c>
      <c r="AH720" s="61">
        <f>SUMIFS([1]инфо!$E$15:$E$28,[1]инфо!$A$15:$A$28,F720)</f>
        <v/>
      </c>
      <c r="AI720" s="64">
        <f>IF(H720=0,0,S720/H720)</f>
        <v/>
      </c>
      <c r="AJ720" s="63">
        <f>AI720-AH720</f>
        <v/>
      </c>
      <c r="AK720" s="61">
        <f>SUMIFS([1]инфо!$F$15:$F$28,[1]инфо!$A$15:$A$28,F720)</f>
        <v/>
      </c>
      <c r="AL720" s="64">
        <f>IF(H720=0,0,Y720/H720)</f>
        <v/>
      </c>
      <c r="AM720" s="63">
        <f>AL720-AK720</f>
        <v/>
      </c>
      <c r="AN720" s="61">
        <f>SUMIFS([1]инфо!$G$15:$G$28,[1]инфо!$A$15:$A$28,F720)</f>
        <v/>
      </c>
      <c r="AO720" s="64">
        <f>IF(H720=0,0,AA720/H720)</f>
        <v/>
      </c>
      <c r="AP720" s="63">
        <f>AO720-AN720</f>
        <v/>
      </c>
      <c r="AQ720" s="61">
        <f>SUMIFS([1]инфо!$H$15:$H$28,[1]инфо!$A$15:$A$28,F720)</f>
        <v/>
      </c>
      <c r="AR720" s="62">
        <f>IF(H719=0,0,AC720/H719)</f>
        <v/>
      </c>
      <c r="AS720" s="63">
        <f>AR720-AQ720</f>
        <v/>
      </c>
      <c r="AT720" s="61">
        <f>SUMIFS([1]инфо!$I$15:$I$28,[1]инфо!$A$15:$A$28,F720)</f>
        <v/>
      </c>
      <c r="AU720" s="62">
        <f>IF(H720=0,0,AD720/H720)</f>
        <v/>
      </c>
      <c r="AV720" s="63">
        <f>AU720-AT720</f>
        <v/>
      </c>
      <c r="AX720" s="59">
        <f>SUMIFS([1]инфо!$C$15:$C$28,[1]инфо!$A$15:$A$28,F720)*H719</f>
        <v/>
      </c>
    </row>
    <row r="721">
      <c r="A721" s="71">
        <f>A719+1</f>
        <v/>
      </c>
      <c r="B721" s="90" t="n"/>
      <c r="C721" s="52" t="n"/>
      <c r="D721" s="53" t="n"/>
      <c r="E721" s="91" t="n"/>
      <c r="F721" s="67" t="n"/>
      <c r="G721" s="58" t="n"/>
      <c r="H721" s="56" t="n"/>
      <c r="I721" s="57">
        <f>IFERROR(H721*VLOOKUP(F721,[1]инфо!$A$15:$C$28,3,FALSE)/1000,0)</f>
        <v/>
      </c>
      <c r="J721" s="55" t="n"/>
      <c r="K721" s="55" t="n"/>
      <c r="L721" s="55" t="n"/>
      <c r="M721" s="55" t="n"/>
      <c r="N721" s="55" t="n"/>
      <c r="O721" s="58" t="n"/>
      <c r="P721" s="58" t="n"/>
      <c r="Q721" s="58" t="n"/>
      <c r="R721" s="58" t="n"/>
      <c r="S721" s="59">
        <f>SUM(O721:R721)</f>
        <v/>
      </c>
      <c r="T721" s="52" t="n"/>
      <c r="U721" s="53" t="n"/>
      <c r="V721" s="58" t="n"/>
      <c r="W721" s="68" t="n"/>
      <c r="X721" s="58" t="n"/>
      <c r="Y721" s="52" t="n"/>
      <c r="Z721" s="58" t="n"/>
      <c r="AA721" s="58" t="n"/>
      <c r="AB721" s="58" t="n"/>
      <c r="AC721" s="68" t="n"/>
      <c r="AD721" s="53" t="n"/>
      <c r="AE721" s="61">
        <f>SUMIFS([1]инфо!$D$15:$D$28,[1]инфо!$A$15:$A$28,F721)</f>
        <v/>
      </c>
      <c r="AF721" s="62">
        <f>IF(H721=0,0,N721/H721)</f>
        <v/>
      </c>
      <c r="AG721" s="63">
        <f>AF721-AE721</f>
        <v/>
      </c>
      <c r="AH721" s="61">
        <f>SUMIFS([1]инфо!$E$15:$E$28,[1]инфо!$A$15:$A$28,F721)</f>
        <v/>
      </c>
      <c r="AI721" s="64">
        <f>IF(H721=0,0,S721/H721)</f>
        <v/>
      </c>
      <c r="AJ721" s="63">
        <f>AI721-AH721</f>
        <v/>
      </c>
      <c r="AK721" s="61">
        <f>SUMIFS([1]инфо!$F$15:$F$28,[1]инфо!$A$15:$A$28,F721)</f>
        <v/>
      </c>
      <c r="AL721" s="64">
        <f>IF(H721=0,0,Y721/H721)</f>
        <v/>
      </c>
      <c r="AM721" s="63">
        <f>AL721-AK721</f>
        <v/>
      </c>
      <c r="AN721" s="61">
        <f>SUMIFS([1]инфо!$G$15:$G$28,[1]инфо!$A$15:$A$28,F721)</f>
        <v/>
      </c>
      <c r="AO721" s="64">
        <f>IF(H721=0,0,AA721/H721)</f>
        <v/>
      </c>
      <c r="AP721" s="63">
        <f>AO721-AN721</f>
        <v/>
      </c>
      <c r="AQ721" s="61">
        <f>SUMIFS([1]инфо!$H$15:$H$28,[1]инфо!$A$15:$A$28,F721)</f>
        <v/>
      </c>
      <c r="AR721" s="62">
        <f>IF(H720=0,0,AC721/H720)</f>
        <v/>
      </c>
      <c r="AS721" s="63">
        <f>AR721-AQ721</f>
        <v/>
      </c>
      <c r="AT721" s="61">
        <f>SUMIFS([1]инфо!$I$15:$I$28,[1]инфо!$A$15:$A$28,F721)</f>
        <v/>
      </c>
      <c r="AU721" s="62">
        <f>IF(H721=0,0,AD721/H721)</f>
        <v/>
      </c>
      <c r="AV721" s="63">
        <f>AU721-AT721</f>
        <v/>
      </c>
      <c r="AX721" s="59">
        <f>SUMIFS([1]инфо!$C$15:$C$28,[1]инфо!$A$15:$A$28,F721)*H720</f>
        <v/>
      </c>
    </row>
    <row r="722">
      <c r="A722" s="71">
        <f>A720+1</f>
        <v/>
      </c>
      <c r="B722" s="88" t="n"/>
      <c r="C722" s="77" t="n"/>
      <c r="D722" s="78" t="n"/>
      <c r="E722" s="91" t="n"/>
      <c r="F722" s="67" t="n"/>
      <c r="G722" s="79" t="n"/>
      <c r="H722" s="67" t="n"/>
      <c r="I722" s="57">
        <f>IFERROR(H722*VLOOKUP(F722,[1]инфо!$A$15:$C$28,3,FALSE)/1000,0)</f>
        <v/>
      </c>
      <c r="J722" s="55" t="n"/>
      <c r="K722" s="55" t="n"/>
      <c r="L722" s="55" t="n"/>
      <c r="M722" s="55" t="n"/>
      <c r="N722" s="56" t="n"/>
      <c r="O722" s="79" t="n"/>
      <c r="P722" s="79" t="n"/>
      <c r="Q722" s="79" t="n"/>
      <c r="R722" s="79" t="n"/>
      <c r="S722" s="80">
        <f>SUM(O722:R722)</f>
        <v/>
      </c>
      <c r="T722" s="77" t="n"/>
      <c r="U722" s="78" t="n"/>
      <c r="V722" s="79" t="n"/>
      <c r="W722" s="68" t="n"/>
      <c r="X722" s="79" t="n"/>
      <c r="Y722" s="77" t="n"/>
      <c r="Z722" s="79" t="n"/>
      <c r="AA722" s="79" t="n"/>
      <c r="AB722" s="79" t="n"/>
      <c r="AC722" s="68" t="n"/>
      <c r="AD722" s="78" t="n"/>
      <c r="AE722" s="81">
        <f>SUMIFS([1]инфо!$D$15:$D$28,[1]инфо!$A$15:$A$28,F722)</f>
        <v/>
      </c>
      <c r="AF722" s="62">
        <f>IF(H722=0,0,N722/H722)</f>
        <v/>
      </c>
      <c r="AG722" s="82">
        <f>AF722-AE722</f>
        <v/>
      </c>
      <c r="AH722" s="81">
        <f>SUMIFS([1]инфо!$E$15:$E$28,[1]инфо!$A$15:$A$28,F722)</f>
        <v/>
      </c>
      <c r="AI722" s="64">
        <f>IF(H722=0,0,S722/H722)</f>
        <v/>
      </c>
      <c r="AJ722" s="82">
        <f>AI722-AH722</f>
        <v/>
      </c>
      <c r="AK722" s="81">
        <f>SUMIFS([1]инфо!$F$15:$F$28,[1]инфо!$A$15:$A$28,F722)</f>
        <v/>
      </c>
      <c r="AL722" s="64">
        <f>IF(H722=0,0,Y722/H722)</f>
        <v/>
      </c>
      <c r="AM722" s="82">
        <f>AL722-AK722</f>
        <v/>
      </c>
      <c r="AN722" s="81">
        <f>SUMIFS([1]инфо!$G$15:$G$28,[1]инфо!$A$15:$A$28,F722)</f>
        <v/>
      </c>
      <c r="AO722" s="64">
        <f>IF(H722=0,0,AA722/H722)</f>
        <v/>
      </c>
      <c r="AP722" s="82">
        <f>AO722-AN722</f>
        <v/>
      </c>
      <c r="AQ722" s="81">
        <f>SUMIFS([1]инфо!$H$15:$H$28,[1]инфо!$A$15:$A$28,F722)</f>
        <v/>
      </c>
      <c r="AR722" s="85">
        <f>IF(H721=0,0,AC722/H721)</f>
        <v/>
      </c>
      <c r="AS722" s="82">
        <f>AR722-AQ722</f>
        <v/>
      </c>
      <c r="AT722" s="81">
        <f>SUMIFS([1]инфо!$I$15:$I$28,[1]инфо!$A$15:$A$28,F722)</f>
        <v/>
      </c>
      <c r="AU722" s="62">
        <f>IF(H722=0,0,AD722/H722)</f>
        <v/>
      </c>
      <c r="AV722" s="82">
        <f>AU722-AT722</f>
        <v/>
      </c>
      <c r="AX722" s="80">
        <f>SUMIFS([1]инфо!$C$15:$C$28,[1]инфо!$A$15:$A$28,F722)*H721</f>
        <v/>
      </c>
    </row>
    <row r="723">
      <c r="A723" s="71">
        <f>A721+1</f>
        <v/>
      </c>
      <c r="B723" s="89" t="n"/>
      <c r="C723" s="72" t="n"/>
      <c r="D723" s="73" t="n"/>
      <c r="E723" s="91" t="n"/>
      <c r="F723" s="67" t="n"/>
      <c r="G723" s="74" t="n"/>
      <c r="H723" s="55" t="n"/>
      <c r="I723" s="57">
        <f>IFERROR(H723*VLOOKUP(F723,[1]инфо!$A$15:$C$28,3,FALSE)/1000,0)</f>
        <v/>
      </c>
      <c r="J723" s="55" t="n"/>
      <c r="K723" s="55" t="n"/>
      <c r="L723" s="55" t="n"/>
      <c r="M723" s="55" t="n"/>
      <c r="N723" s="67" t="n"/>
      <c r="O723" s="74" t="n"/>
      <c r="P723" s="74" t="n"/>
      <c r="Q723" s="74" t="n"/>
      <c r="R723" s="74" t="n"/>
      <c r="S723" s="70">
        <f>SUM(O723:R723)</f>
        <v/>
      </c>
      <c r="T723" s="72" t="n"/>
      <c r="U723" s="73" t="n"/>
      <c r="V723" s="74" t="n"/>
      <c r="W723" s="68" t="n"/>
      <c r="X723" s="74" t="n"/>
      <c r="Y723" s="72" t="n"/>
      <c r="Z723" s="74" t="n"/>
      <c r="AA723" s="74" t="n"/>
      <c r="AB723" s="74" t="n"/>
      <c r="AC723" s="68" t="n"/>
      <c r="AD723" s="73" t="n"/>
      <c r="AE723" s="75">
        <f>SUMIFS([1]инфо!$D$15:$D$28,[1]инфо!$A$15:$A$28,F723)</f>
        <v/>
      </c>
      <c r="AF723" s="62">
        <f>IF(H723=0,0,N723/H723)</f>
        <v/>
      </c>
      <c r="AG723" s="76">
        <f>AF723-AE723</f>
        <v/>
      </c>
      <c r="AH723" s="75">
        <f>SUMIFS([1]инфо!$E$15:$E$28,[1]инфо!$A$15:$A$28,F723)</f>
        <v/>
      </c>
      <c r="AI723" s="64">
        <f>IF(H723=0,0,S723/H723)</f>
        <v/>
      </c>
      <c r="AJ723" s="76">
        <f>AI723-AH723</f>
        <v/>
      </c>
      <c r="AK723" s="75">
        <f>SUMIFS([1]инфо!$F$15:$F$28,[1]инфо!$A$15:$A$28,F723)</f>
        <v/>
      </c>
      <c r="AL723" s="64">
        <f>IF(H723=0,0,Y723/H723)</f>
        <v/>
      </c>
      <c r="AM723" s="76">
        <f>AL723-AK723</f>
        <v/>
      </c>
      <c r="AN723" s="75">
        <f>SUMIFS([1]инфо!$G$15:$G$28,[1]инфо!$A$15:$A$28,F723)</f>
        <v/>
      </c>
      <c r="AO723" s="64">
        <f>IF(H723=0,0,AA723/H723)</f>
        <v/>
      </c>
      <c r="AP723" s="76">
        <f>AO723-AN723</f>
        <v/>
      </c>
      <c r="AQ723" s="75">
        <f>SUMIFS([1]инфо!$H$15:$H$28,[1]инфо!$A$15:$A$28,F723)</f>
        <v/>
      </c>
      <c r="AR723" s="64">
        <f>IF(H722=0,0,AC723/H722)</f>
        <v/>
      </c>
      <c r="AS723" s="76">
        <f>AR723-AQ723</f>
        <v/>
      </c>
      <c r="AT723" s="75">
        <f>SUMIFS([1]инфо!$I$15:$I$28,[1]инфо!$A$15:$A$28,F723)</f>
        <v/>
      </c>
      <c r="AU723" s="62">
        <f>IF(H723=0,0,AD723/H723)</f>
        <v/>
      </c>
      <c r="AV723" s="76">
        <f>AU723-AT723</f>
        <v/>
      </c>
      <c r="AX723" s="70">
        <f>SUMIFS([1]инфо!$C$15:$C$28,[1]инфо!$A$15:$A$28,F723)*H722</f>
        <v/>
      </c>
    </row>
    <row r="724">
      <c r="A724" s="71">
        <f>A722+1</f>
        <v/>
      </c>
      <c r="B724" s="90" t="n"/>
      <c r="C724" s="52" t="n"/>
      <c r="D724" s="53" t="n"/>
      <c r="E724" s="91" t="n"/>
      <c r="F724" s="67" t="n"/>
      <c r="G724" s="58" t="n"/>
      <c r="H724" s="55" t="n"/>
      <c r="I724" s="57">
        <f>IFERROR(H724*VLOOKUP(F724,[1]инфо!$A$15:$C$28,3,FALSE)/1000,0)</f>
        <v/>
      </c>
      <c r="J724" s="55" t="n"/>
      <c r="K724" s="55" t="n"/>
      <c r="L724" s="55" t="n"/>
      <c r="M724" s="55" t="n"/>
      <c r="N724" s="55" t="n"/>
      <c r="O724" s="58" t="n"/>
      <c r="P724" s="58" t="n"/>
      <c r="Q724" s="58" t="n"/>
      <c r="R724" s="58" t="n"/>
      <c r="S724" s="59">
        <f>SUM(O724:R724)</f>
        <v/>
      </c>
      <c r="T724" s="52" t="n"/>
      <c r="U724" s="53" t="n"/>
      <c r="V724" s="58" t="n"/>
      <c r="W724" s="68" t="n"/>
      <c r="X724" s="58" t="n"/>
      <c r="Y724" s="52" t="n"/>
      <c r="Z724" s="58" t="n"/>
      <c r="AA724" s="58" t="n"/>
      <c r="AB724" s="58" t="n"/>
      <c r="AC724" s="68" t="n"/>
      <c r="AD724" s="53" t="n"/>
      <c r="AE724" s="61">
        <f>SUMIFS([1]инфо!$D$15:$D$28,[1]инфо!$A$15:$A$28,F724)</f>
        <v/>
      </c>
      <c r="AF724" s="62">
        <f>IF(H724=0,0,N724/H724)</f>
        <v/>
      </c>
      <c r="AG724" s="63">
        <f>AF724-AE724</f>
        <v/>
      </c>
      <c r="AH724" s="61">
        <f>SUMIFS([1]инфо!$E$15:$E$28,[1]инфо!$A$15:$A$28,F724)</f>
        <v/>
      </c>
      <c r="AI724" s="64">
        <f>IF(H724=0,0,S724/H724)</f>
        <v/>
      </c>
      <c r="AJ724" s="63">
        <f>AI724-AH724</f>
        <v/>
      </c>
      <c r="AK724" s="61">
        <f>SUMIFS([1]инфо!$F$15:$F$28,[1]инфо!$A$15:$A$28,F724)</f>
        <v/>
      </c>
      <c r="AL724" s="64">
        <f>IF(H724=0,0,Y724/H724)</f>
        <v/>
      </c>
      <c r="AM724" s="63">
        <f>AL724-AK724</f>
        <v/>
      </c>
      <c r="AN724" s="61">
        <f>SUMIFS([1]инфо!$G$15:$G$28,[1]инфо!$A$15:$A$28,F724)</f>
        <v/>
      </c>
      <c r="AO724" s="64">
        <f>IF(H724=0,0,AA724/H724)</f>
        <v/>
      </c>
      <c r="AP724" s="63">
        <f>AO724-AN724</f>
        <v/>
      </c>
      <c r="AQ724" s="61">
        <f>SUMIFS([1]инфо!$H$15:$H$28,[1]инфо!$A$15:$A$28,F724)</f>
        <v/>
      </c>
      <c r="AR724" s="62">
        <f>IF(H723=0,0,AC724/H723)</f>
        <v/>
      </c>
      <c r="AS724" s="63">
        <f>AR724-AQ724</f>
        <v/>
      </c>
      <c r="AT724" s="61">
        <f>SUMIFS([1]инфо!$I$15:$I$28,[1]инфо!$A$15:$A$28,F724)</f>
        <v/>
      </c>
      <c r="AU724" s="62">
        <f>IF(H724=0,0,AD724/H724)</f>
        <v/>
      </c>
      <c r="AV724" s="63">
        <f>AU724-AT724</f>
        <v/>
      </c>
      <c r="AX724" s="59">
        <f>SUMIFS([1]инфо!$C$15:$C$28,[1]инфо!$A$15:$A$28,F724)*H723</f>
        <v/>
      </c>
    </row>
    <row r="725">
      <c r="A725" s="71">
        <f>A723+1</f>
        <v/>
      </c>
      <c r="B725" s="90" t="n"/>
      <c r="C725" s="52" t="n"/>
      <c r="D725" s="53" t="n"/>
      <c r="E725" s="91" t="n"/>
      <c r="F725" s="67" t="n"/>
      <c r="G725" s="58" t="n"/>
      <c r="H725" s="56" t="n"/>
      <c r="I725" s="57">
        <f>IFERROR(H725*VLOOKUP(F725,[1]инфо!$A$15:$C$28,3,FALSE)/1000,0)</f>
        <v/>
      </c>
      <c r="J725" s="55" t="n"/>
      <c r="K725" s="55" t="n"/>
      <c r="L725" s="55" t="n"/>
      <c r="M725" s="55" t="n"/>
      <c r="N725" s="55" t="n"/>
      <c r="O725" s="58" t="n"/>
      <c r="P725" s="58" t="n"/>
      <c r="Q725" s="58" t="n"/>
      <c r="R725" s="58" t="n"/>
      <c r="S725" s="59">
        <f>SUM(O725:R725)</f>
        <v/>
      </c>
      <c r="T725" s="52" t="n"/>
      <c r="U725" s="53" t="n"/>
      <c r="V725" s="58" t="n"/>
      <c r="W725" s="68" t="n"/>
      <c r="X725" s="58" t="n"/>
      <c r="Y725" s="52" t="n"/>
      <c r="Z725" s="58" t="n"/>
      <c r="AA725" s="58" t="n"/>
      <c r="AB725" s="58" t="n"/>
      <c r="AC725" s="68" t="n"/>
      <c r="AD725" s="53" t="n"/>
      <c r="AE725" s="61">
        <f>SUMIFS([1]инфо!$D$15:$D$28,[1]инфо!$A$15:$A$28,F725)</f>
        <v/>
      </c>
      <c r="AF725" s="62">
        <f>IF(H725=0,0,N725/H725)</f>
        <v/>
      </c>
      <c r="AG725" s="63">
        <f>AF725-AE725</f>
        <v/>
      </c>
      <c r="AH725" s="61">
        <f>SUMIFS([1]инфо!$E$15:$E$28,[1]инфо!$A$15:$A$28,F725)</f>
        <v/>
      </c>
      <c r="AI725" s="64">
        <f>IF(H725=0,0,S725/H725)</f>
        <v/>
      </c>
      <c r="AJ725" s="63">
        <f>AI725-AH725</f>
        <v/>
      </c>
      <c r="AK725" s="61">
        <f>SUMIFS([1]инфо!$F$15:$F$28,[1]инфо!$A$15:$A$28,F725)</f>
        <v/>
      </c>
      <c r="AL725" s="64">
        <f>IF(H725=0,0,Y725/H725)</f>
        <v/>
      </c>
      <c r="AM725" s="63">
        <f>AL725-AK725</f>
        <v/>
      </c>
      <c r="AN725" s="61">
        <f>SUMIFS([1]инфо!$G$15:$G$28,[1]инфо!$A$15:$A$28,F725)</f>
        <v/>
      </c>
      <c r="AO725" s="64">
        <f>IF(H725=0,0,AA725/H725)</f>
        <v/>
      </c>
      <c r="AP725" s="63">
        <f>AO725-AN725</f>
        <v/>
      </c>
      <c r="AQ725" s="61">
        <f>SUMIFS([1]инфо!$H$15:$H$28,[1]инфо!$A$15:$A$28,F725)</f>
        <v/>
      </c>
      <c r="AR725" s="62">
        <f>IF(H724=0,0,AC725/H724)</f>
        <v/>
      </c>
      <c r="AS725" s="63">
        <f>AR725-AQ725</f>
        <v/>
      </c>
      <c r="AT725" s="61">
        <f>SUMIFS([1]инфо!$I$15:$I$28,[1]инфо!$A$15:$A$28,F725)</f>
        <v/>
      </c>
      <c r="AU725" s="62">
        <f>IF(H725=0,0,AD725/H725)</f>
        <v/>
      </c>
      <c r="AV725" s="63">
        <f>AU725-AT725</f>
        <v/>
      </c>
      <c r="AX725" s="59">
        <f>SUMIFS([1]инфо!$C$15:$C$28,[1]инфо!$A$15:$A$28,F725)*H724</f>
        <v/>
      </c>
    </row>
    <row r="726">
      <c r="A726" s="71">
        <f>A724+1</f>
        <v/>
      </c>
      <c r="B726" s="88" t="n"/>
      <c r="C726" s="77" t="n"/>
      <c r="D726" s="78" t="n"/>
      <c r="E726" s="91" t="n"/>
      <c r="F726" s="67" t="n"/>
      <c r="G726" s="79" t="n"/>
      <c r="H726" s="67" t="n"/>
      <c r="I726" s="57">
        <f>IFERROR(H726*VLOOKUP(F726,[1]инфо!$A$15:$C$28,3,FALSE)/1000,0)</f>
        <v/>
      </c>
      <c r="J726" s="55" t="n"/>
      <c r="K726" s="55" t="n"/>
      <c r="L726" s="55" t="n"/>
      <c r="M726" s="55" t="n"/>
      <c r="N726" s="56" t="n"/>
      <c r="O726" s="79" t="n"/>
      <c r="P726" s="79" t="n"/>
      <c r="Q726" s="79" t="n"/>
      <c r="R726" s="79" t="n"/>
      <c r="S726" s="80">
        <f>SUM(O726:R726)</f>
        <v/>
      </c>
      <c r="T726" s="77" t="n"/>
      <c r="U726" s="78" t="n"/>
      <c r="V726" s="79" t="n"/>
      <c r="W726" s="68" t="n"/>
      <c r="X726" s="79" t="n"/>
      <c r="Y726" s="77" t="n"/>
      <c r="Z726" s="79" t="n"/>
      <c r="AA726" s="79" t="n"/>
      <c r="AB726" s="79" t="n"/>
      <c r="AC726" s="68" t="n"/>
      <c r="AD726" s="78" t="n"/>
      <c r="AE726" s="81">
        <f>SUMIFS([1]инфо!$D$15:$D$28,[1]инфо!$A$15:$A$28,F726)</f>
        <v/>
      </c>
      <c r="AF726" s="62">
        <f>IF(H726=0,0,N726/H726)</f>
        <v/>
      </c>
      <c r="AG726" s="82">
        <f>AF726-AE726</f>
        <v/>
      </c>
      <c r="AH726" s="81">
        <f>SUMIFS([1]инфо!$E$15:$E$28,[1]инфо!$A$15:$A$28,F726)</f>
        <v/>
      </c>
      <c r="AI726" s="64">
        <f>IF(H726=0,0,S726/H726)</f>
        <v/>
      </c>
      <c r="AJ726" s="82">
        <f>AI726-AH726</f>
        <v/>
      </c>
      <c r="AK726" s="81">
        <f>SUMIFS([1]инфо!$F$15:$F$28,[1]инфо!$A$15:$A$28,F726)</f>
        <v/>
      </c>
      <c r="AL726" s="64">
        <f>IF(H726=0,0,Y726/H726)</f>
        <v/>
      </c>
      <c r="AM726" s="82">
        <f>AL726-AK726</f>
        <v/>
      </c>
      <c r="AN726" s="81">
        <f>SUMIFS([1]инфо!$G$15:$G$28,[1]инфо!$A$15:$A$28,F726)</f>
        <v/>
      </c>
      <c r="AO726" s="64">
        <f>IF(H726=0,0,AA726/H726)</f>
        <v/>
      </c>
      <c r="AP726" s="82">
        <f>AO726-AN726</f>
        <v/>
      </c>
      <c r="AQ726" s="81">
        <f>SUMIFS([1]инфо!$H$15:$H$28,[1]инфо!$A$15:$A$28,F726)</f>
        <v/>
      </c>
      <c r="AR726" s="85">
        <f>IF(H725=0,0,AC726/H725)</f>
        <v/>
      </c>
      <c r="AS726" s="82">
        <f>AR726-AQ726</f>
        <v/>
      </c>
      <c r="AT726" s="81">
        <f>SUMIFS([1]инфо!$I$15:$I$28,[1]инфо!$A$15:$A$28,F726)</f>
        <v/>
      </c>
      <c r="AU726" s="62">
        <f>IF(H726=0,0,AD726/H726)</f>
        <v/>
      </c>
      <c r="AV726" s="82">
        <f>AU726-AT726</f>
        <v/>
      </c>
      <c r="AX726" s="80">
        <f>SUMIFS([1]инфо!$C$15:$C$28,[1]инфо!$A$15:$A$28,F726)*H725</f>
        <v/>
      </c>
    </row>
    <row r="727">
      <c r="A727" s="71">
        <f>A725+1</f>
        <v/>
      </c>
      <c r="B727" s="89" t="n"/>
      <c r="C727" s="72" t="n"/>
      <c r="D727" s="73" t="n"/>
      <c r="E727" s="91" t="n"/>
      <c r="F727" s="67" t="n"/>
      <c r="G727" s="74" t="n"/>
      <c r="H727" s="55" t="n"/>
      <c r="I727" s="57">
        <f>IFERROR(H727*VLOOKUP(F727,[1]инфо!$A$15:$C$28,3,FALSE)/1000,0)</f>
        <v/>
      </c>
      <c r="J727" s="55" t="n"/>
      <c r="K727" s="55" t="n"/>
      <c r="L727" s="55" t="n"/>
      <c r="M727" s="55" t="n"/>
      <c r="N727" s="67" t="n"/>
      <c r="O727" s="74" t="n"/>
      <c r="P727" s="74" t="n"/>
      <c r="Q727" s="74" t="n"/>
      <c r="R727" s="74" t="n"/>
      <c r="S727" s="70">
        <f>SUM(O727:R727)</f>
        <v/>
      </c>
      <c r="T727" s="72" t="n"/>
      <c r="U727" s="73" t="n"/>
      <c r="V727" s="74" t="n"/>
      <c r="W727" s="68" t="n"/>
      <c r="X727" s="74" t="n"/>
      <c r="Y727" s="72" t="n"/>
      <c r="Z727" s="74" t="n"/>
      <c r="AA727" s="74" t="n"/>
      <c r="AB727" s="74" t="n"/>
      <c r="AC727" s="68" t="n"/>
      <c r="AD727" s="73" t="n"/>
      <c r="AE727" s="75">
        <f>SUMIFS([1]инфо!$D$15:$D$28,[1]инфо!$A$15:$A$28,F727)</f>
        <v/>
      </c>
      <c r="AF727" s="62">
        <f>IF(H727=0,0,N727/H727)</f>
        <v/>
      </c>
      <c r="AG727" s="76">
        <f>AF727-AE727</f>
        <v/>
      </c>
      <c r="AH727" s="75">
        <f>SUMIFS([1]инфо!$E$15:$E$28,[1]инфо!$A$15:$A$28,F727)</f>
        <v/>
      </c>
      <c r="AI727" s="64">
        <f>IF(H727=0,0,S727/H727)</f>
        <v/>
      </c>
      <c r="AJ727" s="76">
        <f>AI727-AH727</f>
        <v/>
      </c>
      <c r="AK727" s="75">
        <f>SUMIFS([1]инфо!$F$15:$F$28,[1]инфо!$A$15:$A$28,F727)</f>
        <v/>
      </c>
      <c r="AL727" s="64">
        <f>IF(H727=0,0,Y727/H727)</f>
        <v/>
      </c>
      <c r="AM727" s="76">
        <f>AL727-AK727</f>
        <v/>
      </c>
      <c r="AN727" s="75">
        <f>SUMIFS([1]инфо!$G$15:$G$28,[1]инфо!$A$15:$A$28,F727)</f>
        <v/>
      </c>
      <c r="AO727" s="64">
        <f>IF(H727=0,0,AA727/H727)</f>
        <v/>
      </c>
      <c r="AP727" s="76">
        <f>AO727-AN727</f>
        <v/>
      </c>
      <c r="AQ727" s="75">
        <f>SUMIFS([1]инфо!$H$15:$H$28,[1]инфо!$A$15:$A$28,F727)</f>
        <v/>
      </c>
      <c r="AR727" s="64">
        <f>IF(H726=0,0,AC727/H726)</f>
        <v/>
      </c>
      <c r="AS727" s="76">
        <f>AR727-AQ727</f>
        <v/>
      </c>
      <c r="AT727" s="75">
        <f>SUMIFS([1]инфо!$I$15:$I$28,[1]инфо!$A$15:$A$28,F727)</f>
        <v/>
      </c>
      <c r="AU727" s="62">
        <f>IF(H727=0,0,AD727/H727)</f>
        <v/>
      </c>
      <c r="AV727" s="76">
        <f>AU727-AT727</f>
        <v/>
      </c>
      <c r="AX727" s="70">
        <f>SUMIFS([1]инфо!$C$15:$C$28,[1]инфо!$A$15:$A$28,F727)*H726</f>
        <v/>
      </c>
    </row>
    <row r="728">
      <c r="A728" s="71">
        <f>A726+1</f>
        <v/>
      </c>
      <c r="B728" s="90" t="n"/>
      <c r="C728" s="52" t="n"/>
      <c r="D728" s="53" t="n"/>
      <c r="E728" s="91" t="n"/>
      <c r="F728" s="67" t="n"/>
      <c r="G728" s="58" t="n"/>
      <c r="H728" s="55" t="n"/>
      <c r="I728" s="57">
        <f>IFERROR(H728*VLOOKUP(F728,[1]инфо!$A$15:$C$28,3,FALSE)/1000,0)</f>
        <v/>
      </c>
      <c r="J728" s="55" t="n"/>
      <c r="K728" s="55" t="n"/>
      <c r="L728" s="55" t="n"/>
      <c r="M728" s="55" t="n"/>
      <c r="N728" s="55" t="n"/>
      <c r="O728" s="58" t="n"/>
      <c r="P728" s="58" t="n"/>
      <c r="Q728" s="58" t="n"/>
      <c r="R728" s="58" t="n"/>
      <c r="S728" s="59">
        <f>SUM(O728:R728)</f>
        <v/>
      </c>
      <c r="T728" s="52" t="n"/>
      <c r="U728" s="53" t="n"/>
      <c r="V728" s="58" t="n"/>
      <c r="W728" s="68" t="n"/>
      <c r="X728" s="58" t="n"/>
      <c r="Y728" s="52" t="n"/>
      <c r="Z728" s="58" t="n"/>
      <c r="AA728" s="58" t="n"/>
      <c r="AB728" s="58" t="n"/>
      <c r="AC728" s="68" t="n"/>
      <c r="AD728" s="53" t="n"/>
      <c r="AE728" s="61">
        <f>SUMIFS([1]инфо!$D$15:$D$28,[1]инфо!$A$15:$A$28,F728)</f>
        <v/>
      </c>
      <c r="AF728" s="62">
        <f>IF(H728=0,0,N728/H728)</f>
        <v/>
      </c>
      <c r="AG728" s="63">
        <f>AF728-AE728</f>
        <v/>
      </c>
      <c r="AH728" s="61">
        <f>SUMIFS([1]инфо!$E$15:$E$28,[1]инфо!$A$15:$A$28,F728)</f>
        <v/>
      </c>
      <c r="AI728" s="64">
        <f>IF(H728=0,0,S728/H728)</f>
        <v/>
      </c>
      <c r="AJ728" s="63">
        <f>AI728-AH728</f>
        <v/>
      </c>
      <c r="AK728" s="61">
        <f>SUMIFS([1]инфо!$F$15:$F$28,[1]инфо!$A$15:$A$28,F728)</f>
        <v/>
      </c>
      <c r="AL728" s="64">
        <f>IF(H728=0,0,Y728/H728)</f>
        <v/>
      </c>
      <c r="AM728" s="63">
        <f>AL728-AK728</f>
        <v/>
      </c>
      <c r="AN728" s="61">
        <f>SUMIFS([1]инфо!$G$15:$G$28,[1]инфо!$A$15:$A$28,F728)</f>
        <v/>
      </c>
      <c r="AO728" s="64">
        <f>IF(H728=0,0,AA728/H728)</f>
        <v/>
      </c>
      <c r="AP728" s="63">
        <f>AO728-AN728</f>
        <v/>
      </c>
      <c r="AQ728" s="61">
        <f>SUMIFS([1]инфо!$H$15:$H$28,[1]инфо!$A$15:$A$28,F728)</f>
        <v/>
      </c>
      <c r="AR728" s="62">
        <f>IF(H727=0,0,AC728/H727)</f>
        <v/>
      </c>
      <c r="AS728" s="63">
        <f>AR728-AQ728</f>
        <v/>
      </c>
      <c r="AT728" s="61">
        <f>SUMIFS([1]инфо!$I$15:$I$28,[1]инфо!$A$15:$A$28,F728)</f>
        <v/>
      </c>
      <c r="AU728" s="62">
        <f>IF(H728=0,0,AD728/H728)</f>
        <v/>
      </c>
      <c r="AV728" s="63">
        <f>AU728-AT728</f>
        <v/>
      </c>
      <c r="AX728" s="59">
        <f>SUMIFS([1]инфо!$C$15:$C$28,[1]инфо!$A$15:$A$28,F728)*H727</f>
        <v/>
      </c>
    </row>
    <row r="729">
      <c r="A729" s="71">
        <f>A727+1</f>
        <v/>
      </c>
      <c r="B729" s="90" t="n"/>
      <c r="C729" s="52" t="n"/>
      <c r="D729" s="53" t="n"/>
      <c r="E729" s="91" t="n"/>
      <c r="F729" s="67" t="n"/>
      <c r="G729" s="58" t="n"/>
      <c r="H729" s="56" t="n"/>
      <c r="I729" s="57">
        <f>IFERROR(H729*VLOOKUP(F729,[1]инфо!$A$15:$C$28,3,FALSE)/1000,0)</f>
        <v/>
      </c>
      <c r="J729" s="55" t="n"/>
      <c r="K729" s="55" t="n"/>
      <c r="L729" s="55" t="n"/>
      <c r="M729" s="55" t="n"/>
      <c r="N729" s="55" t="n"/>
      <c r="O729" s="58" t="n"/>
      <c r="P729" s="58" t="n"/>
      <c r="Q729" s="58" t="n"/>
      <c r="R729" s="58" t="n"/>
      <c r="S729" s="59">
        <f>SUM(O729:R729)</f>
        <v/>
      </c>
      <c r="T729" s="52" t="n"/>
      <c r="U729" s="53" t="n"/>
      <c r="V729" s="58" t="n"/>
      <c r="W729" s="68" t="n"/>
      <c r="X729" s="58" t="n"/>
      <c r="Y729" s="52" t="n"/>
      <c r="Z729" s="58" t="n"/>
      <c r="AA729" s="58" t="n"/>
      <c r="AB729" s="58" t="n"/>
      <c r="AC729" s="68" t="n"/>
      <c r="AD729" s="53" t="n"/>
      <c r="AE729" s="61">
        <f>SUMIFS([1]инфо!$D$15:$D$28,[1]инфо!$A$15:$A$28,F729)</f>
        <v/>
      </c>
      <c r="AF729" s="62">
        <f>IF(H729=0,0,N729/H729)</f>
        <v/>
      </c>
      <c r="AG729" s="63">
        <f>AF729-AE729</f>
        <v/>
      </c>
      <c r="AH729" s="61">
        <f>SUMIFS([1]инфо!$E$15:$E$28,[1]инфо!$A$15:$A$28,F729)</f>
        <v/>
      </c>
      <c r="AI729" s="64">
        <f>IF(H729=0,0,S729/H729)</f>
        <v/>
      </c>
      <c r="AJ729" s="63">
        <f>AI729-AH729</f>
        <v/>
      </c>
      <c r="AK729" s="61">
        <f>SUMIFS([1]инфо!$F$15:$F$28,[1]инфо!$A$15:$A$28,F729)</f>
        <v/>
      </c>
      <c r="AL729" s="64">
        <f>IF(H729=0,0,Y729/H729)</f>
        <v/>
      </c>
      <c r="AM729" s="63">
        <f>AL729-AK729</f>
        <v/>
      </c>
      <c r="AN729" s="61">
        <f>SUMIFS([1]инфо!$G$15:$G$28,[1]инфо!$A$15:$A$28,F729)</f>
        <v/>
      </c>
      <c r="AO729" s="64">
        <f>IF(H729=0,0,AA729/H729)</f>
        <v/>
      </c>
      <c r="AP729" s="63">
        <f>AO729-AN729</f>
        <v/>
      </c>
      <c r="AQ729" s="61">
        <f>SUMIFS([1]инфо!$H$15:$H$28,[1]инфо!$A$15:$A$28,F729)</f>
        <v/>
      </c>
      <c r="AR729" s="62">
        <f>IF(H728=0,0,AC729/H728)</f>
        <v/>
      </c>
      <c r="AS729" s="63">
        <f>AR729-AQ729</f>
        <v/>
      </c>
      <c r="AT729" s="61">
        <f>SUMIFS([1]инфо!$I$15:$I$28,[1]инфо!$A$15:$A$28,F729)</f>
        <v/>
      </c>
      <c r="AU729" s="62">
        <f>IF(H729=0,0,AD729/H729)</f>
        <v/>
      </c>
      <c r="AV729" s="63">
        <f>AU729-AT729</f>
        <v/>
      </c>
      <c r="AX729" s="59">
        <f>SUMIFS([1]инфо!$C$15:$C$28,[1]инфо!$A$15:$A$28,F729)*H728</f>
        <v/>
      </c>
    </row>
    <row r="730">
      <c r="A730" s="71">
        <f>A728+1</f>
        <v/>
      </c>
      <c r="B730" s="88" t="n"/>
      <c r="C730" s="77" t="n"/>
      <c r="D730" s="78" t="n"/>
      <c r="E730" s="91" t="n"/>
      <c r="F730" s="67" t="n"/>
      <c r="G730" s="79" t="n"/>
      <c r="H730" s="67" t="n"/>
      <c r="I730" s="57">
        <f>IFERROR(H730*VLOOKUP(F730,[1]инфо!$A$15:$C$28,3,FALSE)/1000,0)</f>
        <v/>
      </c>
      <c r="J730" s="55" t="n"/>
      <c r="K730" s="55" t="n"/>
      <c r="L730" s="55" t="n"/>
      <c r="M730" s="55" t="n"/>
      <c r="N730" s="56" t="n"/>
      <c r="O730" s="79" t="n"/>
      <c r="P730" s="79" t="n"/>
      <c r="Q730" s="79" t="n"/>
      <c r="R730" s="79" t="n"/>
      <c r="S730" s="80">
        <f>SUM(O730:R730)</f>
        <v/>
      </c>
      <c r="T730" s="77" t="n"/>
      <c r="U730" s="78" t="n"/>
      <c r="V730" s="79" t="n"/>
      <c r="W730" s="68" t="n"/>
      <c r="X730" s="79" t="n"/>
      <c r="Y730" s="77" t="n"/>
      <c r="Z730" s="79" t="n"/>
      <c r="AA730" s="79" t="n"/>
      <c r="AB730" s="79" t="n"/>
      <c r="AC730" s="68" t="n"/>
      <c r="AD730" s="78" t="n"/>
      <c r="AE730" s="81">
        <f>SUMIFS([1]инфо!$D$15:$D$28,[1]инфо!$A$15:$A$28,F730)</f>
        <v/>
      </c>
      <c r="AF730" s="62">
        <f>IF(H730=0,0,N730/H730)</f>
        <v/>
      </c>
      <c r="AG730" s="82">
        <f>AF730-AE730</f>
        <v/>
      </c>
      <c r="AH730" s="81">
        <f>SUMIFS([1]инфо!$E$15:$E$28,[1]инфо!$A$15:$A$28,F730)</f>
        <v/>
      </c>
      <c r="AI730" s="64">
        <f>IF(H730=0,0,S730/H730)</f>
        <v/>
      </c>
      <c r="AJ730" s="82">
        <f>AI730-AH730</f>
        <v/>
      </c>
      <c r="AK730" s="81">
        <f>SUMIFS([1]инфо!$F$15:$F$28,[1]инфо!$A$15:$A$28,F730)</f>
        <v/>
      </c>
      <c r="AL730" s="64">
        <f>IF(H730=0,0,Y730/H730)</f>
        <v/>
      </c>
      <c r="AM730" s="82">
        <f>AL730-AK730</f>
        <v/>
      </c>
      <c r="AN730" s="81">
        <f>SUMIFS([1]инфо!$G$15:$G$28,[1]инфо!$A$15:$A$28,F730)</f>
        <v/>
      </c>
      <c r="AO730" s="64">
        <f>IF(H730=0,0,AA730/H730)</f>
        <v/>
      </c>
      <c r="AP730" s="82">
        <f>AO730-AN730</f>
        <v/>
      </c>
      <c r="AQ730" s="81">
        <f>SUMIFS([1]инфо!$H$15:$H$28,[1]инфо!$A$15:$A$28,F730)</f>
        <v/>
      </c>
      <c r="AR730" s="85">
        <f>IF(H729=0,0,AC730/H729)</f>
        <v/>
      </c>
      <c r="AS730" s="82">
        <f>AR730-AQ730</f>
        <v/>
      </c>
      <c r="AT730" s="81">
        <f>SUMIFS([1]инфо!$I$15:$I$28,[1]инфо!$A$15:$A$28,F730)</f>
        <v/>
      </c>
      <c r="AU730" s="62">
        <f>IF(H730=0,0,AD730/H730)</f>
        <v/>
      </c>
      <c r="AV730" s="82">
        <f>AU730-AT730</f>
        <v/>
      </c>
      <c r="AX730" s="80">
        <f>SUMIFS([1]инфо!$C$15:$C$28,[1]инфо!$A$15:$A$28,F730)*H729</f>
        <v/>
      </c>
    </row>
    <row r="731">
      <c r="A731" s="71">
        <f>A729+1</f>
        <v/>
      </c>
      <c r="B731" s="89" t="n"/>
      <c r="C731" s="72" t="n"/>
      <c r="D731" s="73" t="n"/>
      <c r="E731" s="91" t="n"/>
      <c r="F731" s="67" t="n"/>
      <c r="G731" s="74" t="n"/>
      <c r="H731" s="55" t="n"/>
      <c r="I731" s="57">
        <f>IFERROR(H731*VLOOKUP(F731,[1]инфо!$A$15:$C$28,3,FALSE)/1000,0)</f>
        <v/>
      </c>
      <c r="J731" s="55" t="n"/>
      <c r="K731" s="55" t="n"/>
      <c r="L731" s="55" t="n"/>
      <c r="M731" s="55" t="n"/>
      <c r="N731" s="67" t="n"/>
      <c r="O731" s="74" t="n"/>
      <c r="P731" s="74" t="n"/>
      <c r="Q731" s="74" t="n"/>
      <c r="R731" s="74" t="n"/>
      <c r="S731" s="70">
        <f>SUM(O731:R731)</f>
        <v/>
      </c>
      <c r="T731" s="72" t="n"/>
      <c r="U731" s="73" t="n"/>
      <c r="V731" s="74" t="n"/>
      <c r="W731" s="68" t="n"/>
      <c r="X731" s="74" t="n"/>
      <c r="Y731" s="72" t="n"/>
      <c r="Z731" s="74" t="n"/>
      <c r="AA731" s="74" t="n"/>
      <c r="AB731" s="74" t="n"/>
      <c r="AC731" s="68" t="n"/>
      <c r="AD731" s="73" t="n"/>
      <c r="AE731" s="75">
        <f>SUMIFS([1]инфо!$D$15:$D$28,[1]инфо!$A$15:$A$28,F731)</f>
        <v/>
      </c>
      <c r="AF731" s="62">
        <f>IF(H731=0,0,N731/H731)</f>
        <v/>
      </c>
      <c r="AG731" s="76">
        <f>AF731-AE731</f>
        <v/>
      </c>
      <c r="AH731" s="75">
        <f>SUMIFS([1]инфо!$E$15:$E$28,[1]инфо!$A$15:$A$28,F731)</f>
        <v/>
      </c>
      <c r="AI731" s="64">
        <f>IF(H731=0,0,S731/H731)</f>
        <v/>
      </c>
      <c r="AJ731" s="76">
        <f>AI731-AH731</f>
        <v/>
      </c>
      <c r="AK731" s="75">
        <f>SUMIFS([1]инфо!$F$15:$F$28,[1]инфо!$A$15:$A$28,F731)</f>
        <v/>
      </c>
      <c r="AL731" s="64">
        <f>IF(H731=0,0,Y731/H731)</f>
        <v/>
      </c>
      <c r="AM731" s="76">
        <f>AL731-AK731</f>
        <v/>
      </c>
      <c r="AN731" s="75">
        <f>SUMIFS([1]инфо!$G$15:$G$28,[1]инфо!$A$15:$A$28,F731)</f>
        <v/>
      </c>
      <c r="AO731" s="64">
        <f>IF(H731=0,0,AA731/H731)</f>
        <v/>
      </c>
      <c r="AP731" s="76">
        <f>AO731-AN731</f>
        <v/>
      </c>
      <c r="AQ731" s="75">
        <f>SUMIFS([1]инфо!$H$15:$H$28,[1]инфо!$A$15:$A$28,F731)</f>
        <v/>
      </c>
      <c r="AR731" s="64">
        <f>IF(H730=0,0,AC731/H730)</f>
        <v/>
      </c>
      <c r="AS731" s="76">
        <f>AR731-AQ731</f>
        <v/>
      </c>
      <c r="AT731" s="75">
        <f>SUMIFS([1]инфо!$I$15:$I$28,[1]инфо!$A$15:$A$28,F731)</f>
        <v/>
      </c>
      <c r="AU731" s="62">
        <f>IF(H731=0,0,AD731/H731)</f>
        <v/>
      </c>
      <c r="AV731" s="76">
        <f>AU731-AT731</f>
        <v/>
      </c>
      <c r="AX731" s="70">
        <f>SUMIFS([1]инфо!$C$15:$C$28,[1]инфо!$A$15:$A$28,F731)*H730</f>
        <v/>
      </c>
    </row>
    <row r="732">
      <c r="A732" s="71">
        <f>A730+1</f>
        <v/>
      </c>
      <c r="B732" s="90" t="n"/>
      <c r="C732" s="52" t="n"/>
      <c r="D732" s="53" t="n"/>
      <c r="E732" s="91" t="n"/>
      <c r="F732" s="67" t="n"/>
      <c r="G732" s="58" t="n"/>
      <c r="H732" s="55" t="n"/>
      <c r="I732" s="57">
        <f>IFERROR(H732*VLOOKUP(F732,[1]инфо!$A$15:$C$28,3,FALSE)/1000,0)</f>
        <v/>
      </c>
      <c r="J732" s="55" t="n"/>
      <c r="K732" s="55" t="n"/>
      <c r="L732" s="55" t="n"/>
      <c r="M732" s="55" t="n"/>
      <c r="N732" s="55" t="n"/>
      <c r="O732" s="58" t="n"/>
      <c r="P732" s="58" t="n"/>
      <c r="Q732" s="58" t="n"/>
      <c r="R732" s="58" t="n"/>
      <c r="S732" s="59">
        <f>SUM(O732:R732)</f>
        <v/>
      </c>
      <c r="T732" s="52" t="n"/>
      <c r="U732" s="53" t="n"/>
      <c r="V732" s="58" t="n"/>
      <c r="W732" s="68" t="n"/>
      <c r="X732" s="58" t="n"/>
      <c r="Y732" s="52" t="n"/>
      <c r="Z732" s="58" t="n"/>
      <c r="AA732" s="58" t="n"/>
      <c r="AB732" s="58" t="n"/>
      <c r="AC732" s="68" t="n"/>
      <c r="AD732" s="53" t="n"/>
      <c r="AE732" s="61">
        <f>SUMIFS([1]инфо!$D$15:$D$28,[1]инфо!$A$15:$A$28,F732)</f>
        <v/>
      </c>
      <c r="AF732" s="62">
        <f>IF(H732=0,0,N732/H732)</f>
        <v/>
      </c>
      <c r="AG732" s="63">
        <f>AF732-AE732</f>
        <v/>
      </c>
      <c r="AH732" s="61">
        <f>SUMIFS([1]инфо!$E$15:$E$28,[1]инфо!$A$15:$A$28,F732)</f>
        <v/>
      </c>
      <c r="AI732" s="64">
        <f>IF(H732=0,0,S732/H732)</f>
        <v/>
      </c>
      <c r="AJ732" s="63">
        <f>AI732-AH732</f>
        <v/>
      </c>
      <c r="AK732" s="61">
        <f>SUMIFS([1]инфо!$F$15:$F$28,[1]инфо!$A$15:$A$28,F732)</f>
        <v/>
      </c>
      <c r="AL732" s="64">
        <f>IF(H732=0,0,Y732/H732)</f>
        <v/>
      </c>
      <c r="AM732" s="63">
        <f>AL732-AK732</f>
        <v/>
      </c>
      <c r="AN732" s="61">
        <f>SUMIFS([1]инфо!$G$15:$G$28,[1]инфо!$A$15:$A$28,F732)</f>
        <v/>
      </c>
      <c r="AO732" s="64">
        <f>IF(H732=0,0,AA732/H732)</f>
        <v/>
      </c>
      <c r="AP732" s="63">
        <f>AO732-AN732</f>
        <v/>
      </c>
      <c r="AQ732" s="61">
        <f>SUMIFS([1]инфо!$H$15:$H$28,[1]инфо!$A$15:$A$28,F732)</f>
        <v/>
      </c>
      <c r="AR732" s="62">
        <f>IF(H731=0,0,AC732/H731)</f>
        <v/>
      </c>
      <c r="AS732" s="63">
        <f>AR732-AQ732</f>
        <v/>
      </c>
      <c r="AT732" s="61">
        <f>SUMIFS([1]инфо!$I$15:$I$28,[1]инфо!$A$15:$A$28,F732)</f>
        <v/>
      </c>
      <c r="AU732" s="62">
        <f>IF(H732=0,0,AD732/H732)</f>
        <v/>
      </c>
      <c r="AV732" s="63">
        <f>AU732-AT732</f>
        <v/>
      </c>
      <c r="AX732" s="59">
        <f>SUMIFS([1]инфо!$C$15:$C$28,[1]инфо!$A$15:$A$28,F732)*H731</f>
        <v/>
      </c>
    </row>
    <row r="733">
      <c r="A733" s="71">
        <f>A731+1</f>
        <v/>
      </c>
      <c r="B733" s="90" t="n"/>
      <c r="C733" s="52" t="n"/>
      <c r="D733" s="53" t="n"/>
      <c r="E733" s="91" t="n"/>
      <c r="F733" s="67" t="n"/>
      <c r="G733" s="58" t="n"/>
      <c r="H733" s="56" t="n"/>
      <c r="I733" s="57">
        <f>IFERROR(H733*VLOOKUP(F733,[1]инфо!$A$15:$C$28,3,FALSE)/1000,0)</f>
        <v/>
      </c>
      <c r="J733" s="55" t="n"/>
      <c r="K733" s="55" t="n"/>
      <c r="L733" s="55" t="n"/>
      <c r="M733" s="55" t="n"/>
      <c r="N733" s="55" t="n"/>
      <c r="O733" s="58" t="n"/>
      <c r="P733" s="58" t="n"/>
      <c r="Q733" s="58" t="n"/>
      <c r="R733" s="58" t="n"/>
      <c r="S733" s="59">
        <f>SUM(O733:R733)</f>
        <v/>
      </c>
      <c r="T733" s="52" t="n"/>
      <c r="U733" s="53" t="n"/>
      <c r="V733" s="58" t="n"/>
      <c r="W733" s="68" t="n"/>
      <c r="X733" s="58" t="n"/>
      <c r="Y733" s="52" t="n"/>
      <c r="Z733" s="58" t="n"/>
      <c r="AA733" s="58" t="n"/>
      <c r="AB733" s="58" t="n"/>
      <c r="AC733" s="68" t="n"/>
      <c r="AD733" s="53" t="n"/>
      <c r="AE733" s="61">
        <f>SUMIFS([1]инфо!$D$15:$D$28,[1]инфо!$A$15:$A$28,F733)</f>
        <v/>
      </c>
      <c r="AF733" s="62">
        <f>IF(H733=0,0,N733/H733)</f>
        <v/>
      </c>
      <c r="AG733" s="63">
        <f>AF733-AE733</f>
        <v/>
      </c>
      <c r="AH733" s="61">
        <f>SUMIFS([1]инфо!$E$15:$E$28,[1]инфо!$A$15:$A$28,F733)</f>
        <v/>
      </c>
      <c r="AI733" s="64">
        <f>IF(H733=0,0,S733/H733)</f>
        <v/>
      </c>
      <c r="AJ733" s="63">
        <f>AI733-AH733</f>
        <v/>
      </c>
      <c r="AK733" s="61">
        <f>SUMIFS([1]инфо!$F$15:$F$28,[1]инфо!$A$15:$A$28,F733)</f>
        <v/>
      </c>
      <c r="AL733" s="64">
        <f>IF(H733=0,0,Y733/H733)</f>
        <v/>
      </c>
      <c r="AM733" s="63">
        <f>AL733-AK733</f>
        <v/>
      </c>
      <c r="AN733" s="61">
        <f>SUMIFS([1]инфо!$G$15:$G$28,[1]инфо!$A$15:$A$28,F733)</f>
        <v/>
      </c>
      <c r="AO733" s="64">
        <f>IF(H733=0,0,AA733/H733)</f>
        <v/>
      </c>
      <c r="AP733" s="63">
        <f>AO733-AN733</f>
        <v/>
      </c>
      <c r="AQ733" s="61">
        <f>SUMIFS([1]инфо!$H$15:$H$28,[1]инфо!$A$15:$A$28,F733)</f>
        <v/>
      </c>
      <c r="AR733" s="62">
        <f>IF(H732=0,0,AC733/H732)</f>
        <v/>
      </c>
      <c r="AS733" s="63">
        <f>AR733-AQ733</f>
        <v/>
      </c>
      <c r="AT733" s="61">
        <f>SUMIFS([1]инфо!$I$15:$I$28,[1]инфо!$A$15:$A$28,F733)</f>
        <v/>
      </c>
      <c r="AU733" s="62">
        <f>IF(H733=0,0,AD733/H733)</f>
        <v/>
      </c>
      <c r="AV733" s="63">
        <f>AU733-AT733</f>
        <v/>
      </c>
      <c r="AX733" s="59">
        <f>SUMIFS([1]инфо!$C$15:$C$28,[1]инфо!$A$15:$A$28,F733)*H732</f>
        <v/>
      </c>
    </row>
    <row r="734">
      <c r="A734" s="71">
        <f>A732+1</f>
        <v/>
      </c>
      <c r="B734" s="88" t="n"/>
      <c r="C734" s="77" t="n"/>
      <c r="D734" s="78" t="n"/>
      <c r="E734" s="91" t="n"/>
      <c r="F734" s="67" t="n"/>
      <c r="G734" s="79" t="n"/>
      <c r="H734" s="67" t="n"/>
      <c r="I734" s="57">
        <f>IFERROR(H734*VLOOKUP(F734,[1]инфо!$A$15:$C$28,3,FALSE)/1000,0)</f>
        <v/>
      </c>
      <c r="J734" s="55" t="n"/>
      <c r="K734" s="55" t="n"/>
      <c r="L734" s="55" t="n"/>
      <c r="M734" s="55" t="n"/>
      <c r="N734" s="56" t="n"/>
      <c r="O734" s="79" t="n"/>
      <c r="P734" s="79" t="n"/>
      <c r="Q734" s="79" t="n"/>
      <c r="R734" s="79" t="n"/>
      <c r="S734" s="80">
        <f>SUM(O734:R734)</f>
        <v/>
      </c>
      <c r="T734" s="77" t="n"/>
      <c r="U734" s="78" t="n"/>
      <c r="V734" s="79" t="n"/>
      <c r="W734" s="68" t="n"/>
      <c r="X734" s="79" t="n"/>
      <c r="Y734" s="77" t="n"/>
      <c r="Z734" s="79" t="n"/>
      <c r="AA734" s="79" t="n"/>
      <c r="AB734" s="79" t="n"/>
      <c r="AC734" s="68" t="n"/>
      <c r="AD734" s="78" t="n"/>
      <c r="AE734" s="81">
        <f>SUMIFS([1]инфо!$D$15:$D$28,[1]инфо!$A$15:$A$28,F734)</f>
        <v/>
      </c>
      <c r="AF734" s="62">
        <f>IF(H734=0,0,N734/H734)</f>
        <v/>
      </c>
      <c r="AG734" s="82">
        <f>AF734-AE734</f>
        <v/>
      </c>
      <c r="AH734" s="81">
        <f>SUMIFS([1]инфо!$E$15:$E$28,[1]инфо!$A$15:$A$28,F734)</f>
        <v/>
      </c>
      <c r="AI734" s="64">
        <f>IF(H734=0,0,S734/H734)</f>
        <v/>
      </c>
      <c r="AJ734" s="82">
        <f>AI734-AH734</f>
        <v/>
      </c>
      <c r="AK734" s="81">
        <f>SUMIFS([1]инфо!$F$15:$F$28,[1]инфо!$A$15:$A$28,F734)</f>
        <v/>
      </c>
      <c r="AL734" s="64">
        <f>IF(H734=0,0,Y734/H734)</f>
        <v/>
      </c>
      <c r="AM734" s="82">
        <f>AL734-AK734</f>
        <v/>
      </c>
      <c r="AN734" s="81">
        <f>SUMIFS([1]инфо!$G$15:$G$28,[1]инфо!$A$15:$A$28,F734)</f>
        <v/>
      </c>
      <c r="AO734" s="64">
        <f>IF(H734=0,0,AA734/H734)</f>
        <v/>
      </c>
      <c r="AP734" s="82">
        <f>AO734-AN734</f>
        <v/>
      </c>
      <c r="AQ734" s="81">
        <f>SUMIFS([1]инфо!$H$15:$H$28,[1]инфо!$A$15:$A$28,F734)</f>
        <v/>
      </c>
      <c r="AR734" s="85">
        <f>IF(H733=0,0,AC734/H733)</f>
        <v/>
      </c>
      <c r="AS734" s="82">
        <f>AR734-AQ734</f>
        <v/>
      </c>
      <c r="AT734" s="81">
        <f>SUMIFS([1]инфо!$I$15:$I$28,[1]инфо!$A$15:$A$28,F734)</f>
        <v/>
      </c>
      <c r="AU734" s="62">
        <f>IF(H734=0,0,AD734/H734)</f>
        <v/>
      </c>
      <c r="AV734" s="82">
        <f>AU734-AT734</f>
        <v/>
      </c>
      <c r="AX734" s="80">
        <f>SUMIFS([1]инфо!$C$15:$C$28,[1]инфо!$A$15:$A$28,F734)*H733</f>
        <v/>
      </c>
    </row>
    <row r="735">
      <c r="A735" s="71">
        <f>A733+1</f>
        <v/>
      </c>
      <c r="B735" s="89" t="n"/>
      <c r="C735" s="72" t="n"/>
      <c r="D735" s="73" t="n"/>
      <c r="E735" s="91" t="n"/>
      <c r="F735" s="67" t="n"/>
      <c r="G735" s="74" t="n"/>
      <c r="H735" s="55" t="n"/>
      <c r="I735" s="57">
        <f>IFERROR(H735*VLOOKUP(F735,[1]инфо!$A$15:$C$28,3,FALSE)/1000,0)</f>
        <v/>
      </c>
      <c r="J735" s="55" t="n"/>
      <c r="K735" s="55" t="n"/>
      <c r="L735" s="55" t="n"/>
      <c r="M735" s="55" t="n"/>
      <c r="N735" s="67" t="n"/>
      <c r="O735" s="74" t="n"/>
      <c r="P735" s="74" t="n"/>
      <c r="Q735" s="74" t="n"/>
      <c r="R735" s="74" t="n"/>
      <c r="S735" s="70">
        <f>SUM(O735:R735)</f>
        <v/>
      </c>
      <c r="T735" s="72" t="n"/>
      <c r="U735" s="73" t="n"/>
      <c r="V735" s="74" t="n"/>
      <c r="W735" s="68" t="n"/>
      <c r="X735" s="74" t="n"/>
      <c r="Y735" s="72" t="n"/>
      <c r="Z735" s="74" t="n"/>
      <c r="AA735" s="74" t="n"/>
      <c r="AB735" s="74" t="n"/>
      <c r="AC735" s="68" t="n"/>
      <c r="AD735" s="73" t="n"/>
      <c r="AE735" s="75">
        <f>SUMIFS([1]инфо!$D$15:$D$28,[1]инфо!$A$15:$A$28,F735)</f>
        <v/>
      </c>
      <c r="AF735" s="62">
        <f>IF(H735=0,0,N735/H735)</f>
        <v/>
      </c>
      <c r="AG735" s="76">
        <f>AF735-AE735</f>
        <v/>
      </c>
      <c r="AH735" s="75">
        <f>SUMIFS([1]инфо!$E$15:$E$28,[1]инфо!$A$15:$A$28,F735)</f>
        <v/>
      </c>
      <c r="AI735" s="64">
        <f>IF(H735=0,0,S735/H735)</f>
        <v/>
      </c>
      <c r="AJ735" s="76">
        <f>AI735-AH735</f>
        <v/>
      </c>
      <c r="AK735" s="75">
        <f>SUMIFS([1]инфо!$F$15:$F$28,[1]инфо!$A$15:$A$28,F735)</f>
        <v/>
      </c>
      <c r="AL735" s="64">
        <f>IF(H735=0,0,Y735/H735)</f>
        <v/>
      </c>
      <c r="AM735" s="76">
        <f>AL735-AK735</f>
        <v/>
      </c>
      <c r="AN735" s="75">
        <f>SUMIFS([1]инфо!$G$15:$G$28,[1]инфо!$A$15:$A$28,F735)</f>
        <v/>
      </c>
      <c r="AO735" s="64">
        <f>IF(H735=0,0,AA735/H735)</f>
        <v/>
      </c>
      <c r="AP735" s="76">
        <f>AO735-AN735</f>
        <v/>
      </c>
      <c r="AQ735" s="75">
        <f>SUMIFS([1]инфо!$H$15:$H$28,[1]инфо!$A$15:$A$28,F735)</f>
        <v/>
      </c>
      <c r="AR735" s="64">
        <f>IF(H734=0,0,AC735/H734)</f>
        <v/>
      </c>
      <c r="AS735" s="76">
        <f>AR735-AQ735</f>
        <v/>
      </c>
      <c r="AT735" s="75">
        <f>SUMIFS([1]инфо!$I$15:$I$28,[1]инфо!$A$15:$A$28,F735)</f>
        <v/>
      </c>
      <c r="AU735" s="62">
        <f>IF(H735=0,0,AD735/H735)</f>
        <v/>
      </c>
      <c r="AV735" s="76">
        <f>AU735-AT735</f>
        <v/>
      </c>
      <c r="AX735" s="70">
        <f>SUMIFS([1]инфо!$C$15:$C$28,[1]инфо!$A$15:$A$28,F735)*H734</f>
        <v/>
      </c>
    </row>
    <row r="736">
      <c r="A736" s="71">
        <f>A734+1</f>
        <v/>
      </c>
      <c r="B736" s="90" t="n"/>
      <c r="C736" s="52" t="n"/>
      <c r="D736" s="53" t="n"/>
      <c r="E736" s="91" t="n"/>
      <c r="F736" s="67" t="n"/>
      <c r="G736" s="58" t="n"/>
      <c r="H736" s="55" t="n"/>
      <c r="I736" s="57">
        <f>IFERROR(H736*VLOOKUP(F736,[1]инфо!$A$15:$C$28,3,FALSE)/1000,0)</f>
        <v/>
      </c>
      <c r="J736" s="55" t="n"/>
      <c r="K736" s="55" t="n"/>
      <c r="L736" s="55" t="n"/>
      <c r="M736" s="55" t="n"/>
      <c r="N736" s="55" t="n"/>
      <c r="O736" s="58" t="n"/>
      <c r="P736" s="58" t="n"/>
      <c r="Q736" s="58" t="n"/>
      <c r="R736" s="58" t="n"/>
      <c r="S736" s="59">
        <f>SUM(O736:R736)</f>
        <v/>
      </c>
      <c r="T736" s="52" t="n"/>
      <c r="U736" s="53" t="n"/>
      <c r="V736" s="58" t="n"/>
      <c r="W736" s="68" t="n"/>
      <c r="X736" s="58" t="n"/>
      <c r="Y736" s="52" t="n"/>
      <c r="Z736" s="58" t="n"/>
      <c r="AA736" s="58" t="n"/>
      <c r="AB736" s="58" t="n"/>
      <c r="AC736" s="68" t="n"/>
      <c r="AD736" s="53" t="n"/>
      <c r="AE736" s="61">
        <f>SUMIFS([1]инфо!$D$15:$D$28,[1]инфо!$A$15:$A$28,F736)</f>
        <v/>
      </c>
      <c r="AF736" s="62">
        <f>IF(H736=0,0,N736/H736)</f>
        <v/>
      </c>
      <c r="AG736" s="63">
        <f>AF736-AE736</f>
        <v/>
      </c>
      <c r="AH736" s="61">
        <f>SUMIFS([1]инфо!$E$15:$E$28,[1]инфо!$A$15:$A$28,F736)</f>
        <v/>
      </c>
      <c r="AI736" s="64">
        <f>IF(H736=0,0,S736/H736)</f>
        <v/>
      </c>
      <c r="AJ736" s="63">
        <f>AI736-AH736</f>
        <v/>
      </c>
      <c r="AK736" s="61">
        <f>SUMIFS([1]инфо!$F$15:$F$28,[1]инфо!$A$15:$A$28,F736)</f>
        <v/>
      </c>
      <c r="AL736" s="64">
        <f>IF(H736=0,0,Y736/H736)</f>
        <v/>
      </c>
      <c r="AM736" s="63">
        <f>AL736-AK736</f>
        <v/>
      </c>
      <c r="AN736" s="61">
        <f>SUMIFS([1]инфо!$G$15:$G$28,[1]инфо!$A$15:$A$28,F736)</f>
        <v/>
      </c>
      <c r="AO736" s="64">
        <f>IF(H736=0,0,AA736/H736)</f>
        <v/>
      </c>
      <c r="AP736" s="63">
        <f>AO736-AN736</f>
        <v/>
      </c>
      <c r="AQ736" s="61">
        <f>SUMIFS([1]инфо!$H$15:$H$28,[1]инфо!$A$15:$A$28,F736)</f>
        <v/>
      </c>
      <c r="AR736" s="62">
        <f>IF(H735=0,0,AC736/H735)</f>
        <v/>
      </c>
      <c r="AS736" s="63">
        <f>AR736-AQ736</f>
        <v/>
      </c>
      <c r="AT736" s="61">
        <f>SUMIFS([1]инфо!$I$15:$I$28,[1]инфо!$A$15:$A$28,F736)</f>
        <v/>
      </c>
      <c r="AU736" s="62">
        <f>IF(H736=0,0,AD736/H736)</f>
        <v/>
      </c>
      <c r="AV736" s="63">
        <f>AU736-AT736</f>
        <v/>
      </c>
      <c r="AX736" s="59">
        <f>SUMIFS([1]инфо!$C$15:$C$28,[1]инфо!$A$15:$A$28,F736)*H735</f>
        <v/>
      </c>
    </row>
    <row r="737">
      <c r="A737" s="71">
        <f>A735+1</f>
        <v/>
      </c>
      <c r="B737" s="90" t="n"/>
      <c r="C737" s="52" t="n"/>
      <c r="D737" s="53" t="n"/>
      <c r="E737" s="91" t="n"/>
      <c r="F737" s="67" t="n"/>
      <c r="G737" s="58" t="n"/>
      <c r="H737" s="56" t="n"/>
      <c r="I737" s="57">
        <f>IFERROR(H737*VLOOKUP(F737,[1]инфо!$A$15:$C$28,3,FALSE)/1000,0)</f>
        <v/>
      </c>
      <c r="J737" s="55" t="n"/>
      <c r="K737" s="55" t="n"/>
      <c r="L737" s="55" t="n"/>
      <c r="M737" s="55" t="n"/>
      <c r="N737" s="55" t="n"/>
      <c r="O737" s="58" t="n"/>
      <c r="P737" s="58" t="n"/>
      <c r="Q737" s="58" t="n"/>
      <c r="R737" s="58" t="n"/>
      <c r="S737" s="59">
        <f>SUM(O737:R737)</f>
        <v/>
      </c>
      <c r="T737" s="52" t="n"/>
      <c r="U737" s="53" t="n"/>
      <c r="V737" s="58" t="n"/>
      <c r="W737" s="68" t="n"/>
      <c r="X737" s="58" t="n"/>
      <c r="Y737" s="52" t="n"/>
      <c r="Z737" s="58" t="n"/>
      <c r="AA737" s="58" t="n"/>
      <c r="AB737" s="58" t="n"/>
      <c r="AC737" s="68" t="n"/>
      <c r="AD737" s="53" t="n"/>
      <c r="AE737" s="61">
        <f>SUMIFS([1]инфо!$D$15:$D$28,[1]инфо!$A$15:$A$28,F737)</f>
        <v/>
      </c>
      <c r="AF737" s="62">
        <f>IF(H737=0,0,N737/H737)</f>
        <v/>
      </c>
      <c r="AG737" s="63">
        <f>AF737-AE737</f>
        <v/>
      </c>
      <c r="AH737" s="61">
        <f>SUMIFS([1]инфо!$E$15:$E$28,[1]инфо!$A$15:$A$28,F737)</f>
        <v/>
      </c>
      <c r="AI737" s="64">
        <f>IF(H737=0,0,S737/H737)</f>
        <v/>
      </c>
      <c r="AJ737" s="63">
        <f>AI737-AH737</f>
        <v/>
      </c>
      <c r="AK737" s="61">
        <f>SUMIFS([1]инфо!$F$15:$F$28,[1]инфо!$A$15:$A$28,F737)</f>
        <v/>
      </c>
      <c r="AL737" s="64">
        <f>IF(H737=0,0,Y737/H737)</f>
        <v/>
      </c>
      <c r="AM737" s="63">
        <f>AL737-AK737</f>
        <v/>
      </c>
      <c r="AN737" s="61">
        <f>SUMIFS([1]инфо!$G$15:$G$28,[1]инфо!$A$15:$A$28,F737)</f>
        <v/>
      </c>
      <c r="AO737" s="64">
        <f>IF(H737=0,0,AA737/H737)</f>
        <v/>
      </c>
      <c r="AP737" s="63">
        <f>AO737-AN737</f>
        <v/>
      </c>
      <c r="AQ737" s="61">
        <f>SUMIFS([1]инфо!$H$15:$H$28,[1]инфо!$A$15:$A$28,F737)</f>
        <v/>
      </c>
      <c r="AR737" s="62">
        <f>IF(H736=0,0,AC737/H736)</f>
        <v/>
      </c>
      <c r="AS737" s="63">
        <f>AR737-AQ737</f>
        <v/>
      </c>
      <c r="AT737" s="61">
        <f>SUMIFS([1]инфо!$I$15:$I$28,[1]инфо!$A$15:$A$28,F737)</f>
        <v/>
      </c>
      <c r="AU737" s="62">
        <f>IF(H737=0,0,AD737/H737)</f>
        <v/>
      </c>
      <c r="AV737" s="63">
        <f>AU737-AT737</f>
        <v/>
      </c>
      <c r="AX737" s="59">
        <f>SUMIFS([1]инфо!$C$15:$C$28,[1]инфо!$A$15:$A$28,F737)*H736</f>
        <v/>
      </c>
    </row>
    <row r="738">
      <c r="A738" s="71">
        <f>A736+1</f>
        <v/>
      </c>
      <c r="B738" s="88" t="n"/>
      <c r="C738" s="77" t="n"/>
      <c r="D738" s="78" t="n"/>
      <c r="E738" s="91" t="n"/>
      <c r="F738" s="67" t="n"/>
      <c r="G738" s="79" t="n"/>
      <c r="H738" s="67" t="n"/>
      <c r="I738" s="57">
        <f>IFERROR(H738*VLOOKUP(F738,[1]инфо!$A$15:$C$28,3,FALSE)/1000,0)</f>
        <v/>
      </c>
      <c r="J738" s="55" t="n"/>
      <c r="K738" s="55" t="n"/>
      <c r="L738" s="55" t="n"/>
      <c r="M738" s="55" t="n"/>
      <c r="N738" s="56" t="n"/>
      <c r="O738" s="79" t="n"/>
      <c r="P738" s="79" t="n"/>
      <c r="Q738" s="79" t="n"/>
      <c r="R738" s="79" t="n"/>
      <c r="S738" s="80">
        <f>SUM(O738:R738)</f>
        <v/>
      </c>
      <c r="T738" s="77" t="n"/>
      <c r="U738" s="78" t="n"/>
      <c r="V738" s="79" t="n"/>
      <c r="W738" s="68" t="n"/>
      <c r="X738" s="79" t="n"/>
      <c r="Y738" s="77" t="n"/>
      <c r="Z738" s="79" t="n"/>
      <c r="AA738" s="79" t="n"/>
      <c r="AB738" s="79" t="n"/>
      <c r="AC738" s="68" t="n"/>
      <c r="AD738" s="78" t="n"/>
      <c r="AE738" s="81">
        <f>SUMIFS([1]инфо!$D$15:$D$28,[1]инфо!$A$15:$A$28,F738)</f>
        <v/>
      </c>
      <c r="AF738" s="62">
        <f>IF(H738=0,0,N738/H738)</f>
        <v/>
      </c>
      <c r="AG738" s="82">
        <f>AF738-AE738</f>
        <v/>
      </c>
      <c r="AH738" s="81">
        <f>SUMIFS([1]инфо!$E$15:$E$28,[1]инфо!$A$15:$A$28,F738)</f>
        <v/>
      </c>
      <c r="AI738" s="64">
        <f>IF(H738=0,0,S738/H738)</f>
        <v/>
      </c>
      <c r="AJ738" s="82">
        <f>AI738-AH738</f>
        <v/>
      </c>
      <c r="AK738" s="81">
        <f>SUMIFS([1]инфо!$F$15:$F$28,[1]инфо!$A$15:$A$28,F738)</f>
        <v/>
      </c>
      <c r="AL738" s="64">
        <f>IF(H738=0,0,Y738/H738)</f>
        <v/>
      </c>
      <c r="AM738" s="82">
        <f>AL738-AK738</f>
        <v/>
      </c>
      <c r="AN738" s="81">
        <f>SUMIFS([1]инфо!$G$15:$G$28,[1]инфо!$A$15:$A$28,F738)</f>
        <v/>
      </c>
      <c r="AO738" s="64">
        <f>IF(H738=0,0,AA738/H738)</f>
        <v/>
      </c>
      <c r="AP738" s="82">
        <f>AO738-AN738</f>
        <v/>
      </c>
      <c r="AQ738" s="81">
        <f>SUMIFS([1]инфо!$H$15:$H$28,[1]инфо!$A$15:$A$28,F738)</f>
        <v/>
      </c>
      <c r="AR738" s="85">
        <f>IF(H737=0,0,AC738/H737)</f>
        <v/>
      </c>
      <c r="AS738" s="82">
        <f>AR738-AQ738</f>
        <v/>
      </c>
      <c r="AT738" s="81">
        <f>SUMIFS([1]инфо!$I$15:$I$28,[1]инфо!$A$15:$A$28,F738)</f>
        <v/>
      </c>
      <c r="AU738" s="62">
        <f>IF(H738=0,0,AD738/H738)</f>
        <v/>
      </c>
      <c r="AV738" s="82">
        <f>AU738-AT738</f>
        <v/>
      </c>
      <c r="AX738" s="80">
        <f>SUMIFS([1]инфо!$C$15:$C$28,[1]инфо!$A$15:$A$28,F738)*H737</f>
        <v/>
      </c>
    </row>
    <row r="739">
      <c r="A739" s="71">
        <f>A737+1</f>
        <v/>
      </c>
      <c r="B739" s="89" t="n"/>
      <c r="C739" s="72" t="n"/>
      <c r="D739" s="73" t="n"/>
      <c r="E739" s="91" t="n"/>
      <c r="F739" s="67" t="n"/>
      <c r="G739" s="74" t="n"/>
      <c r="H739" s="55" t="n"/>
      <c r="I739" s="57">
        <f>IFERROR(H739*VLOOKUP(F739,[1]инфо!$A$15:$C$28,3,FALSE)/1000,0)</f>
        <v/>
      </c>
      <c r="J739" s="55" t="n"/>
      <c r="K739" s="55" t="n"/>
      <c r="L739" s="55" t="n"/>
      <c r="M739" s="55" t="n"/>
      <c r="N739" s="67" t="n"/>
      <c r="O739" s="74" t="n"/>
      <c r="P739" s="74" t="n"/>
      <c r="Q739" s="74" t="n"/>
      <c r="R739" s="74" t="n"/>
      <c r="S739" s="70">
        <f>SUM(O739:R739)</f>
        <v/>
      </c>
      <c r="T739" s="72" t="n"/>
      <c r="U739" s="73" t="n"/>
      <c r="V739" s="74" t="n"/>
      <c r="W739" s="68" t="n"/>
      <c r="X739" s="74" t="n"/>
      <c r="Y739" s="72" t="n"/>
      <c r="Z739" s="74" t="n"/>
      <c r="AA739" s="74" t="n"/>
      <c r="AB739" s="74" t="n"/>
      <c r="AC739" s="68" t="n"/>
      <c r="AD739" s="73" t="n"/>
      <c r="AE739" s="75">
        <f>SUMIFS([1]инфо!$D$15:$D$28,[1]инфо!$A$15:$A$28,F739)</f>
        <v/>
      </c>
      <c r="AF739" s="62">
        <f>IF(H739=0,0,N739/H739)</f>
        <v/>
      </c>
      <c r="AG739" s="76">
        <f>AF739-AE739</f>
        <v/>
      </c>
      <c r="AH739" s="75">
        <f>SUMIFS([1]инфо!$E$15:$E$28,[1]инфо!$A$15:$A$28,F739)</f>
        <v/>
      </c>
      <c r="AI739" s="64">
        <f>IF(H739=0,0,S739/H739)</f>
        <v/>
      </c>
      <c r="AJ739" s="76">
        <f>AI739-AH739</f>
        <v/>
      </c>
      <c r="AK739" s="75">
        <f>SUMIFS([1]инфо!$F$15:$F$28,[1]инфо!$A$15:$A$28,F739)</f>
        <v/>
      </c>
      <c r="AL739" s="64">
        <f>IF(H739=0,0,Y739/H739)</f>
        <v/>
      </c>
      <c r="AM739" s="76">
        <f>AL739-AK739</f>
        <v/>
      </c>
      <c r="AN739" s="75">
        <f>SUMIFS([1]инфо!$G$15:$G$28,[1]инфо!$A$15:$A$28,F739)</f>
        <v/>
      </c>
      <c r="AO739" s="64">
        <f>IF(H739=0,0,AA739/H739)</f>
        <v/>
      </c>
      <c r="AP739" s="76">
        <f>AO739-AN739</f>
        <v/>
      </c>
      <c r="AQ739" s="75">
        <f>SUMIFS([1]инфо!$H$15:$H$28,[1]инфо!$A$15:$A$28,F739)</f>
        <v/>
      </c>
      <c r="AR739" s="64">
        <f>IF(H738=0,0,AC739/H738)</f>
        <v/>
      </c>
      <c r="AS739" s="76">
        <f>AR739-AQ739</f>
        <v/>
      </c>
      <c r="AT739" s="75">
        <f>SUMIFS([1]инфо!$I$15:$I$28,[1]инфо!$A$15:$A$28,F739)</f>
        <v/>
      </c>
      <c r="AU739" s="62">
        <f>IF(H739=0,0,AD739/H739)</f>
        <v/>
      </c>
      <c r="AV739" s="76">
        <f>AU739-AT739</f>
        <v/>
      </c>
      <c r="AX739" s="70">
        <f>SUMIFS([1]инфо!$C$15:$C$28,[1]инфо!$A$15:$A$28,F739)*H738</f>
        <v/>
      </c>
    </row>
    <row r="740">
      <c r="A740" s="71">
        <f>A738+1</f>
        <v/>
      </c>
      <c r="B740" s="90" t="n"/>
      <c r="C740" s="52" t="n"/>
      <c r="D740" s="53" t="n"/>
      <c r="E740" s="91" t="n"/>
      <c r="F740" s="67" t="n"/>
      <c r="G740" s="58" t="n"/>
      <c r="H740" s="55" t="n"/>
      <c r="I740" s="57">
        <f>IFERROR(H740*VLOOKUP(F740,[1]инфо!$A$15:$C$28,3,FALSE)/1000,0)</f>
        <v/>
      </c>
      <c r="J740" s="55" t="n"/>
      <c r="K740" s="55" t="n"/>
      <c r="L740" s="55" t="n"/>
      <c r="M740" s="55" t="n"/>
      <c r="N740" s="55" t="n"/>
      <c r="O740" s="58" t="n"/>
      <c r="P740" s="58" t="n"/>
      <c r="Q740" s="58" t="n"/>
      <c r="R740" s="58" t="n"/>
      <c r="S740" s="59">
        <f>SUM(O740:R740)</f>
        <v/>
      </c>
      <c r="T740" s="52" t="n"/>
      <c r="U740" s="53" t="n"/>
      <c r="V740" s="58" t="n"/>
      <c r="W740" s="68" t="n"/>
      <c r="X740" s="58" t="n"/>
      <c r="Y740" s="52" t="n"/>
      <c r="Z740" s="58" t="n"/>
      <c r="AA740" s="58" t="n"/>
      <c r="AB740" s="58" t="n"/>
      <c r="AC740" s="68" t="n"/>
      <c r="AD740" s="53" t="n"/>
      <c r="AE740" s="61">
        <f>SUMIFS([1]инфо!$D$15:$D$28,[1]инфо!$A$15:$A$28,F740)</f>
        <v/>
      </c>
      <c r="AF740" s="62">
        <f>IF(H740=0,0,N740/H740)</f>
        <v/>
      </c>
      <c r="AG740" s="63">
        <f>AF740-AE740</f>
        <v/>
      </c>
      <c r="AH740" s="61">
        <f>SUMIFS([1]инфо!$E$15:$E$28,[1]инфо!$A$15:$A$28,F740)</f>
        <v/>
      </c>
      <c r="AI740" s="64">
        <f>IF(H740=0,0,S740/H740)</f>
        <v/>
      </c>
      <c r="AJ740" s="63">
        <f>AI740-AH740</f>
        <v/>
      </c>
      <c r="AK740" s="61">
        <f>SUMIFS([1]инфо!$F$15:$F$28,[1]инфо!$A$15:$A$28,F740)</f>
        <v/>
      </c>
      <c r="AL740" s="64">
        <f>IF(H740=0,0,Y740/H740)</f>
        <v/>
      </c>
      <c r="AM740" s="63">
        <f>AL740-AK740</f>
        <v/>
      </c>
      <c r="AN740" s="61">
        <f>SUMIFS([1]инфо!$G$15:$G$28,[1]инфо!$A$15:$A$28,F740)</f>
        <v/>
      </c>
      <c r="AO740" s="64">
        <f>IF(H740=0,0,AA740/H740)</f>
        <v/>
      </c>
      <c r="AP740" s="63">
        <f>AO740-AN740</f>
        <v/>
      </c>
      <c r="AQ740" s="61">
        <f>SUMIFS([1]инфо!$H$15:$H$28,[1]инфо!$A$15:$A$28,F740)</f>
        <v/>
      </c>
      <c r="AR740" s="62">
        <f>IF(H739=0,0,AC740/H739)</f>
        <v/>
      </c>
      <c r="AS740" s="63">
        <f>AR740-AQ740</f>
        <v/>
      </c>
      <c r="AT740" s="61">
        <f>SUMIFS([1]инфо!$I$15:$I$28,[1]инфо!$A$15:$A$28,F740)</f>
        <v/>
      </c>
      <c r="AU740" s="62">
        <f>IF(H740=0,0,AD740/H740)</f>
        <v/>
      </c>
      <c r="AV740" s="63">
        <f>AU740-AT740</f>
        <v/>
      </c>
      <c r="AX740" s="59">
        <f>SUMIFS([1]инфо!$C$15:$C$28,[1]инфо!$A$15:$A$28,F740)*H739</f>
        <v/>
      </c>
    </row>
    <row r="741">
      <c r="A741" s="71">
        <f>A739+1</f>
        <v/>
      </c>
      <c r="B741" s="90" t="n"/>
      <c r="C741" s="52" t="n"/>
      <c r="D741" s="53" t="n"/>
      <c r="E741" s="91" t="n"/>
      <c r="F741" s="67" t="n"/>
      <c r="G741" s="58" t="n"/>
      <c r="H741" s="56" t="n"/>
      <c r="I741" s="57">
        <f>IFERROR(H741*VLOOKUP(F741,[1]инфо!$A$15:$C$28,3,FALSE)/1000,0)</f>
        <v/>
      </c>
      <c r="J741" s="55" t="n"/>
      <c r="K741" s="55" t="n"/>
      <c r="L741" s="55" t="n"/>
      <c r="M741" s="55" t="n"/>
      <c r="N741" s="55" t="n"/>
      <c r="O741" s="58" t="n"/>
      <c r="P741" s="58" t="n"/>
      <c r="Q741" s="58" t="n"/>
      <c r="R741" s="58" t="n"/>
      <c r="S741" s="59">
        <f>SUM(O741:R741)</f>
        <v/>
      </c>
      <c r="T741" s="52" t="n"/>
      <c r="U741" s="53" t="n"/>
      <c r="V741" s="58" t="n"/>
      <c r="W741" s="68" t="n"/>
      <c r="X741" s="58" t="n"/>
      <c r="Y741" s="52" t="n"/>
      <c r="Z741" s="58" t="n"/>
      <c r="AA741" s="58" t="n"/>
      <c r="AB741" s="58" t="n"/>
      <c r="AC741" s="58" t="n"/>
      <c r="AD741" s="53" t="n"/>
      <c r="AE741" s="61">
        <f>SUMIFS([1]инфо!$D$15:$D$28,[1]инфо!$A$15:$A$28,F741)</f>
        <v/>
      </c>
      <c r="AF741" s="62">
        <f>IF(H741=0,0,N741/H741)</f>
        <v/>
      </c>
      <c r="AG741" s="63">
        <f>AF741-AE741</f>
        <v/>
      </c>
      <c r="AH741" s="61">
        <f>SUMIFS([1]инфо!$E$15:$E$28,[1]инфо!$A$15:$A$28,F741)</f>
        <v/>
      </c>
      <c r="AI741" s="64">
        <f>IF(H741=0,0,S741/H741)</f>
        <v/>
      </c>
      <c r="AJ741" s="63">
        <f>AI741-AH741</f>
        <v/>
      </c>
      <c r="AK741" s="61">
        <f>SUMIFS([1]инфо!$F$15:$F$28,[1]инфо!$A$15:$A$28,F741)</f>
        <v/>
      </c>
      <c r="AL741" s="64">
        <f>IF(H741=0,0,Y741/H741)</f>
        <v/>
      </c>
      <c r="AM741" s="63">
        <f>AL741-AK741</f>
        <v/>
      </c>
      <c r="AN741" s="61">
        <f>SUMIFS([1]инфо!$G$15:$G$28,[1]инфо!$A$15:$A$28,F741)</f>
        <v/>
      </c>
      <c r="AO741" s="64">
        <f>IF(H741=0,0,AA741/H741)</f>
        <v/>
      </c>
      <c r="AP741" s="63">
        <f>AO741-AN741</f>
        <v/>
      </c>
      <c r="AQ741" s="61">
        <f>SUMIFS([1]инфо!$H$15:$H$28,[1]инфо!$A$15:$A$28,F741)</f>
        <v/>
      </c>
      <c r="AR741" s="62">
        <f>IF(H740=0,0,AC741/H740)</f>
        <v/>
      </c>
      <c r="AS741" s="63">
        <f>AR741-AQ741</f>
        <v/>
      </c>
      <c r="AT741" s="61">
        <f>SUMIFS([1]инфо!$I$15:$I$28,[1]инфо!$A$15:$A$28,F741)</f>
        <v/>
      </c>
      <c r="AU741" s="62">
        <f>IF(H741=0,0,AD741/H741)</f>
        <v/>
      </c>
      <c r="AV741" s="63">
        <f>AU741-AT741</f>
        <v/>
      </c>
      <c r="AX741" s="59">
        <f>SUMIFS([1]инфо!$C$15:$C$28,[1]инфо!$A$15:$A$28,F741)*H740</f>
        <v/>
      </c>
    </row>
    <row r="742">
      <c r="A742" s="71">
        <f>A740+1</f>
        <v/>
      </c>
      <c r="B742" s="88" t="n"/>
      <c r="C742" s="77" t="n"/>
      <c r="D742" s="78" t="n"/>
      <c r="E742" s="91" t="n"/>
      <c r="F742" s="67" t="n"/>
      <c r="G742" s="79" t="n"/>
      <c r="H742" s="67" t="n"/>
      <c r="I742" s="57">
        <f>IFERROR(H742*VLOOKUP(F742,[1]инфо!$A$15:$C$28,3,FALSE)/1000,0)</f>
        <v/>
      </c>
      <c r="J742" s="55" t="n"/>
      <c r="K742" s="55" t="n"/>
      <c r="L742" s="55" t="n"/>
      <c r="M742" s="55" t="n"/>
      <c r="N742" s="56" t="n"/>
      <c r="O742" s="79" t="n"/>
      <c r="P742" s="79" t="n"/>
      <c r="Q742" s="79" t="n"/>
      <c r="R742" s="79" t="n"/>
      <c r="S742" s="80">
        <f>SUM(O742:R742)</f>
        <v/>
      </c>
      <c r="T742" s="77" t="n"/>
      <c r="U742" s="78" t="n"/>
      <c r="V742" s="79" t="n"/>
      <c r="W742" s="68" t="n"/>
      <c r="X742" s="79" t="n"/>
      <c r="Y742" s="77" t="n"/>
      <c r="Z742" s="79" t="n"/>
      <c r="AA742" s="79" t="n"/>
      <c r="AB742" s="79" t="n"/>
      <c r="AC742" s="79" t="n"/>
      <c r="AD742" s="78" t="n"/>
      <c r="AE742" s="81">
        <f>SUMIFS([1]инфо!$D$15:$D$28,[1]инфо!$A$15:$A$28,F742)</f>
        <v/>
      </c>
      <c r="AF742" s="62">
        <f>IF(H742=0,0,N742/H742)</f>
        <v/>
      </c>
      <c r="AG742" s="82">
        <f>AF742-AE742</f>
        <v/>
      </c>
      <c r="AH742" s="81">
        <f>SUMIFS([1]инфо!$E$15:$E$28,[1]инфо!$A$15:$A$28,F742)</f>
        <v/>
      </c>
      <c r="AI742" s="64">
        <f>IF(H742=0,0,S742/H742)</f>
        <v/>
      </c>
      <c r="AJ742" s="82">
        <f>AI742-AH742</f>
        <v/>
      </c>
      <c r="AK742" s="81">
        <f>SUMIFS([1]инфо!$F$15:$F$28,[1]инфо!$A$15:$A$28,F742)</f>
        <v/>
      </c>
      <c r="AL742" s="64">
        <f>IF(H742=0,0,Y742/H742)</f>
        <v/>
      </c>
      <c r="AM742" s="82">
        <f>AL742-AK742</f>
        <v/>
      </c>
      <c r="AN742" s="81">
        <f>SUMIFS([1]инфо!$G$15:$G$28,[1]инфо!$A$15:$A$28,F742)</f>
        <v/>
      </c>
      <c r="AO742" s="64">
        <f>IF(H742=0,0,AA742/H742)</f>
        <v/>
      </c>
      <c r="AP742" s="82">
        <f>AO742-AN742</f>
        <v/>
      </c>
      <c r="AQ742" s="81">
        <f>SUMIFS([1]инфо!$H$15:$H$28,[1]инфо!$A$15:$A$28,F742)</f>
        <v/>
      </c>
      <c r="AR742" s="85">
        <f>IF(H741=0,0,AC742/H741)</f>
        <v/>
      </c>
      <c r="AS742" s="82">
        <f>AR742-AQ742</f>
        <v/>
      </c>
      <c r="AT742" s="81">
        <f>SUMIFS([1]инфо!$I$15:$I$28,[1]инфо!$A$15:$A$28,F742)</f>
        <v/>
      </c>
      <c r="AU742" s="62">
        <f>IF(H742=0,0,AD742/H742)</f>
        <v/>
      </c>
      <c r="AV742" s="82">
        <f>AU742-AT742</f>
        <v/>
      </c>
      <c r="AX742" s="80">
        <f>SUMIFS([1]инфо!$C$15:$C$28,[1]инфо!$A$15:$A$28,F742)*H741</f>
        <v/>
      </c>
    </row>
    <row r="743">
      <c r="A743" s="71">
        <f>A741+1</f>
        <v/>
      </c>
      <c r="B743" s="89" t="n"/>
      <c r="C743" s="72" t="n"/>
      <c r="D743" s="73" t="n"/>
      <c r="E743" s="91" t="n"/>
      <c r="F743" s="67" t="n"/>
      <c r="G743" s="74" t="n"/>
      <c r="H743" s="55" t="n"/>
      <c r="I743" s="57">
        <f>IFERROR(H743*VLOOKUP(F743,[1]инфо!$A$15:$C$28,3,FALSE)/1000,0)</f>
        <v/>
      </c>
      <c r="J743" s="55" t="n"/>
      <c r="K743" s="55" t="n"/>
      <c r="L743" s="55" t="n"/>
      <c r="M743" s="55" t="n"/>
      <c r="N743" s="67" t="n"/>
      <c r="O743" s="74" t="n"/>
      <c r="P743" s="74" t="n"/>
      <c r="Q743" s="74" t="n"/>
      <c r="R743" s="74" t="n"/>
      <c r="S743" s="70">
        <f>SUM(O743:R743)</f>
        <v/>
      </c>
      <c r="T743" s="72" t="n"/>
      <c r="U743" s="73" t="n"/>
      <c r="V743" s="74" t="n"/>
      <c r="W743" s="68" t="n"/>
      <c r="X743" s="74" t="n"/>
      <c r="Y743" s="72" t="n"/>
      <c r="Z743" s="74" t="n"/>
      <c r="AA743" s="74" t="n"/>
      <c r="AB743" s="74" t="n"/>
      <c r="AC743" s="74" t="n"/>
      <c r="AD743" s="73" t="n"/>
      <c r="AE743" s="75">
        <f>SUMIFS([1]инфо!$D$15:$D$28,[1]инфо!$A$15:$A$28,F743)</f>
        <v/>
      </c>
      <c r="AF743" s="62">
        <f>IF(H743=0,0,N743/H743)</f>
        <v/>
      </c>
      <c r="AG743" s="76">
        <f>AF743-AE743</f>
        <v/>
      </c>
      <c r="AH743" s="75">
        <f>SUMIFS([1]инфо!$E$15:$E$28,[1]инфо!$A$15:$A$28,F743)</f>
        <v/>
      </c>
      <c r="AI743" s="64">
        <f>IF(H743=0,0,S743/H743)</f>
        <v/>
      </c>
      <c r="AJ743" s="76">
        <f>AI743-AH743</f>
        <v/>
      </c>
      <c r="AK743" s="75">
        <f>SUMIFS([1]инфо!$F$15:$F$28,[1]инфо!$A$15:$A$28,F743)</f>
        <v/>
      </c>
      <c r="AL743" s="64">
        <f>IF(H743=0,0,Y743/H743)</f>
        <v/>
      </c>
      <c r="AM743" s="76">
        <f>AL743-AK743</f>
        <v/>
      </c>
      <c r="AN743" s="75">
        <f>SUMIFS([1]инфо!$G$15:$G$28,[1]инфо!$A$15:$A$28,F743)</f>
        <v/>
      </c>
      <c r="AO743" s="64">
        <f>IF(H743=0,0,AA743/H743)</f>
        <v/>
      </c>
      <c r="AP743" s="76">
        <f>AO743-AN743</f>
        <v/>
      </c>
      <c r="AQ743" s="75">
        <f>SUMIFS([1]инфо!$H$15:$H$28,[1]инфо!$A$15:$A$28,F743)</f>
        <v/>
      </c>
      <c r="AR743" s="64">
        <f>IF(H742=0,0,AC743/H742)</f>
        <v/>
      </c>
      <c r="AS743" s="76">
        <f>AR743-AQ743</f>
        <v/>
      </c>
      <c r="AT743" s="75">
        <f>SUMIFS([1]инфо!$I$15:$I$28,[1]инфо!$A$15:$A$28,F743)</f>
        <v/>
      </c>
      <c r="AU743" s="62">
        <f>IF(H743=0,0,AD743/H743)</f>
        <v/>
      </c>
      <c r="AV743" s="76">
        <f>AU743-AT743</f>
        <v/>
      </c>
      <c r="AX743" s="70">
        <f>SUMIFS([1]инфо!$C$15:$C$28,[1]инфо!$A$15:$A$28,F743)*H742</f>
        <v/>
      </c>
    </row>
    <row r="744">
      <c r="A744" s="71">
        <f>A742+1</f>
        <v/>
      </c>
      <c r="B744" s="90" t="n"/>
      <c r="C744" s="52" t="n"/>
      <c r="D744" s="53" t="n"/>
      <c r="E744" s="91" t="n"/>
      <c r="F744" s="67" t="n"/>
      <c r="G744" s="58" t="n"/>
      <c r="H744" s="55" t="n"/>
      <c r="I744" s="57">
        <f>IFERROR(H744*VLOOKUP(F744,[1]инфо!$A$15:$C$28,3,FALSE)/1000,0)</f>
        <v/>
      </c>
      <c r="J744" s="55" t="n"/>
      <c r="K744" s="55" t="n"/>
      <c r="L744" s="55" t="n"/>
      <c r="M744" s="55" t="n"/>
      <c r="N744" s="55" t="n"/>
      <c r="O744" s="58" t="n"/>
      <c r="P744" s="58" t="n"/>
      <c r="Q744" s="58" t="n"/>
      <c r="R744" s="58" t="n"/>
      <c r="S744" s="59">
        <f>SUM(O744:R744)</f>
        <v/>
      </c>
      <c r="T744" s="52" t="n"/>
      <c r="U744" s="53" t="n"/>
      <c r="V744" s="58" t="n"/>
      <c r="W744" s="68" t="n"/>
      <c r="X744" s="58" t="n"/>
      <c r="Y744" s="52" t="n"/>
      <c r="Z744" s="58" t="n"/>
      <c r="AA744" s="58" t="n"/>
      <c r="AB744" s="58" t="n"/>
      <c r="AC744" s="58" t="n"/>
      <c r="AD744" s="53" t="n"/>
      <c r="AE744" s="61">
        <f>SUMIFS([1]инфо!$D$15:$D$28,[1]инфо!$A$15:$A$28,F744)</f>
        <v/>
      </c>
      <c r="AF744" s="62">
        <f>IF(H744=0,0,N744/H744)</f>
        <v/>
      </c>
      <c r="AG744" s="63">
        <f>AF744-AE744</f>
        <v/>
      </c>
      <c r="AH744" s="61">
        <f>SUMIFS([1]инфо!$E$15:$E$28,[1]инфо!$A$15:$A$28,F744)</f>
        <v/>
      </c>
      <c r="AI744" s="64">
        <f>IF(H744=0,0,S744/H744)</f>
        <v/>
      </c>
      <c r="AJ744" s="63">
        <f>AI744-AH744</f>
        <v/>
      </c>
      <c r="AK744" s="61">
        <f>SUMIFS([1]инфо!$F$15:$F$28,[1]инфо!$A$15:$A$28,F744)</f>
        <v/>
      </c>
      <c r="AL744" s="64">
        <f>IF(H744=0,0,Y744/H744)</f>
        <v/>
      </c>
      <c r="AM744" s="63">
        <f>AL744-AK744</f>
        <v/>
      </c>
      <c r="AN744" s="61">
        <f>SUMIFS([1]инфо!$G$15:$G$28,[1]инфо!$A$15:$A$28,F744)</f>
        <v/>
      </c>
      <c r="AO744" s="64">
        <f>IF(H744=0,0,AA744/H744)</f>
        <v/>
      </c>
      <c r="AP744" s="63">
        <f>AO744-AN744</f>
        <v/>
      </c>
      <c r="AQ744" s="61">
        <f>SUMIFS([1]инфо!$H$15:$H$28,[1]инфо!$A$15:$A$28,F744)</f>
        <v/>
      </c>
      <c r="AR744" s="62">
        <f>IF(H743=0,0,AC744/H743)</f>
        <v/>
      </c>
      <c r="AS744" s="63">
        <f>AR744-AQ744</f>
        <v/>
      </c>
      <c r="AT744" s="61">
        <f>SUMIFS([1]инфо!$I$15:$I$28,[1]инфо!$A$15:$A$28,F744)</f>
        <v/>
      </c>
      <c r="AU744" s="62">
        <f>IF(H744=0,0,AD744/H744)</f>
        <v/>
      </c>
      <c r="AV744" s="63">
        <f>AU744-AT744</f>
        <v/>
      </c>
      <c r="AX744" s="59">
        <f>SUMIFS([1]инфо!$C$15:$C$28,[1]инфо!$A$15:$A$28,F744)*H743</f>
        <v/>
      </c>
    </row>
    <row r="745">
      <c r="A745" s="71">
        <f>A743+1</f>
        <v/>
      </c>
      <c r="B745" s="90" t="n"/>
      <c r="C745" s="52" t="n"/>
      <c r="D745" s="53" t="n"/>
      <c r="E745" s="91" t="n"/>
      <c r="F745" s="67" t="n"/>
      <c r="G745" s="58" t="n"/>
      <c r="H745" s="56" t="n"/>
      <c r="I745" s="57">
        <f>IFERROR(H745*VLOOKUP(F745,[1]инфо!$A$15:$C$28,3,FALSE)/1000,0)</f>
        <v/>
      </c>
      <c r="J745" s="55" t="n"/>
      <c r="K745" s="55" t="n"/>
      <c r="L745" s="55" t="n"/>
      <c r="M745" s="55" t="n"/>
      <c r="N745" s="55" t="n"/>
      <c r="O745" s="58" t="n"/>
      <c r="P745" s="58" t="n"/>
      <c r="Q745" s="58" t="n"/>
      <c r="R745" s="58" t="n"/>
      <c r="S745" s="59">
        <f>SUM(O745:R745)</f>
        <v/>
      </c>
      <c r="T745" s="52" t="n"/>
      <c r="U745" s="53" t="n"/>
      <c r="V745" s="58" t="n"/>
      <c r="W745" s="68" t="n"/>
      <c r="X745" s="58" t="n"/>
      <c r="Y745" s="52" t="n"/>
      <c r="Z745" s="58" t="n"/>
      <c r="AA745" s="58" t="n"/>
      <c r="AB745" s="58" t="n"/>
      <c r="AC745" s="58" t="n"/>
      <c r="AD745" s="53" t="n"/>
      <c r="AE745" s="61">
        <f>SUMIFS([1]инфо!$D$15:$D$28,[1]инфо!$A$15:$A$28,F745)</f>
        <v/>
      </c>
      <c r="AF745" s="62">
        <f>IF(H745=0,0,N745/H745)</f>
        <v/>
      </c>
      <c r="AG745" s="63">
        <f>AF745-AE745</f>
        <v/>
      </c>
      <c r="AH745" s="61">
        <f>SUMIFS([1]инфо!$E$15:$E$28,[1]инфо!$A$15:$A$28,F745)</f>
        <v/>
      </c>
      <c r="AI745" s="64">
        <f>IF(H745=0,0,S745/H745)</f>
        <v/>
      </c>
      <c r="AJ745" s="63">
        <f>AI745-AH745</f>
        <v/>
      </c>
      <c r="AK745" s="61">
        <f>SUMIFS([1]инфо!$F$15:$F$28,[1]инфо!$A$15:$A$28,F745)</f>
        <v/>
      </c>
      <c r="AL745" s="64">
        <f>IF(H745=0,0,Y745/H745)</f>
        <v/>
      </c>
      <c r="AM745" s="63">
        <f>AL745-AK745</f>
        <v/>
      </c>
      <c r="AN745" s="61">
        <f>SUMIFS([1]инфо!$G$15:$G$28,[1]инфо!$A$15:$A$28,F745)</f>
        <v/>
      </c>
      <c r="AO745" s="64">
        <f>IF(H745=0,0,AA745/H745)</f>
        <v/>
      </c>
      <c r="AP745" s="63">
        <f>AO745-AN745</f>
        <v/>
      </c>
      <c r="AQ745" s="61">
        <f>SUMIFS([1]инфо!$H$15:$H$28,[1]инфо!$A$15:$A$28,F745)</f>
        <v/>
      </c>
      <c r="AR745" s="62">
        <f>IF(H744=0,0,AC745/H744)</f>
        <v/>
      </c>
      <c r="AS745" s="63">
        <f>AR745-AQ745</f>
        <v/>
      </c>
      <c r="AT745" s="61">
        <f>SUMIFS([1]инфо!$I$15:$I$28,[1]инфо!$A$15:$A$28,F745)</f>
        <v/>
      </c>
      <c r="AU745" s="62">
        <f>IF(H745=0,0,AD745/H745)</f>
        <v/>
      </c>
      <c r="AV745" s="63">
        <f>AU745-AT745</f>
        <v/>
      </c>
      <c r="AX745" s="59">
        <f>SUMIFS([1]инфо!$C$15:$C$28,[1]инфо!$A$15:$A$28,F745)*H744</f>
        <v/>
      </c>
    </row>
    <row r="746">
      <c r="A746" s="71">
        <f>A744+1</f>
        <v/>
      </c>
      <c r="B746" s="88" t="n"/>
      <c r="C746" s="77" t="n"/>
      <c r="D746" s="78" t="n"/>
      <c r="E746" s="91" t="n"/>
      <c r="F746" s="67" t="n"/>
      <c r="G746" s="79" t="n"/>
      <c r="H746" s="67" t="n"/>
      <c r="I746" s="57">
        <f>IFERROR(H746*VLOOKUP(F746,[1]инфо!$A$15:$C$28,3,FALSE)/1000,0)</f>
        <v/>
      </c>
      <c r="J746" s="55" t="n"/>
      <c r="K746" s="55" t="n"/>
      <c r="L746" s="55" t="n"/>
      <c r="M746" s="55" t="n"/>
      <c r="N746" s="56" t="n"/>
      <c r="O746" s="79" t="n"/>
      <c r="P746" s="79" t="n"/>
      <c r="Q746" s="79" t="n"/>
      <c r="R746" s="79" t="n"/>
      <c r="S746" s="80">
        <f>SUM(O746:R746)</f>
        <v/>
      </c>
      <c r="T746" s="77" t="n"/>
      <c r="U746" s="78" t="n"/>
      <c r="V746" s="79" t="n"/>
      <c r="W746" s="68" t="n"/>
      <c r="X746" s="79" t="n"/>
      <c r="Y746" s="77" t="n"/>
      <c r="Z746" s="79" t="n"/>
      <c r="AA746" s="79" t="n"/>
      <c r="AB746" s="79" t="n"/>
      <c r="AC746" s="79" t="n"/>
      <c r="AD746" s="78" t="n"/>
      <c r="AE746" s="81">
        <f>SUMIFS([1]инфо!$D$15:$D$28,[1]инфо!$A$15:$A$28,F746)</f>
        <v/>
      </c>
      <c r="AF746" s="62">
        <f>IF(H746=0,0,N746/H746)</f>
        <v/>
      </c>
      <c r="AG746" s="82">
        <f>AF746-AE746</f>
        <v/>
      </c>
      <c r="AH746" s="81">
        <f>SUMIFS([1]инфо!$E$15:$E$28,[1]инфо!$A$15:$A$28,F746)</f>
        <v/>
      </c>
      <c r="AI746" s="64">
        <f>IF(H746=0,0,S746/H746)</f>
        <v/>
      </c>
      <c r="AJ746" s="82">
        <f>AI746-AH746</f>
        <v/>
      </c>
      <c r="AK746" s="81">
        <f>SUMIFS([1]инфо!$F$15:$F$28,[1]инфо!$A$15:$A$28,F746)</f>
        <v/>
      </c>
      <c r="AL746" s="64">
        <f>IF(H746=0,0,Y746/H746)</f>
        <v/>
      </c>
      <c r="AM746" s="82">
        <f>AL746-AK746</f>
        <v/>
      </c>
      <c r="AN746" s="81">
        <f>SUMIFS([1]инфо!$G$15:$G$28,[1]инфо!$A$15:$A$28,F746)</f>
        <v/>
      </c>
      <c r="AO746" s="64">
        <f>IF(H746=0,0,AA746/H746)</f>
        <v/>
      </c>
      <c r="AP746" s="82">
        <f>AO746-AN746</f>
        <v/>
      </c>
      <c r="AQ746" s="81">
        <f>SUMIFS([1]инфо!$H$15:$H$28,[1]инфо!$A$15:$A$28,F746)</f>
        <v/>
      </c>
      <c r="AR746" s="85">
        <f>IF(H745=0,0,AC746/H745)</f>
        <v/>
      </c>
      <c r="AS746" s="82">
        <f>AR746-AQ746</f>
        <v/>
      </c>
      <c r="AT746" s="81">
        <f>SUMIFS([1]инфо!$I$15:$I$28,[1]инфо!$A$15:$A$28,F746)</f>
        <v/>
      </c>
      <c r="AU746" s="62">
        <f>IF(H746=0,0,AD746/H746)</f>
        <v/>
      </c>
      <c r="AV746" s="82">
        <f>AU746-AT746</f>
        <v/>
      </c>
      <c r="AX746" s="80">
        <f>SUMIFS([1]инфо!$C$15:$C$28,[1]инфо!$A$15:$A$28,F746)*H745</f>
        <v/>
      </c>
    </row>
    <row r="747">
      <c r="A747" s="71">
        <f>A745+1</f>
        <v/>
      </c>
      <c r="B747" s="89" t="n"/>
      <c r="C747" s="72" t="n"/>
      <c r="D747" s="73" t="n"/>
      <c r="E747" s="91" t="n"/>
      <c r="F747" s="67" t="n"/>
      <c r="G747" s="74" t="n"/>
      <c r="H747" s="55" t="n"/>
      <c r="I747" s="57">
        <f>IFERROR(H747*VLOOKUP(F747,[1]инфо!$A$15:$C$28,3,FALSE)/1000,0)</f>
        <v/>
      </c>
      <c r="J747" s="55" t="n"/>
      <c r="K747" s="55" t="n"/>
      <c r="L747" s="55" t="n"/>
      <c r="M747" s="55" t="n"/>
      <c r="N747" s="67" t="n"/>
      <c r="O747" s="74" t="n"/>
      <c r="P747" s="74" t="n"/>
      <c r="Q747" s="74" t="n"/>
      <c r="R747" s="74" t="n"/>
      <c r="S747" s="70">
        <f>SUM(O747:R747)</f>
        <v/>
      </c>
      <c r="T747" s="72" t="n"/>
      <c r="U747" s="73" t="n"/>
      <c r="V747" s="74" t="n"/>
      <c r="W747" s="68" t="n"/>
      <c r="X747" s="74" t="n"/>
      <c r="Y747" s="72" t="n"/>
      <c r="Z747" s="74" t="n"/>
      <c r="AA747" s="74" t="n"/>
      <c r="AB747" s="74" t="n"/>
      <c r="AC747" s="74" t="n"/>
      <c r="AD747" s="73" t="n"/>
      <c r="AE747" s="75">
        <f>SUMIFS([1]инфо!$D$15:$D$28,[1]инфо!$A$15:$A$28,F747)</f>
        <v/>
      </c>
      <c r="AF747" s="62">
        <f>IF(H747=0,0,N747/H747)</f>
        <v/>
      </c>
      <c r="AG747" s="76">
        <f>AF747-AE747</f>
        <v/>
      </c>
      <c r="AH747" s="75">
        <f>SUMIFS([1]инфо!$E$15:$E$28,[1]инфо!$A$15:$A$28,F747)</f>
        <v/>
      </c>
      <c r="AI747" s="64">
        <f>IF(H747=0,0,S747/H747)</f>
        <v/>
      </c>
      <c r="AJ747" s="76">
        <f>AI747-AH747</f>
        <v/>
      </c>
      <c r="AK747" s="75">
        <f>SUMIFS([1]инфо!$F$15:$F$28,[1]инфо!$A$15:$A$28,F747)</f>
        <v/>
      </c>
      <c r="AL747" s="64">
        <f>IF(H747=0,0,Y747/H747)</f>
        <v/>
      </c>
      <c r="AM747" s="76">
        <f>AL747-AK747</f>
        <v/>
      </c>
      <c r="AN747" s="75">
        <f>SUMIFS([1]инфо!$G$15:$G$28,[1]инфо!$A$15:$A$28,F747)</f>
        <v/>
      </c>
      <c r="AO747" s="64">
        <f>IF(H747=0,0,AA747/H747)</f>
        <v/>
      </c>
      <c r="AP747" s="76">
        <f>AO747-AN747</f>
        <v/>
      </c>
      <c r="AQ747" s="75">
        <f>SUMIFS([1]инфо!$H$15:$H$28,[1]инфо!$A$15:$A$28,F747)</f>
        <v/>
      </c>
      <c r="AR747" s="64">
        <f>IF(H746=0,0,AC747/H746)</f>
        <v/>
      </c>
      <c r="AS747" s="76">
        <f>AR747-AQ747</f>
        <v/>
      </c>
      <c r="AT747" s="75">
        <f>SUMIFS([1]инфо!$I$15:$I$28,[1]инфо!$A$15:$A$28,F747)</f>
        <v/>
      </c>
      <c r="AU747" s="62">
        <f>IF(H747=0,0,AD747/H747)</f>
        <v/>
      </c>
      <c r="AV747" s="76">
        <f>AU747-AT747</f>
        <v/>
      </c>
      <c r="AX747" s="70">
        <f>SUMIFS([1]инфо!$C$15:$C$28,[1]инфо!$A$15:$A$28,F747)*H746</f>
        <v/>
      </c>
    </row>
    <row r="748">
      <c r="A748" s="71">
        <f>A746+1</f>
        <v/>
      </c>
      <c r="B748" s="90" t="n"/>
      <c r="C748" s="52" t="n"/>
      <c r="D748" s="53" t="n"/>
      <c r="E748" s="91" t="n"/>
      <c r="F748" s="67" t="n"/>
      <c r="G748" s="58" t="n"/>
      <c r="H748" s="55" t="n"/>
      <c r="I748" s="57">
        <f>IFERROR(H748*VLOOKUP(F748,[1]инфо!$A$15:$C$28,3,FALSE)/1000,0)</f>
        <v/>
      </c>
      <c r="J748" s="55" t="n"/>
      <c r="K748" s="55" t="n"/>
      <c r="L748" s="55" t="n"/>
      <c r="M748" s="55" t="n"/>
      <c r="N748" s="55" t="n"/>
      <c r="O748" s="58" t="n"/>
      <c r="P748" s="58" t="n"/>
      <c r="Q748" s="58" t="n"/>
      <c r="R748" s="58" t="n"/>
      <c r="S748" s="59">
        <f>SUM(O748:R748)</f>
        <v/>
      </c>
      <c r="T748" s="52" t="n"/>
      <c r="U748" s="53" t="n"/>
      <c r="V748" s="58" t="n"/>
      <c r="W748" s="68" t="n"/>
      <c r="X748" s="58" t="n"/>
      <c r="Y748" s="52" t="n"/>
      <c r="Z748" s="58" t="n"/>
      <c r="AA748" s="58" t="n"/>
      <c r="AB748" s="58" t="n"/>
      <c r="AC748" s="58" t="n"/>
      <c r="AD748" s="53" t="n"/>
      <c r="AE748" s="61">
        <f>SUMIFS([1]инфо!$D$15:$D$28,[1]инфо!$A$15:$A$28,F748)</f>
        <v/>
      </c>
      <c r="AF748" s="62">
        <f>IF(H748=0,0,N748/H748)</f>
        <v/>
      </c>
      <c r="AG748" s="63">
        <f>AF748-AE748</f>
        <v/>
      </c>
      <c r="AH748" s="61">
        <f>SUMIFS([1]инфо!$E$15:$E$28,[1]инфо!$A$15:$A$28,F748)</f>
        <v/>
      </c>
      <c r="AI748" s="64">
        <f>IF(H748=0,0,S748/H748)</f>
        <v/>
      </c>
      <c r="AJ748" s="63">
        <f>AI748-AH748</f>
        <v/>
      </c>
      <c r="AK748" s="61">
        <f>SUMIFS([1]инфо!$F$15:$F$28,[1]инфо!$A$15:$A$28,F748)</f>
        <v/>
      </c>
      <c r="AL748" s="64">
        <f>IF(H748=0,0,Y748/H748)</f>
        <v/>
      </c>
      <c r="AM748" s="63">
        <f>AL748-AK748</f>
        <v/>
      </c>
      <c r="AN748" s="61">
        <f>SUMIFS([1]инфо!$G$15:$G$28,[1]инфо!$A$15:$A$28,F748)</f>
        <v/>
      </c>
      <c r="AO748" s="64">
        <f>IF(H748=0,0,AA748/H748)</f>
        <v/>
      </c>
      <c r="AP748" s="63">
        <f>AO748-AN748</f>
        <v/>
      </c>
      <c r="AQ748" s="61">
        <f>SUMIFS([1]инфо!$H$15:$H$28,[1]инфо!$A$15:$A$28,F748)</f>
        <v/>
      </c>
      <c r="AR748" s="62">
        <f>IF(H747=0,0,AC748/H747)</f>
        <v/>
      </c>
      <c r="AS748" s="63">
        <f>AR748-AQ748</f>
        <v/>
      </c>
      <c r="AT748" s="61">
        <f>SUMIFS([1]инфо!$I$15:$I$28,[1]инфо!$A$15:$A$28,F748)</f>
        <v/>
      </c>
      <c r="AU748" s="62">
        <f>IF(H748=0,0,AD748/H748)</f>
        <v/>
      </c>
      <c r="AV748" s="63">
        <f>AU748-AT748</f>
        <v/>
      </c>
      <c r="AX748" s="59">
        <f>SUMIFS([1]инфо!$C$15:$C$28,[1]инфо!$A$15:$A$28,F748)*H747</f>
        <v/>
      </c>
    </row>
    <row r="749">
      <c r="A749" s="71">
        <f>A747+1</f>
        <v/>
      </c>
      <c r="B749" s="90" t="n"/>
      <c r="C749" s="52" t="n"/>
      <c r="D749" s="53" t="n"/>
      <c r="E749" s="91" t="n"/>
      <c r="F749" s="67" t="n"/>
      <c r="G749" s="58" t="n"/>
      <c r="H749" s="56" t="n"/>
      <c r="I749" s="57">
        <f>IFERROR(H749*VLOOKUP(F749,[1]инфо!$A$15:$C$28,3,FALSE)/1000,0)</f>
        <v/>
      </c>
      <c r="J749" s="55" t="n"/>
      <c r="K749" s="55" t="n"/>
      <c r="L749" s="55" t="n"/>
      <c r="M749" s="55" t="n"/>
      <c r="N749" s="55" t="n"/>
      <c r="O749" s="58" t="n"/>
      <c r="P749" s="58" t="n"/>
      <c r="Q749" s="58" t="n"/>
      <c r="R749" s="58" t="n"/>
      <c r="S749" s="59">
        <f>SUM(O749:R749)</f>
        <v/>
      </c>
      <c r="T749" s="52" t="n"/>
      <c r="U749" s="53" t="n"/>
      <c r="V749" s="58" t="n"/>
      <c r="W749" s="68" t="n"/>
      <c r="X749" s="58" t="n"/>
      <c r="Y749" s="52" t="n"/>
      <c r="Z749" s="58" t="n"/>
      <c r="AA749" s="58" t="n"/>
      <c r="AB749" s="58" t="n"/>
      <c r="AC749" s="58" t="n"/>
      <c r="AD749" s="53" t="n"/>
      <c r="AE749" s="61">
        <f>SUMIFS([1]инфо!$D$15:$D$28,[1]инфо!$A$15:$A$28,F749)</f>
        <v/>
      </c>
      <c r="AF749" s="62">
        <f>IF(H749=0,0,N749/H749)</f>
        <v/>
      </c>
      <c r="AG749" s="63">
        <f>AF749-AE749</f>
        <v/>
      </c>
      <c r="AH749" s="61">
        <f>SUMIFS([1]инфо!$E$15:$E$28,[1]инфо!$A$15:$A$28,F749)</f>
        <v/>
      </c>
      <c r="AI749" s="64">
        <f>IF(H749=0,0,S749/H749)</f>
        <v/>
      </c>
      <c r="AJ749" s="63">
        <f>AI749-AH749</f>
        <v/>
      </c>
      <c r="AK749" s="61">
        <f>SUMIFS([1]инфо!$F$15:$F$28,[1]инфо!$A$15:$A$28,F749)</f>
        <v/>
      </c>
      <c r="AL749" s="64">
        <f>IF(H749=0,0,Y749/H749)</f>
        <v/>
      </c>
      <c r="AM749" s="63">
        <f>AL749-AK749</f>
        <v/>
      </c>
      <c r="AN749" s="61">
        <f>SUMIFS([1]инфо!$G$15:$G$28,[1]инфо!$A$15:$A$28,F749)</f>
        <v/>
      </c>
      <c r="AO749" s="64">
        <f>IF(H749=0,0,AA749/H749)</f>
        <v/>
      </c>
      <c r="AP749" s="63">
        <f>AO749-AN749</f>
        <v/>
      </c>
      <c r="AQ749" s="61">
        <f>SUMIFS([1]инфо!$H$15:$H$28,[1]инфо!$A$15:$A$28,F749)</f>
        <v/>
      </c>
      <c r="AR749" s="62">
        <f>IF(H748=0,0,AC749/H748)</f>
        <v/>
      </c>
      <c r="AS749" s="63">
        <f>AR749-AQ749</f>
        <v/>
      </c>
      <c r="AT749" s="61">
        <f>SUMIFS([1]инфо!$I$15:$I$28,[1]инфо!$A$15:$A$28,F749)</f>
        <v/>
      </c>
      <c r="AU749" s="62">
        <f>IF(H749=0,0,AD749/H749)</f>
        <v/>
      </c>
      <c r="AV749" s="63">
        <f>AU749-AT749</f>
        <v/>
      </c>
      <c r="AX749" s="59">
        <f>SUMIFS([1]инфо!$C$15:$C$28,[1]инфо!$A$15:$A$28,F749)*H748</f>
        <v/>
      </c>
    </row>
    <row r="750">
      <c r="A750" s="71">
        <f>A748+1</f>
        <v/>
      </c>
      <c r="B750" s="88" t="n"/>
      <c r="C750" s="77" t="n"/>
      <c r="D750" s="78" t="n"/>
      <c r="E750" s="91" t="n"/>
      <c r="F750" s="67" t="n"/>
      <c r="G750" s="79" t="n"/>
      <c r="H750" s="67" t="n"/>
      <c r="I750" s="57">
        <f>IFERROR(H750*VLOOKUP(F750,[1]инфо!$A$15:$C$28,3,FALSE)/1000,0)</f>
        <v/>
      </c>
      <c r="J750" s="55" t="n"/>
      <c r="K750" s="55" t="n"/>
      <c r="L750" s="55" t="n"/>
      <c r="M750" s="55" t="n"/>
      <c r="N750" s="56" t="n"/>
      <c r="O750" s="79" t="n"/>
      <c r="P750" s="79" t="n"/>
      <c r="Q750" s="79" t="n"/>
      <c r="R750" s="79" t="n"/>
      <c r="S750" s="80">
        <f>SUM(O750:R750)</f>
        <v/>
      </c>
      <c r="T750" s="77" t="n"/>
      <c r="U750" s="78" t="n"/>
      <c r="V750" s="79" t="n"/>
      <c r="W750" s="68" t="n"/>
      <c r="X750" s="79" t="n"/>
      <c r="Y750" s="77" t="n"/>
      <c r="Z750" s="79" t="n"/>
      <c r="AA750" s="79" t="n"/>
      <c r="AB750" s="79" t="n"/>
      <c r="AC750" s="79" t="n"/>
      <c r="AD750" s="78" t="n"/>
      <c r="AE750" s="81">
        <f>SUMIFS([1]инфо!$D$15:$D$28,[1]инфо!$A$15:$A$28,F750)</f>
        <v/>
      </c>
      <c r="AF750" s="62">
        <f>IF(H750=0,0,N750/H750)</f>
        <v/>
      </c>
      <c r="AG750" s="82">
        <f>AF750-AE750</f>
        <v/>
      </c>
      <c r="AH750" s="81">
        <f>SUMIFS([1]инфо!$E$15:$E$28,[1]инфо!$A$15:$A$28,F750)</f>
        <v/>
      </c>
      <c r="AI750" s="64">
        <f>IF(H750=0,0,S750/H750)</f>
        <v/>
      </c>
      <c r="AJ750" s="82">
        <f>AI750-AH750</f>
        <v/>
      </c>
      <c r="AK750" s="81">
        <f>SUMIFS([1]инфо!$F$15:$F$28,[1]инфо!$A$15:$A$28,F750)</f>
        <v/>
      </c>
      <c r="AL750" s="64">
        <f>IF(H750=0,0,Y750/H750)</f>
        <v/>
      </c>
      <c r="AM750" s="82">
        <f>AL750-AK750</f>
        <v/>
      </c>
      <c r="AN750" s="81">
        <f>SUMIFS([1]инфо!$G$15:$G$28,[1]инфо!$A$15:$A$28,F750)</f>
        <v/>
      </c>
      <c r="AO750" s="64">
        <f>IF(H750=0,0,AA750/H750)</f>
        <v/>
      </c>
      <c r="AP750" s="82">
        <f>AO750-AN750</f>
        <v/>
      </c>
      <c r="AQ750" s="81">
        <f>SUMIFS([1]инфо!$H$15:$H$28,[1]инфо!$A$15:$A$28,F750)</f>
        <v/>
      </c>
      <c r="AR750" s="85">
        <f>IF(H749=0,0,AC750/H749)</f>
        <v/>
      </c>
      <c r="AS750" s="82">
        <f>AR750-AQ750</f>
        <v/>
      </c>
      <c r="AT750" s="81">
        <f>SUMIFS([1]инфо!$I$15:$I$28,[1]инфо!$A$15:$A$28,F750)</f>
        <v/>
      </c>
      <c r="AU750" s="62">
        <f>IF(H750=0,0,AD750/H750)</f>
        <v/>
      </c>
      <c r="AV750" s="82">
        <f>AU750-AT750</f>
        <v/>
      </c>
      <c r="AX750" s="80">
        <f>SUMIFS([1]инфо!$C$15:$C$28,[1]инфо!$A$15:$A$28,F750)*H749</f>
        <v/>
      </c>
    </row>
    <row r="751">
      <c r="A751" s="71">
        <f>A749+1</f>
        <v/>
      </c>
      <c r="B751" s="89" t="n"/>
      <c r="C751" s="72" t="n"/>
      <c r="D751" s="73" t="n"/>
      <c r="E751" s="91" t="n"/>
      <c r="F751" s="67" t="n"/>
      <c r="G751" s="74" t="n"/>
      <c r="H751" s="55" t="n"/>
      <c r="I751" s="57">
        <f>IFERROR(H751*VLOOKUP(F751,[1]инфо!$A$15:$C$28,3,FALSE)/1000,0)</f>
        <v/>
      </c>
      <c r="J751" s="55" t="n"/>
      <c r="K751" s="55" t="n"/>
      <c r="L751" s="55" t="n"/>
      <c r="M751" s="55" t="n"/>
      <c r="N751" s="67" t="n"/>
      <c r="O751" s="74" t="n"/>
      <c r="P751" s="74" t="n"/>
      <c r="Q751" s="74" t="n"/>
      <c r="R751" s="74" t="n"/>
      <c r="S751" s="70">
        <f>SUM(O751:R751)</f>
        <v/>
      </c>
      <c r="T751" s="72" t="n"/>
      <c r="U751" s="73" t="n"/>
      <c r="V751" s="74" t="n"/>
      <c r="W751" s="68" t="n"/>
      <c r="X751" s="74" t="n"/>
      <c r="Y751" s="72" t="n"/>
      <c r="Z751" s="74" t="n"/>
      <c r="AA751" s="74" t="n"/>
      <c r="AB751" s="74" t="n"/>
      <c r="AC751" s="74" t="n"/>
      <c r="AD751" s="73" t="n"/>
      <c r="AE751" s="75">
        <f>SUMIFS([1]инфо!$D$15:$D$28,[1]инфо!$A$15:$A$28,F751)</f>
        <v/>
      </c>
      <c r="AF751" s="62">
        <f>IF(H751=0,0,N751/H751)</f>
        <v/>
      </c>
      <c r="AG751" s="76">
        <f>AF751-AE751</f>
        <v/>
      </c>
      <c r="AH751" s="75">
        <f>SUMIFS([1]инфо!$E$15:$E$28,[1]инфо!$A$15:$A$28,F751)</f>
        <v/>
      </c>
      <c r="AI751" s="64">
        <f>IF(H751=0,0,S751/H751)</f>
        <v/>
      </c>
      <c r="AJ751" s="76">
        <f>AI751-AH751</f>
        <v/>
      </c>
      <c r="AK751" s="75">
        <f>SUMIFS([1]инфо!$F$15:$F$28,[1]инфо!$A$15:$A$28,F751)</f>
        <v/>
      </c>
      <c r="AL751" s="64">
        <f>IF(H751=0,0,Y751/H751)</f>
        <v/>
      </c>
      <c r="AM751" s="76">
        <f>AL751-AK751</f>
        <v/>
      </c>
      <c r="AN751" s="75">
        <f>SUMIFS([1]инфо!$G$15:$G$28,[1]инфо!$A$15:$A$28,F751)</f>
        <v/>
      </c>
      <c r="AO751" s="64">
        <f>IF(H751=0,0,AA751/H751)</f>
        <v/>
      </c>
      <c r="AP751" s="76">
        <f>AO751-AN751</f>
        <v/>
      </c>
      <c r="AQ751" s="75">
        <f>SUMIFS([1]инфо!$H$15:$H$28,[1]инфо!$A$15:$A$28,F751)</f>
        <v/>
      </c>
      <c r="AR751" s="64">
        <f>IF(H750=0,0,AC751/H750)</f>
        <v/>
      </c>
      <c r="AS751" s="76">
        <f>AR751-AQ751</f>
        <v/>
      </c>
      <c r="AT751" s="75">
        <f>SUMIFS([1]инфо!$I$15:$I$28,[1]инфо!$A$15:$A$28,F751)</f>
        <v/>
      </c>
      <c r="AU751" s="62">
        <f>IF(H751=0,0,AD751/H751)</f>
        <v/>
      </c>
      <c r="AV751" s="76">
        <f>AU751-AT751</f>
        <v/>
      </c>
      <c r="AX751" s="70">
        <f>SUMIFS([1]инфо!$C$15:$C$28,[1]инфо!$A$15:$A$28,F751)*H750</f>
        <v/>
      </c>
    </row>
    <row r="752">
      <c r="A752" s="71">
        <f>A750+1</f>
        <v/>
      </c>
      <c r="B752" s="90" t="n"/>
      <c r="C752" s="52" t="n"/>
      <c r="D752" s="53" t="n"/>
      <c r="E752" s="91" t="n"/>
      <c r="F752" s="67" t="n"/>
      <c r="G752" s="58" t="n"/>
      <c r="H752" s="55" t="n"/>
      <c r="I752" s="57">
        <f>IFERROR(H752*VLOOKUP(F752,[1]инфо!$A$15:$C$28,3,FALSE)/1000,0)</f>
        <v/>
      </c>
      <c r="J752" s="55" t="n"/>
      <c r="K752" s="55" t="n"/>
      <c r="L752" s="55" t="n"/>
      <c r="M752" s="55" t="n"/>
      <c r="N752" s="55" t="n"/>
      <c r="O752" s="58" t="n"/>
      <c r="P752" s="58" t="n"/>
      <c r="Q752" s="58" t="n"/>
      <c r="R752" s="58" t="n"/>
      <c r="S752" s="59">
        <f>SUM(O752:R752)</f>
        <v/>
      </c>
      <c r="T752" s="52" t="n"/>
      <c r="U752" s="53" t="n"/>
      <c r="V752" s="58" t="n"/>
      <c r="W752" s="68" t="n"/>
      <c r="X752" s="58" t="n"/>
      <c r="Y752" s="52" t="n"/>
      <c r="Z752" s="58" t="n"/>
      <c r="AA752" s="58" t="n"/>
      <c r="AB752" s="58" t="n"/>
      <c r="AC752" s="58" t="n"/>
      <c r="AD752" s="53" t="n"/>
      <c r="AE752" s="61">
        <f>SUMIFS([1]инфо!$D$15:$D$28,[1]инфо!$A$15:$A$28,F752)</f>
        <v/>
      </c>
      <c r="AF752" s="62">
        <f>IF(H752=0,0,N752/H752)</f>
        <v/>
      </c>
      <c r="AG752" s="63">
        <f>AF752-AE752</f>
        <v/>
      </c>
      <c r="AH752" s="61">
        <f>SUMIFS([1]инфо!$E$15:$E$28,[1]инфо!$A$15:$A$28,F752)</f>
        <v/>
      </c>
      <c r="AI752" s="64">
        <f>IF(H752=0,0,S752/H752)</f>
        <v/>
      </c>
      <c r="AJ752" s="63">
        <f>AI752-AH752</f>
        <v/>
      </c>
      <c r="AK752" s="61">
        <f>SUMIFS([1]инфо!$F$15:$F$28,[1]инфо!$A$15:$A$28,F752)</f>
        <v/>
      </c>
      <c r="AL752" s="64">
        <f>IF(H752=0,0,Y752/H752)</f>
        <v/>
      </c>
      <c r="AM752" s="63">
        <f>AL752-AK752</f>
        <v/>
      </c>
      <c r="AN752" s="61">
        <f>SUMIFS([1]инфо!$G$15:$G$28,[1]инфо!$A$15:$A$28,F752)</f>
        <v/>
      </c>
      <c r="AO752" s="64">
        <f>IF(H752=0,0,AA752/H752)</f>
        <v/>
      </c>
      <c r="AP752" s="63">
        <f>AO752-AN752</f>
        <v/>
      </c>
      <c r="AQ752" s="61">
        <f>SUMIFS([1]инфо!$H$15:$H$28,[1]инфо!$A$15:$A$28,F752)</f>
        <v/>
      </c>
      <c r="AR752" s="62">
        <f>IF(H751=0,0,AC752/H751)</f>
        <v/>
      </c>
      <c r="AS752" s="63">
        <f>AR752-AQ752</f>
        <v/>
      </c>
      <c r="AT752" s="61">
        <f>SUMIFS([1]инфо!$I$15:$I$28,[1]инфо!$A$15:$A$28,F752)</f>
        <v/>
      </c>
      <c r="AU752" s="62">
        <f>IF(H752=0,0,AD752/H752)</f>
        <v/>
      </c>
      <c r="AV752" s="63">
        <f>AU752-AT752</f>
        <v/>
      </c>
      <c r="AX752" s="59">
        <f>SUMIFS([1]инфо!$C$15:$C$28,[1]инфо!$A$15:$A$28,F752)*H751</f>
        <v/>
      </c>
    </row>
    <row r="753">
      <c r="A753" s="71">
        <f>A751+1</f>
        <v/>
      </c>
      <c r="B753" s="90" t="n"/>
      <c r="C753" s="52" t="n"/>
      <c r="D753" s="53" t="n"/>
      <c r="E753" s="91" t="n"/>
      <c r="F753" s="67" t="n"/>
      <c r="G753" s="58" t="n"/>
      <c r="H753" s="56" t="n"/>
      <c r="I753" s="57">
        <f>IFERROR(H753*VLOOKUP(F753,[1]инфо!$A$15:$C$28,3,FALSE)/1000,0)</f>
        <v/>
      </c>
      <c r="J753" s="55" t="n"/>
      <c r="K753" s="55" t="n"/>
      <c r="L753" s="55" t="n"/>
      <c r="M753" s="55" t="n"/>
      <c r="N753" s="55" t="n"/>
      <c r="O753" s="58" t="n"/>
      <c r="P753" s="58" t="n"/>
      <c r="Q753" s="58" t="n"/>
      <c r="R753" s="58" t="n"/>
      <c r="S753" s="59">
        <f>SUM(O753:R753)</f>
        <v/>
      </c>
      <c r="T753" s="52" t="n"/>
      <c r="U753" s="53" t="n"/>
      <c r="V753" s="58" t="n"/>
      <c r="W753" s="68" t="n"/>
      <c r="X753" s="58" t="n"/>
      <c r="Y753" s="52" t="n"/>
      <c r="Z753" s="58" t="n"/>
      <c r="AA753" s="58" t="n"/>
      <c r="AB753" s="58" t="n"/>
      <c r="AC753" s="58" t="n"/>
      <c r="AD753" s="53" t="n"/>
      <c r="AE753" s="61">
        <f>SUMIFS([1]инфо!$D$15:$D$28,[1]инфо!$A$15:$A$28,F753)</f>
        <v/>
      </c>
      <c r="AF753" s="62">
        <f>IF(H753=0,0,N753/H753)</f>
        <v/>
      </c>
      <c r="AG753" s="63">
        <f>AF753-AE753</f>
        <v/>
      </c>
      <c r="AH753" s="61">
        <f>SUMIFS([1]инфо!$E$15:$E$28,[1]инфо!$A$15:$A$28,F753)</f>
        <v/>
      </c>
      <c r="AI753" s="64">
        <f>IF(H753=0,0,S753/H753)</f>
        <v/>
      </c>
      <c r="AJ753" s="63">
        <f>AI753-AH753</f>
        <v/>
      </c>
      <c r="AK753" s="61">
        <f>SUMIFS([1]инфо!$F$15:$F$28,[1]инфо!$A$15:$A$28,F753)</f>
        <v/>
      </c>
      <c r="AL753" s="64">
        <f>IF(H753=0,0,Y753/H753)</f>
        <v/>
      </c>
      <c r="AM753" s="63">
        <f>AL753-AK753</f>
        <v/>
      </c>
      <c r="AN753" s="61">
        <f>SUMIFS([1]инфо!$G$15:$G$28,[1]инфо!$A$15:$A$28,F753)</f>
        <v/>
      </c>
      <c r="AO753" s="64">
        <f>IF(H753=0,0,AA753/H753)</f>
        <v/>
      </c>
      <c r="AP753" s="63">
        <f>AO753-AN753</f>
        <v/>
      </c>
      <c r="AQ753" s="61">
        <f>SUMIFS([1]инфо!$H$15:$H$28,[1]инфо!$A$15:$A$28,F753)</f>
        <v/>
      </c>
      <c r="AR753" s="62">
        <f>IF(H752=0,0,AC753/H752)</f>
        <v/>
      </c>
      <c r="AS753" s="63">
        <f>AR753-AQ753</f>
        <v/>
      </c>
      <c r="AT753" s="61">
        <f>SUMIFS([1]инфо!$I$15:$I$28,[1]инфо!$A$15:$A$28,F753)</f>
        <v/>
      </c>
      <c r="AU753" s="62">
        <f>IF(H753=0,0,AD753/H753)</f>
        <v/>
      </c>
      <c r="AV753" s="63">
        <f>AU753-AT753</f>
        <v/>
      </c>
      <c r="AX753" s="59">
        <f>SUMIFS([1]инфо!$C$15:$C$28,[1]инфо!$A$15:$A$28,F753)*H752</f>
        <v/>
      </c>
    </row>
    <row r="754">
      <c r="A754" s="71">
        <f>A752+1</f>
        <v/>
      </c>
      <c r="B754" s="88" t="n"/>
      <c r="C754" s="77" t="n"/>
      <c r="D754" s="78" t="n"/>
      <c r="E754" s="91" t="n"/>
      <c r="F754" s="67" t="n"/>
      <c r="G754" s="79" t="n"/>
      <c r="H754" s="67" t="n"/>
      <c r="I754" s="57">
        <f>IFERROR(H754*VLOOKUP(F754,[1]инфо!$A$15:$C$28,3,FALSE)/1000,0)</f>
        <v/>
      </c>
      <c r="J754" s="55" t="n"/>
      <c r="K754" s="55" t="n"/>
      <c r="L754" s="55" t="n"/>
      <c r="M754" s="55" t="n"/>
      <c r="N754" s="56" t="n"/>
      <c r="O754" s="79" t="n"/>
      <c r="P754" s="79" t="n"/>
      <c r="Q754" s="79" t="n"/>
      <c r="R754" s="79" t="n"/>
      <c r="S754" s="80">
        <f>SUM(O754:R754)</f>
        <v/>
      </c>
      <c r="T754" s="77" t="n"/>
      <c r="U754" s="78" t="n"/>
      <c r="V754" s="79" t="n"/>
      <c r="W754" s="68" t="n"/>
      <c r="X754" s="79" t="n"/>
      <c r="Y754" s="77" t="n"/>
      <c r="Z754" s="79" t="n"/>
      <c r="AA754" s="79" t="n"/>
      <c r="AB754" s="79" t="n"/>
      <c r="AC754" s="79" t="n"/>
      <c r="AD754" s="78" t="n"/>
      <c r="AE754" s="81">
        <f>SUMIFS([1]инфо!$D$15:$D$28,[1]инфо!$A$15:$A$28,F754)</f>
        <v/>
      </c>
      <c r="AF754" s="62">
        <f>IF(H754=0,0,N754/H754)</f>
        <v/>
      </c>
      <c r="AG754" s="82">
        <f>AF754-AE754</f>
        <v/>
      </c>
      <c r="AH754" s="81">
        <f>SUMIFS([1]инфо!$E$15:$E$28,[1]инфо!$A$15:$A$28,F754)</f>
        <v/>
      </c>
      <c r="AI754" s="64">
        <f>IF(H754=0,0,S754/H754)</f>
        <v/>
      </c>
      <c r="AJ754" s="82">
        <f>AI754-AH754</f>
        <v/>
      </c>
      <c r="AK754" s="81">
        <f>SUMIFS([1]инфо!$F$15:$F$28,[1]инфо!$A$15:$A$28,F754)</f>
        <v/>
      </c>
      <c r="AL754" s="64">
        <f>IF(H754=0,0,Y754/H754)</f>
        <v/>
      </c>
      <c r="AM754" s="82">
        <f>AL754-AK754</f>
        <v/>
      </c>
      <c r="AN754" s="81">
        <f>SUMIFS([1]инфо!$G$15:$G$28,[1]инфо!$A$15:$A$28,F754)</f>
        <v/>
      </c>
      <c r="AO754" s="64">
        <f>IF(H754=0,0,AA754/H754)</f>
        <v/>
      </c>
      <c r="AP754" s="82">
        <f>AO754-AN754</f>
        <v/>
      </c>
      <c r="AQ754" s="81">
        <f>SUMIFS([1]инфо!$H$15:$H$28,[1]инфо!$A$15:$A$28,F754)</f>
        <v/>
      </c>
      <c r="AR754" s="85">
        <f>IF(H753=0,0,AC754/H753)</f>
        <v/>
      </c>
      <c r="AS754" s="82">
        <f>AR754-AQ754</f>
        <v/>
      </c>
      <c r="AT754" s="81">
        <f>SUMIFS([1]инфо!$I$15:$I$28,[1]инфо!$A$15:$A$28,F754)</f>
        <v/>
      </c>
      <c r="AU754" s="62">
        <f>IF(H754=0,0,AD754/H754)</f>
        <v/>
      </c>
      <c r="AV754" s="82">
        <f>AU754-AT754</f>
        <v/>
      </c>
      <c r="AX754" s="80">
        <f>SUMIFS([1]инфо!$C$15:$C$28,[1]инфо!$A$15:$A$28,F754)*H753</f>
        <v/>
      </c>
    </row>
    <row r="755">
      <c r="A755" s="71">
        <f>A753+1</f>
        <v/>
      </c>
      <c r="B755" s="89" t="n"/>
      <c r="C755" s="72" t="n"/>
      <c r="D755" s="73" t="n"/>
      <c r="E755" s="91" t="n"/>
      <c r="F755" s="67" t="n"/>
      <c r="G755" s="74" t="n"/>
      <c r="H755" s="55" t="n"/>
      <c r="I755" s="57">
        <f>IFERROR(H755*VLOOKUP(F755,[1]инфо!$A$15:$C$28,3,FALSE)/1000,0)</f>
        <v/>
      </c>
      <c r="J755" s="55" t="n"/>
      <c r="K755" s="55" t="n"/>
      <c r="L755" s="55" t="n"/>
      <c r="M755" s="55" t="n"/>
      <c r="N755" s="67" t="n"/>
      <c r="O755" s="74" t="n"/>
      <c r="P755" s="74" t="n"/>
      <c r="Q755" s="74" t="n"/>
      <c r="R755" s="74" t="n"/>
      <c r="S755" s="70">
        <f>SUM(O755:R755)</f>
        <v/>
      </c>
      <c r="T755" s="72" t="n"/>
      <c r="U755" s="73" t="n"/>
      <c r="V755" s="74" t="n"/>
      <c r="W755" s="68" t="n"/>
      <c r="X755" s="74" t="n"/>
      <c r="Y755" s="72" t="n"/>
      <c r="Z755" s="74" t="n"/>
      <c r="AA755" s="74" t="n"/>
      <c r="AB755" s="74" t="n"/>
      <c r="AC755" s="74" t="n"/>
      <c r="AD755" s="73" t="n"/>
      <c r="AE755" s="75">
        <f>SUMIFS([1]инфо!$D$15:$D$28,[1]инфо!$A$15:$A$28,F755)</f>
        <v/>
      </c>
      <c r="AF755" s="62">
        <f>IF(H755=0,0,N755/H755)</f>
        <v/>
      </c>
      <c r="AG755" s="76">
        <f>AF755-AE755</f>
        <v/>
      </c>
      <c r="AH755" s="75">
        <f>SUMIFS([1]инфо!$E$15:$E$28,[1]инфо!$A$15:$A$28,F755)</f>
        <v/>
      </c>
      <c r="AI755" s="64">
        <f>IF(H755=0,0,S755/H755)</f>
        <v/>
      </c>
      <c r="AJ755" s="76">
        <f>AI755-AH755</f>
        <v/>
      </c>
      <c r="AK755" s="75">
        <f>SUMIFS([1]инфо!$F$15:$F$28,[1]инфо!$A$15:$A$28,F755)</f>
        <v/>
      </c>
      <c r="AL755" s="64">
        <f>IF(H755=0,0,Y755/H755)</f>
        <v/>
      </c>
      <c r="AM755" s="76">
        <f>AL755-AK755</f>
        <v/>
      </c>
      <c r="AN755" s="75">
        <f>SUMIFS([1]инфо!$G$15:$G$28,[1]инфо!$A$15:$A$28,F755)</f>
        <v/>
      </c>
      <c r="AO755" s="64">
        <f>IF(H755=0,0,AA755/H755)</f>
        <v/>
      </c>
      <c r="AP755" s="76">
        <f>AO755-AN755</f>
        <v/>
      </c>
      <c r="AQ755" s="75">
        <f>SUMIFS([1]инфо!$H$15:$H$28,[1]инфо!$A$15:$A$28,F755)</f>
        <v/>
      </c>
      <c r="AR755" s="64">
        <f>IF(H754=0,0,AC755/H754)</f>
        <v/>
      </c>
      <c r="AS755" s="76">
        <f>AR755-AQ755</f>
        <v/>
      </c>
      <c r="AT755" s="75">
        <f>SUMIFS([1]инфо!$I$15:$I$28,[1]инфо!$A$15:$A$28,F755)</f>
        <v/>
      </c>
      <c r="AU755" s="62">
        <f>IF(H755=0,0,AD755/H755)</f>
        <v/>
      </c>
      <c r="AV755" s="76">
        <f>AU755-AT755</f>
        <v/>
      </c>
      <c r="AX755" s="70">
        <f>SUMIFS([1]инфо!$C$15:$C$28,[1]инфо!$A$15:$A$28,F755)*H754</f>
        <v/>
      </c>
    </row>
    <row r="756">
      <c r="A756" s="71">
        <f>A754+1</f>
        <v/>
      </c>
      <c r="B756" s="90" t="n"/>
      <c r="C756" s="52" t="n"/>
      <c r="D756" s="53" t="n"/>
      <c r="E756" s="91" t="n"/>
      <c r="F756" s="67" t="n"/>
      <c r="G756" s="58" t="n"/>
      <c r="H756" s="55" t="n"/>
      <c r="I756" s="57">
        <f>IFERROR(H756*VLOOKUP(F756,[1]инфо!$A$15:$C$28,3,FALSE)/1000,0)</f>
        <v/>
      </c>
      <c r="J756" s="55" t="n"/>
      <c r="K756" s="55" t="n"/>
      <c r="L756" s="55" t="n"/>
      <c r="M756" s="55" t="n"/>
      <c r="N756" s="55" t="n"/>
      <c r="O756" s="58" t="n"/>
      <c r="P756" s="58" t="n"/>
      <c r="Q756" s="58" t="n"/>
      <c r="R756" s="58" t="n"/>
      <c r="S756" s="59">
        <f>SUM(O756:R756)</f>
        <v/>
      </c>
      <c r="T756" s="52" t="n"/>
      <c r="U756" s="53" t="n"/>
      <c r="V756" s="58" t="n"/>
      <c r="W756" s="68" t="n"/>
      <c r="X756" s="58" t="n"/>
      <c r="Y756" s="52" t="n"/>
      <c r="Z756" s="58" t="n"/>
      <c r="AA756" s="58" t="n"/>
      <c r="AB756" s="58" t="n"/>
      <c r="AC756" s="58" t="n"/>
      <c r="AD756" s="53" t="n"/>
      <c r="AE756" s="61">
        <f>SUMIFS([1]инфо!$D$15:$D$28,[1]инфо!$A$15:$A$28,F756)</f>
        <v/>
      </c>
      <c r="AF756" s="62">
        <f>IF(H756=0,0,N756/H756)</f>
        <v/>
      </c>
      <c r="AG756" s="63">
        <f>AF756-AE756</f>
        <v/>
      </c>
      <c r="AH756" s="61">
        <f>SUMIFS([1]инфо!$E$15:$E$28,[1]инфо!$A$15:$A$28,F756)</f>
        <v/>
      </c>
      <c r="AI756" s="64">
        <f>IF(H756=0,0,S756/H756)</f>
        <v/>
      </c>
      <c r="AJ756" s="63">
        <f>AI756-AH756</f>
        <v/>
      </c>
      <c r="AK756" s="61">
        <f>SUMIFS([1]инфо!$F$15:$F$28,[1]инфо!$A$15:$A$28,F756)</f>
        <v/>
      </c>
      <c r="AL756" s="64">
        <f>IF(H756=0,0,Y756/H756)</f>
        <v/>
      </c>
      <c r="AM756" s="63">
        <f>AL756-AK756</f>
        <v/>
      </c>
      <c r="AN756" s="61">
        <f>SUMIFS([1]инфо!$G$15:$G$28,[1]инфо!$A$15:$A$28,F756)</f>
        <v/>
      </c>
      <c r="AO756" s="64">
        <f>IF(H756=0,0,AA756/H756)</f>
        <v/>
      </c>
      <c r="AP756" s="63">
        <f>AO756-AN756</f>
        <v/>
      </c>
      <c r="AQ756" s="61">
        <f>SUMIFS([1]инфо!$H$15:$H$28,[1]инфо!$A$15:$A$28,F756)</f>
        <v/>
      </c>
      <c r="AR756" s="62">
        <f>IF(H755=0,0,AC756/H755)</f>
        <v/>
      </c>
      <c r="AS756" s="63">
        <f>AR756-AQ756</f>
        <v/>
      </c>
      <c r="AT756" s="61">
        <f>SUMIFS([1]инфо!$I$15:$I$28,[1]инфо!$A$15:$A$28,F756)</f>
        <v/>
      </c>
      <c r="AU756" s="62">
        <f>IF(H756=0,0,AD756/H756)</f>
        <v/>
      </c>
      <c r="AV756" s="63">
        <f>AU756-AT756</f>
        <v/>
      </c>
      <c r="AX756" s="59">
        <f>SUMIFS([1]инфо!$C$15:$C$28,[1]инфо!$A$15:$A$28,F756)*H755</f>
        <v/>
      </c>
    </row>
    <row r="757">
      <c r="A757" s="71">
        <f>A755+1</f>
        <v/>
      </c>
      <c r="B757" s="90" t="n"/>
      <c r="C757" s="52" t="n"/>
      <c r="D757" s="53" t="n"/>
      <c r="E757" s="91" t="n"/>
      <c r="F757" s="67" t="n"/>
      <c r="G757" s="58" t="n"/>
      <c r="H757" s="56" t="n"/>
      <c r="I757" s="57">
        <f>IFERROR(H757*VLOOKUP(F757,[1]инфо!$A$15:$C$28,3,FALSE)/1000,0)</f>
        <v/>
      </c>
      <c r="J757" s="55" t="n"/>
      <c r="K757" s="55" t="n"/>
      <c r="L757" s="55" t="n"/>
      <c r="M757" s="55" t="n"/>
      <c r="N757" s="55" t="n"/>
      <c r="O757" s="58" t="n"/>
      <c r="P757" s="58" t="n"/>
      <c r="Q757" s="58" t="n"/>
      <c r="R757" s="58" t="n"/>
      <c r="S757" s="59">
        <f>SUM(O757:R757)</f>
        <v/>
      </c>
      <c r="T757" s="52" t="n"/>
      <c r="U757" s="53" t="n"/>
      <c r="V757" s="58" t="n"/>
      <c r="W757" s="68" t="n"/>
      <c r="X757" s="58" t="n"/>
      <c r="Y757" s="52" t="n"/>
      <c r="Z757" s="58" t="n"/>
      <c r="AA757" s="58" t="n"/>
      <c r="AB757" s="58" t="n"/>
      <c r="AC757" s="58" t="n"/>
      <c r="AD757" s="53" t="n"/>
      <c r="AE757" s="61">
        <f>SUMIFS([1]инфо!$D$15:$D$28,[1]инфо!$A$15:$A$28,F757)</f>
        <v/>
      </c>
      <c r="AF757" s="62">
        <f>IF(H757=0,0,N757/H757)</f>
        <v/>
      </c>
      <c r="AG757" s="63">
        <f>AF757-AE757</f>
        <v/>
      </c>
      <c r="AH757" s="61">
        <f>SUMIFS([1]инфо!$E$15:$E$28,[1]инфо!$A$15:$A$28,F757)</f>
        <v/>
      </c>
      <c r="AI757" s="64">
        <f>IF(H757=0,0,S757/H757)</f>
        <v/>
      </c>
      <c r="AJ757" s="63">
        <f>AI757-AH757</f>
        <v/>
      </c>
      <c r="AK757" s="61">
        <f>SUMIFS([1]инфо!$F$15:$F$28,[1]инфо!$A$15:$A$28,F757)</f>
        <v/>
      </c>
      <c r="AL757" s="64">
        <f>IF(H757=0,0,Y757/H757)</f>
        <v/>
      </c>
      <c r="AM757" s="63">
        <f>AL757-AK757</f>
        <v/>
      </c>
      <c r="AN757" s="61">
        <f>SUMIFS([1]инфо!$G$15:$G$28,[1]инфо!$A$15:$A$28,F757)</f>
        <v/>
      </c>
      <c r="AO757" s="64">
        <f>IF(H757=0,0,AA757/H757)</f>
        <v/>
      </c>
      <c r="AP757" s="63">
        <f>AO757-AN757</f>
        <v/>
      </c>
      <c r="AQ757" s="61">
        <f>SUMIFS([1]инфо!$H$15:$H$28,[1]инфо!$A$15:$A$28,F757)</f>
        <v/>
      </c>
      <c r="AR757" s="62">
        <f>IF(H756=0,0,AC757/H756)</f>
        <v/>
      </c>
      <c r="AS757" s="63">
        <f>AR757-AQ757</f>
        <v/>
      </c>
      <c r="AT757" s="61">
        <f>SUMIFS([1]инфо!$I$15:$I$28,[1]инфо!$A$15:$A$28,F757)</f>
        <v/>
      </c>
      <c r="AU757" s="62">
        <f>IF(H757=0,0,AD757/H757)</f>
        <v/>
      </c>
      <c r="AV757" s="63">
        <f>AU757-AT757</f>
        <v/>
      </c>
      <c r="AX757" s="59">
        <f>SUMIFS([1]инфо!$C$15:$C$28,[1]инфо!$A$15:$A$28,F757)*H756</f>
        <v/>
      </c>
    </row>
    <row r="758">
      <c r="A758" s="71">
        <f>A756+1</f>
        <v/>
      </c>
      <c r="B758" s="88" t="n"/>
      <c r="C758" s="77" t="n"/>
      <c r="D758" s="78" t="n"/>
      <c r="E758" s="91" t="n"/>
      <c r="F758" s="67" t="n"/>
      <c r="G758" s="79" t="n"/>
      <c r="H758" s="67" t="n"/>
      <c r="I758" s="57">
        <f>IFERROR(H758*VLOOKUP(F758,[1]инфо!$A$15:$C$28,3,FALSE)/1000,0)</f>
        <v/>
      </c>
      <c r="J758" s="55" t="n"/>
      <c r="K758" s="55" t="n"/>
      <c r="L758" s="55" t="n"/>
      <c r="M758" s="55" t="n"/>
      <c r="N758" s="56" t="n"/>
      <c r="O758" s="79" t="n"/>
      <c r="P758" s="79" t="n"/>
      <c r="Q758" s="79" t="n"/>
      <c r="R758" s="79" t="n"/>
      <c r="S758" s="80">
        <f>SUM(O758:R758)</f>
        <v/>
      </c>
      <c r="T758" s="77" t="n"/>
      <c r="U758" s="78" t="n"/>
      <c r="V758" s="79" t="n"/>
      <c r="W758" s="68" t="n"/>
      <c r="X758" s="79" t="n"/>
      <c r="Y758" s="77" t="n"/>
      <c r="Z758" s="79" t="n"/>
      <c r="AA758" s="79" t="n"/>
      <c r="AB758" s="79" t="n"/>
      <c r="AC758" s="79" t="n"/>
      <c r="AD758" s="78" t="n"/>
      <c r="AE758" s="81">
        <f>SUMIFS([1]инфо!$D$15:$D$28,[1]инфо!$A$15:$A$28,F758)</f>
        <v/>
      </c>
      <c r="AF758" s="62">
        <f>IF(H758=0,0,N758/H758)</f>
        <v/>
      </c>
      <c r="AG758" s="82">
        <f>AF758-AE758</f>
        <v/>
      </c>
      <c r="AH758" s="81">
        <f>SUMIFS([1]инфо!$E$15:$E$28,[1]инфо!$A$15:$A$28,F758)</f>
        <v/>
      </c>
      <c r="AI758" s="64">
        <f>IF(H758=0,0,S758/H758)</f>
        <v/>
      </c>
      <c r="AJ758" s="82">
        <f>AI758-AH758</f>
        <v/>
      </c>
      <c r="AK758" s="81">
        <f>SUMIFS([1]инфо!$F$15:$F$28,[1]инфо!$A$15:$A$28,F758)</f>
        <v/>
      </c>
      <c r="AL758" s="64">
        <f>IF(H758=0,0,Y758/H758)</f>
        <v/>
      </c>
      <c r="AM758" s="82">
        <f>AL758-AK758</f>
        <v/>
      </c>
      <c r="AN758" s="81">
        <f>SUMIFS([1]инфо!$G$15:$G$28,[1]инфо!$A$15:$A$28,F758)</f>
        <v/>
      </c>
      <c r="AO758" s="64">
        <f>IF(H758=0,0,AA758/H758)</f>
        <v/>
      </c>
      <c r="AP758" s="82">
        <f>AO758-AN758</f>
        <v/>
      </c>
      <c r="AQ758" s="81">
        <f>SUMIFS([1]инфо!$H$15:$H$28,[1]инфо!$A$15:$A$28,F758)</f>
        <v/>
      </c>
      <c r="AR758" s="85">
        <f>IF(H757=0,0,AC758/H757)</f>
        <v/>
      </c>
      <c r="AS758" s="82">
        <f>AR758-AQ758</f>
        <v/>
      </c>
      <c r="AT758" s="81">
        <f>SUMIFS([1]инфо!$I$15:$I$28,[1]инфо!$A$15:$A$28,F758)</f>
        <v/>
      </c>
      <c r="AU758" s="62">
        <f>IF(H758=0,0,AD758/H758)</f>
        <v/>
      </c>
      <c r="AV758" s="82">
        <f>AU758-AT758</f>
        <v/>
      </c>
      <c r="AX758" s="80">
        <f>SUMIFS([1]инфо!$C$15:$C$28,[1]инфо!$A$15:$A$28,F758)*H757</f>
        <v/>
      </c>
    </row>
    <row r="759">
      <c r="A759" s="71">
        <f>A757+1</f>
        <v/>
      </c>
      <c r="B759" s="89" t="n"/>
      <c r="C759" s="72" t="n"/>
      <c r="D759" s="73" t="n"/>
      <c r="E759" s="91" t="n"/>
      <c r="F759" s="67" t="n"/>
      <c r="G759" s="74" t="n"/>
      <c r="H759" s="55" t="n"/>
      <c r="I759" s="57">
        <f>IFERROR(H759*VLOOKUP(F759,[1]инфо!$A$15:$C$28,3,FALSE)/1000,0)</f>
        <v/>
      </c>
      <c r="J759" s="55" t="n"/>
      <c r="K759" s="55" t="n"/>
      <c r="L759" s="55" t="n"/>
      <c r="M759" s="55" t="n"/>
      <c r="N759" s="67" t="n"/>
      <c r="O759" s="74" t="n"/>
      <c r="P759" s="74" t="n"/>
      <c r="Q759" s="74" t="n"/>
      <c r="R759" s="74" t="n"/>
      <c r="S759" s="70">
        <f>SUM(O759:R759)</f>
        <v/>
      </c>
      <c r="T759" s="72" t="n"/>
      <c r="U759" s="73" t="n"/>
      <c r="V759" s="74" t="n"/>
      <c r="W759" s="68" t="n"/>
      <c r="X759" s="74" t="n"/>
      <c r="Y759" s="72" t="n"/>
      <c r="Z759" s="74" t="n"/>
      <c r="AA759" s="74" t="n"/>
      <c r="AB759" s="74" t="n"/>
      <c r="AC759" s="74" t="n"/>
      <c r="AD759" s="73" t="n"/>
      <c r="AE759" s="75">
        <f>SUMIFS([1]инфо!$D$15:$D$28,[1]инфо!$A$15:$A$28,F759)</f>
        <v/>
      </c>
      <c r="AF759" s="62">
        <f>IF(H759=0,0,N759/H759)</f>
        <v/>
      </c>
      <c r="AG759" s="76">
        <f>AF759-AE759</f>
        <v/>
      </c>
      <c r="AH759" s="75">
        <f>SUMIFS([1]инфо!$E$15:$E$28,[1]инфо!$A$15:$A$28,F759)</f>
        <v/>
      </c>
      <c r="AI759" s="64">
        <f>IF(H759=0,0,S759/H759)</f>
        <v/>
      </c>
      <c r="AJ759" s="76">
        <f>AI759-AH759</f>
        <v/>
      </c>
      <c r="AK759" s="75">
        <f>SUMIFS([1]инфо!$F$15:$F$28,[1]инфо!$A$15:$A$28,F759)</f>
        <v/>
      </c>
      <c r="AL759" s="64">
        <f>IF(H759=0,0,Y759/H759)</f>
        <v/>
      </c>
      <c r="AM759" s="76">
        <f>AL759-AK759</f>
        <v/>
      </c>
      <c r="AN759" s="75">
        <f>SUMIFS([1]инфо!$G$15:$G$28,[1]инфо!$A$15:$A$28,F759)</f>
        <v/>
      </c>
      <c r="AO759" s="64">
        <f>IF(H759=0,0,AA759/H759)</f>
        <v/>
      </c>
      <c r="AP759" s="76">
        <f>AO759-AN759</f>
        <v/>
      </c>
      <c r="AQ759" s="75">
        <f>SUMIFS([1]инфо!$H$15:$H$28,[1]инфо!$A$15:$A$28,F759)</f>
        <v/>
      </c>
      <c r="AR759" s="64">
        <f>IF(H758=0,0,AC759/H758)</f>
        <v/>
      </c>
      <c r="AS759" s="76">
        <f>AR759-AQ759</f>
        <v/>
      </c>
      <c r="AT759" s="75">
        <f>SUMIFS([1]инфо!$I$15:$I$28,[1]инфо!$A$15:$A$28,F759)</f>
        <v/>
      </c>
      <c r="AU759" s="62">
        <f>IF(H759=0,0,AD759/H759)</f>
        <v/>
      </c>
      <c r="AV759" s="76">
        <f>AU759-AT759</f>
        <v/>
      </c>
      <c r="AX759" s="70">
        <f>SUMIFS([1]инфо!$C$15:$C$28,[1]инфо!$A$15:$A$28,F759)*H758</f>
        <v/>
      </c>
    </row>
    <row r="760">
      <c r="A760" s="71">
        <f>A758+1</f>
        <v/>
      </c>
      <c r="B760" s="90" t="n"/>
      <c r="C760" s="52" t="n"/>
      <c r="D760" s="53" t="n"/>
      <c r="E760" s="91" t="n"/>
      <c r="F760" s="67" t="n"/>
      <c r="G760" s="58" t="n"/>
      <c r="H760" s="55" t="n"/>
      <c r="I760" s="57">
        <f>IFERROR(H760*VLOOKUP(F760,[1]инфо!$A$15:$C$28,3,FALSE)/1000,0)</f>
        <v/>
      </c>
      <c r="J760" s="55" t="n"/>
      <c r="K760" s="55" t="n"/>
      <c r="L760" s="55" t="n"/>
      <c r="M760" s="55" t="n"/>
      <c r="N760" s="55" t="n"/>
      <c r="O760" s="58" t="n"/>
      <c r="P760" s="58" t="n"/>
      <c r="Q760" s="58" t="n"/>
      <c r="R760" s="58" t="n"/>
      <c r="S760" s="59">
        <f>SUM(O760:R760)</f>
        <v/>
      </c>
      <c r="T760" s="52" t="n"/>
      <c r="U760" s="53" t="n"/>
      <c r="V760" s="58" t="n"/>
      <c r="W760" s="68" t="n"/>
      <c r="X760" s="58" t="n"/>
      <c r="Y760" s="52" t="n"/>
      <c r="Z760" s="58" t="n"/>
      <c r="AA760" s="58" t="n"/>
      <c r="AB760" s="58" t="n"/>
      <c r="AC760" s="58" t="n"/>
      <c r="AD760" s="53" t="n"/>
      <c r="AE760" s="61">
        <f>SUMIFS([1]инфо!$D$15:$D$28,[1]инфо!$A$15:$A$28,F760)</f>
        <v/>
      </c>
      <c r="AF760" s="62">
        <f>IF(H760=0,0,N760/H760)</f>
        <v/>
      </c>
      <c r="AG760" s="63">
        <f>AF760-AE760</f>
        <v/>
      </c>
      <c r="AH760" s="61">
        <f>SUMIFS([1]инфо!$E$15:$E$28,[1]инфо!$A$15:$A$28,F760)</f>
        <v/>
      </c>
      <c r="AI760" s="64">
        <f>IF(H760=0,0,S760/H760)</f>
        <v/>
      </c>
      <c r="AJ760" s="63">
        <f>AI760-AH760</f>
        <v/>
      </c>
      <c r="AK760" s="61">
        <f>SUMIFS([1]инфо!$F$15:$F$28,[1]инфо!$A$15:$A$28,F760)</f>
        <v/>
      </c>
      <c r="AL760" s="64">
        <f>IF(H760=0,0,Y760/H760)</f>
        <v/>
      </c>
      <c r="AM760" s="63">
        <f>AL760-AK760</f>
        <v/>
      </c>
      <c r="AN760" s="61">
        <f>SUMIFS([1]инфо!$G$15:$G$28,[1]инфо!$A$15:$A$28,F760)</f>
        <v/>
      </c>
      <c r="AO760" s="64">
        <f>IF(H760=0,0,AA760/H760)</f>
        <v/>
      </c>
      <c r="AP760" s="63">
        <f>AO760-AN760</f>
        <v/>
      </c>
      <c r="AQ760" s="61">
        <f>SUMIFS([1]инфо!$H$15:$H$28,[1]инфо!$A$15:$A$28,F760)</f>
        <v/>
      </c>
      <c r="AR760" s="62">
        <f>IF(H759=0,0,AC760/H759)</f>
        <v/>
      </c>
      <c r="AS760" s="63">
        <f>AR760-AQ760</f>
        <v/>
      </c>
      <c r="AT760" s="61">
        <f>SUMIFS([1]инфо!$I$15:$I$28,[1]инфо!$A$15:$A$28,F760)</f>
        <v/>
      </c>
      <c r="AU760" s="62">
        <f>IF(H760=0,0,AD760/H760)</f>
        <v/>
      </c>
      <c r="AV760" s="63">
        <f>AU760-AT760</f>
        <v/>
      </c>
      <c r="AX760" s="59">
        <f>SUMIFS([1]инфо!$C$15:$C$28,[1]инфо!$A$15:$A$28,F760)*H759</f>
        <v/>
      </c>
    </row>
    <row r="761">
      <c r="A761" s="71">
        <f>A759+1</f>
        <v/>
      </c>
      <c r="B761" s="90" t="n"/>
      <c r="C761" s="52" t="n"/>
      <c r="D761" s="53" t="n"/>
      <c r="E761" s="91" t="n"/>
      <c r="F761" s="67" t="n"/>
      <c r="G761" s="58" t="n"/>
      <c r="H761" s="56" t="n"/>
      <c r="I761" s="57">
        <f>IFERROR(H761*VLOOKUP(F761,[1]инфо!$A$15:$C$28,3,FALSE)/1000,0)</f>
        <v/>
      </c>
      <c r="J761" s="55" t="n"/>
      <c r="K761" s="55" t="n"/>
      <c r="L761" s="55" t="n"/>
      <c r="M761" s="55" t="n"/>
      <c r="N761" s="55" t="n"/>
      <c r="O761" s="58" t="n"/>
      <c r="P761" s="58" t="n"/>
      <c r="Q761" s="58" t="n"/>
      <c r="R761" s="58" t="n"/>
      <c r="S761" s="59">
        <f>SUM(O761:R761)</f>
        <v/>
      </c>
      <c r="T761" s="52" t="n"/>
      <c r="U761" s="53" t="n"/>
      <c r="V761" s="58" t="n"/>
      <c r="W761" s="68" t="n"/>
      <c r="X761" s="58" t="n"/>
      <c r="Y761" s="52" t="n"/>
      <c r="Z761" s="58" t="n"/>
      <c r="AA761" s="58" t="n"/>
      <c r="AB761" s="58" t="n"/>
      <c r="AC761" s="58" t="n"/>
      <c r="AD761" s="53" t="n"/>
      <c r="AE761" s="61">
        <f>SUMIFS([1]инфо!$D$15:$D$28,[1]инфо!$A$15:$A$28,F761)</f>
        <v/>
      </c>
      <c r="AF761" s="62">
        <f>IF(H761=0,0,N761/H761)</f>
        <v/>
      </c>
      <c r="AG761" s="63">
        <f>AF761-AE761</f>
        <v/>
      </c>
      <c r="AH761" s="61">
        <f>SUMIFS([1]инфо!$E$15:$E$28,[1]инфо!$A$15:$A$28,F761)</f>
        <v/>
      </c>
      <c r="AI761" s="64">
        <f>IF(H761=0,0,S761/H761)</f>
        <v/>
      </c>
      <c r="AJ761" s="63">
        <f>AI761-AH761</f>
        <v/>
      </c>
      <c r="AK761" s="61">
        <f>SUMIFS([1]инфо!$F$15:$F$28,[1]инфо!$A$15:$A$28,F761)</f>
        <v/>
      </c>
      <c r="AL761" s="64">
        <f>IF(H761=0,0,Y761/H761)</f>
        <v/>
      </c>
      <c r="AM761" s="63">
        <f>AL761-AK761</f>
        <v/>
      </c>
      <c r="AN761" s="61">
        <f>SUMIFS([1]инфо!$G$15:$G$28,[1]инфо!$A$15:$A$28,F761)</f>
        <v/>
      </c>
      <c r="AO761" s="64">
        <f>IF(H761=0,0,AA761/H761)</f>
        <v/>
      </c>
      <c r="AP761" s="63">
        <f>AO761-AN761</f>
        <v/>
      </c>
      <c r="AQ761" s="61">
        <f>SUMIFS([1]инфо!$H$15:$H$28,[1]инфо!$A$15:$A$28,F761)</f>
        <v/>
      </c>
      <c r="AR761" s="62">
        <f>IF(H760=0,0,AC761/H760)</f>
        <v/>
      </c>
      <c r="AS761" s="63">
        <f>AR761-AQ761</f>
        <v/>
      </c>
      <c r="AT761" s="61">
        <f>SUMIFS([1]инфо!$I$15:$I$28,[1]инфо!$A$15:$A$28,F761)</f>
        <v/>
      </c>
      <c r="AU761" s="62">
        <f>IF(H761=0,0,AD761/H761)</f>
        <v/>
      </c>
      <c r="AV761" s="63">
        <f>AU761-AT761</f>
        <v/>
      </c>
      <c r="AX761" s="59">
        <f>SUMIFS([1]инфо!$C$15:$C$28,[1]инфо!$A$15:$A$28,F761)*H760</f>
        <v/>
      </c>
    </row>
    <row r="762">
      <c r="A762" s="71">
        <f>A760+1</f>
        <v/>
      </c>
      <c r="B762" s="88" t="n"/>
      <c r="C762" s="77" t="n"/>
      <c r="D762" s="78" t="n"/>
      <c r="E762" s="91" t="n"/>
      <c r="F762" s="67" t="n"/>
      <c r="G762" s="79" t="n"/>
      <c r="H762" s="67" t="n"/>
      <c r="I762" s="57">
        <f>IFERROR(H762*VLOOKUP(F762,[1]инфо!$A$15:$C$28,3,FALSE)/1000,0)</f>
        <v/>
      </c>
      <c r="J762" s="55" t="n"/>
      <c r="K762" s="55" t="n"/>
      <c r="L762" s="55" t="n"/>
      <c r="M762" s="55" t="n"/>
      <c r="N762" s="56" t="n"/>
      <c r="O762" s="79" t="n"/>
      <c r="P762" s="79" t="n"/>
      <c r="Q762" s="79" t="n"/>
      <c r="R762" s="79" t="n"/>
      <c r="S762" s="80">
        <f>SUM(O762:R762)</f>
        <v/>
      </c>
      <c r="T762" s="77" t="n"/>
      <c r="U762" s="78" t="n"/>
      <c r="V762" s="79" t="n"/>
      <c r="W762" s="68" t="n"/>
      <c r="X762" s="79" t="n"/>
      <c r="Y762" s="77" t="n"/>
      <c r="Z762" s="79" t="n"/>
      <c r="AA762" s="79" t="n"/>
      <c r="AB762" s="79" t="n"/>
      <c r="AC762" s="79" t="n"/>
      <c r="AD762" s="78" t="n"/>
      <c r="AE762" s="81">
        <f>SUMIFS([1]инфо!$D$15:$D$28,[1]инфо!$A$15:$A$28,F762)</f>
        <v/>
      </c>
      <c r="AF762" s="62">
        <f>IF(H762=0,0,N762/H762)</f>
        <v/>
      </c>
      <c r="AG762" s="82">
        <f>AF762-AE762</f>
        <v/>
      </c>
      <c r="AH762" s="81">
        <f>SUMIFS([1]инфо!$E$15:$E$28,[1]инфо!$A$15:$A$28,F762)</f>
        <v/>
      </c>
      <c r="AI762" s="64">
        <f>IF(H762=0,0,S762/H762)</f>
        <v/>
      </c>
      <c r="AJ762" s="82">
        <f>AI762-AH762</f>
        <v/>
      </c>
      <c r="AK762" s="81">
        <f>SUMIFS([1]инфо!$F$15:$F$28,[1]инфо!$A$15:$A$28,F762)</f>
        <v/>
      </c>
      <c r="AL762" s="64">
        <f>IF(H762=0,0,Y762/H762)</f>
        <v/>
      </c>
      <c r="AM762" s="82">
        <f>AL762-AK762</f>
        <v/>
      </c>
      <c r="AN762" s="81">
        <f>SUMIFS([1]инфо!$G$15:$G$28,[1]инфо!$A$15:$A$28,F762)</f>
        <v/>
      </c>
      <c r="AO762" s="64">
        <f>IF(H762=0,0,AA762/H762)</f>
        <v/>
      </c>
      <c r="AP762" s="82">
        <f>AO762-AN762</f>
        <v/>
      </c>
      <c r="AQ762" s="81">
        <f>SUMIFS([1]инфо!$H$15:$H$28,[1]инфо!$A$15:$A$28,F762)</f>
        <v/>
      </c>
      <c r="AR762" s="85">
        <f>IF(H761=0,0,AC762/H761)</f>
        <v/>
      </c>
      <c r="AS762" s="82">
        <f>AR762-AQ762</f>
        <v/>
      </c>
      <c r="AT762" s="81">
        <f>SUMIFS([1]инфо!$I$15:$I$28,[1]инфо!$A$15:$A$28,F762)</f>
        <v/>
      </c>
      <c r="AU762" s="62">
        <f>IF(H762=0,0,AD762/H762)</f>
        <v/>
      </c>
      <c r="AV762" s="82">
        <f>AU762-AT762</f>
        <v/>
      </c>
      <c r="AX762" s="80">
        <f>SUMIFS([1]инфо!$C$15:$C$28,[1]инфо!$A$15:$A$28,F762)*H761</f>
        <v/>
      </c>
    </row>
    <row r="763">
      <c r="A763" s="71">
        <f>A761+1</f>
        <v/>
      </c>
      <c r="B763" s="89" t="n"/>
      <c r="C763" s="72" t="n"/>
      <c r="D763" s="73" t="n"/>
      <c r="E763" s="91" t="n"/>
      <c r="F763" s="67" t="n"/>
      <c r="G763" s="74" t="n"/>
      <c r="H763" s="55" t="n"/>
      <c r="I763" s="57">
        <f>IFERROR(H763*VLOOKUP(F763,[1]инфо!$A$15:$C$28,3,FALSE)/1000,0)</f>
        <v/>
      </c>
      <c r="J763" s="55" t="n"/>
      <c r="K763" s="55" t="n"/>
      <c r="L763" s="55" t="n"/>
      <c r="M763" s="55" t="n"/>
      <c r="N763" s="67" t="n"/>
      <c r="O763" s="74" t="n"/>
      <c r="P763" s="74" t="n"/>
      <c r="Q763" s="74" t="n"/>
      <c r="R763" s="74" t="n"/>
      <c r="S763" s="70">
        <f>SUM(O763:R763)</f>
        <v/>
      </c>
      <c r="T763" s="72" t="n"/>
      <c r="U763" s="73" t="n"/>
      <c r="V763" s="74" t="n"/>
      <c r="W763" s="68" t="n"/>
      <c r="X763" s="74" t="n"/>
      <c r="Y763" s="72" t="n"/>
      <c r="Z763" s="74" t="n"/>
      <c r="AA763" s="74" t="n"/>
      <c r="AB763" s="74" t="n"/>
      <c r="AC763" s="74" t="n"/>
      <c r="AD763" s="73" t="n"/>
      <c r="AE763" s="75">
        <f>SUMIFS([1]инфо!$D$15:$D$28,[1]инфо!$A$15:$A$28,F763)</f>
        <v/>
      </c>
      <c r="AF763" s="62">
        <f>IF(H763=0,0,N763/H763)</f>
        <v/>
      </c>
      <c r="AG763" s="76">
        <f>AF763-AE763</f>
        <v/>
      </c>
      <c r="AH763" s="75">
        <f>SUMIFS([1]инфо!$E$15:$E$28,[1]инфо!$A$15:$A$28,F763)</f>
        <v/>
      </c>
      <c r="AI763" s="64">
        <f>IF(H763=0,0,S763/H763)</f>
        <v/>
      </c>
      <c r="AJ763" s="76">
        <f>AI763-AH763</f>
        <v/>
      </c>
      <c r="AK763" s="75">
        <f>SUMIFS([1]инфо!$F$15:$F$28,[1]инфо!$A$15:$A$28,F763)</f>
        <v/>
      </c>
      <c r="AL763" s="64">
        <f>IF(H763=0,0,Y763/H763)</f>
        <v/>
      </c>
      <c r="AM763" s="76">
        <f>AL763-AK763</f>
        <v/>
      </c>
      <c r="AN763" s="75">
        <f>SUMIFS([1]инфо!$G$15:$G$28,[1]инфо!$A$15:$A$28,F763)</f>
        <v/>
      </c>
      <c r="AO763" s="64">
        <f>IF(H763=0,0,AA763/H763)</f>
        <v/>
      </c>
      <c r="AP763" s="76">
        <f>AO763-AN763</f>
        <v/>
      </c>
      <c r="AQ763" s="75">
        <f>SUMIFS([1]инфо!$H$15:$H$28,[1]инфо!$A$15:$A$28,F763)</f>
        <v/>
      </c>
      <c r="AR763" s="64">
        <f>IF(H762=0,0,AC763/H762)</f>
        <v/>
      </c>
      <c r="AS763" s="76">
        <f>AR763-AQ763</f>
        <v/>
      </c>
      <c r="AT763" s="75">
        <f>SUMIFS([1]инфо!$I$15:$I$28,[1]инфо!$A$15:$A$28,F763)</f>
        <v/>
      </c>
      <c r="AU763" s="62">
        <f>IF(H763=0,0,AD763/H763)</f>
        <v/>
      </c>
      <c r="AV763" s="76">
        <f>AU763-AT763</f>
        <v/>
      </c>
      <c r="AX763" s="70">
        <f>SUMIFS([1]инфо!$C$15:$C$28,[1]инфо!$A$15:$A$28,F763)*H762</f>
        <v/>
      </c>
    </row>
    <row r="764">
      <c r="A764" s="71">
        <f>A762+1</f>
        <v/>
      </c>
      <c r="B764" s="90" t="n"/>
      <c r="C764" s="52" t="n"/>
      <c r="D764" s="53" t="n"/>
      <c r="E764" s="91" t="n"/>
      <c r="F764" s="67" t="n"/>
      <c r="G764" s="58" t="n"/>
      <c r="H764" s="55" t="n"/>
      <c r="I764" s="57">
        <f>IFERROR(H764*VLOOKUP(F764,[1]инфо!$A$15:$C$28,3,FALSE)/1000,0)</f>
        <v/>
      </c>
      <c r="J764" s="55" t="n"/>
      <c r="K764" s="55" t="n"/>
      <c r="L764" s="55" t="n"/>
      <c r="M764" s="55" t="n"/>
      <c r="N764" s="55" t="n"/>
      <c r="O764" s="58" t="n"/>
      <c r="P764" s="58" t="n"/>
      <c r="Q764" s="58" t="n"/>
      <c r="R764" s="58" t="n"/>
      <c r="S764" s="59">
        <f>SUM(O764:R764)</f>
        <v/>
      </c>
      <c r="T764" s="52" t="n"/>
      <c r="U764" s="53" t="n"/>
      <c r="V764" s="58" t="n"/>
      <c r="W764" s="68" t="n"/>
      <c r="X764" s="58" t="n"/>
      <c r="Y764" s="52" t="n"/>
      <c r="Z764" s="58" t="n"/>
      <c r="AA764" s="58" t="n"/>
      <c r="AB764" s="58" t="n"/>
      <c r="AC764" s="58" t="n"/>
      <c r="AD764" s="53" t="n"/>
      <c r="AE764" s="61">
        <f>SUMIFS([1]инфо!$D$15:$D$28,[1]инфо!$A$15:$A$28,F764)</f>
        <v/>
      </c>
      <c r="AF764" s="62">
        <f>IF(H764=0,0,N764/H764)</f>
        <v/>
      </c>
      <c r="AG764" s="63">
        <f>AF764-AE764</f>
        <v/>
      </c>
      <c r="AH764" s="61">
        <f>SUMIFS([1]инфо!$E$15:$E$28,[1]инфо!$A$15:$A$28,F764)</f>
        <v/>
      </c>
      <c r="AI764" s="64">
        <f>IF(H764=0,0,S764/H764)</f>
        <v/>
      </c>
      <c r="AJ764" s="63">
        <f>AI764-AH764</f>
        <v/>
      </c>
      <c r="AK764" s="61">
        <f>SUMIFS([1]инфо!$F$15:$F$28,[1]инфо!$A$15:$A$28,F764)</f>
        <v/>
      </c>
      <c r="AL764" s="64">
        <f>IF(H764=0,0,Y764/H764)</f>
        <v/>
      </c>
      <c r="AM764" s="63">
        <f>AL764-AK764</f>
        <v/>
      </c>
      <c r="AN764" s="61">
        <f>SUMIFS([1]инфо!$G$15:$G$28,[1]инфо!$A$15:$A$28,F764)</f>
        <v/>
      </c>
      <c r="AO764" s="64">
        <f>IF(H764=0,0,AA764/H764)</f>
        <v/>
      </c>
      <c r="AP764" s="63">
        <f>AO764-AN764</f>
        <v/>
      </c>
      <c r="AQ764" s="61">
        <f>SUMIFS([1]инфо!$H$15:$H$28,[1]инфо!$A$15:$A$28,F764)</f>
        <v/>
      </c>
      <c r="AR764" s="62">
        <f>IF(H763=0,0,AC764/H763)</f>
        <v/>
      </c>
      <c r="AS764" s="63">
        <f>AR764-AQ764</f>
        <v/>
      </c>
      <c r="AT764" s="61">
        <f>SUMIFS([1]инфо!$I$15:$I$28,[1]инфо!$A$15:$A$28,F764)</f>
        <v/>
      </c>
      <c r="AU764" s="62">
        <f>IF(H764=0,0,AD764/H764)</f>
        <v/>
      </c>
      <c r="AV764" s="63">
        <f>AU764-AT764</f>
        <v/>
      </c>
      <c r="AX764" s="59">
        <f>SUMIFS([1]инфо!$C$15:$C$28,[1]инфо!$A$15:$A$28,F764)*H763</f>
        <v/>
      </c>
    </row>
    <row r="765">
      <c r="A765" s="71">
        <f>A763+1</f>
        <v/>
      </c>
      <c r="B765" s="90" t="n"/>
      <c r="C765" s="52" t="n"/>
      <c r="D765" s="53" t="n"/>
      <c r="E765" s="91" t="n"/>
      <c r="F765" s="67" t="n"/>
      <c r="G765" s="58" t="n"/>
      <c r="H765" s="56" t="n"/>
      <c r="I765" s="57">
        <f>IFERROR(H765*VLOOKUP(F765,[1]инфо!$A$15:$C$28,3,FALSE)/1000,0)</f>
        <v/>
      </c>
      <c r="J765" s="55" t="n"/>
      <c r="K765" s="55" t="n"/>
      <c r="L765" s="55" t="n"/>
      <c r="M765" s="55" t="n"/>
      <c r="N765" s="55" t="n"/>
      <c r="O765" s="58" t="n"/>
      <c r="P765" s="58" t="n"/>
      <c r="Q765" s="58" t="n"/>
      <c r="R765" s="58" t="n"/>
      <c r="S765" s="59">
        <f>SUM(O765:R765)</f>
        <v/>
      </c>
      <c r="T765" s="52" t="n"/>
      <c r="U765" s="53" t="n"/>
      <c r="V765" s="58" t="n"/>
      <c r="W765" s="68" t="n"/>
      <c r="X765" s="58" t="n"/>
      <c r="Y765" s="52" t="n"/>
      <c r="Z765" s="58" t="n"/>
      <c r="AA765" s="58" t="n"/>
      <c r="AB765" s="58" t="n"/>
      <c r="AC765" s="58" t="n"/>
      <c r="AD765" s="53" t="n"/>
      <c r="AE765" s="61">
        <f>SUMIFS([1]инфо!$D$15:$D$28,[1]инфо!$A$15:$A$28,F765)</f>
        <v/>
      </c>
      <c r="AF765" s="62">
        <f>IF(H765=0,0,N765/H765)</f>
        <v/>
      </c>
      <c r="AG765" s="63">
        <f>AF765-AE765</f>
        <v/>
      </c>
      <c r="AH765" s="61">
        <f>SUMIFS([1]инфо!$E$15:$E$28,[1]инфо!$A$15:$A$28,F765)</f>
        <v/>
      </c>
      <c r="AI765" s="64">
        <f>IF(H765=0,0,S765/H765)</f>
        <v/>
      </c>
      <c r="AJ765" s="63">
        <f>AI765-AH765</f>
        <v/>
      </c>
      <c r="AK765" s="61">
        <f>SUMIFS([1]инфо!$F$15:$F$28,[1]инфо!$A$15:$A$28,F765)</f>
        <v/>
      </c>
      <c r="AL765" s="64">
        <f>IF(H765=0,0,Y765/H765)</f>
        <v/>
      </c>
      <c r="AM765" s="63">
        <f>AL765-AK765</f>
        <v/>
      </c>
      <c r="AN765" s="61">
        <f>SUMIFS([1]инфо!$G$15:$G$28,[1]инфо!$A$15:$A$28,F765)</f>
        <v/>
      </c>
      <c r="AO765" s="64">
        <f>IF(H765=0,0,AA765/H765)</f>
        <v/>
      </c>
      <c r="AP765" s="63">
        <f>AO765-AN765</f>
        <v/>
      </c>
      <c r="AQ765" s="61">
        <f>SUMIFS([1]инфо!$H$15:$H$28,[1]инфо!$A$15:$A$28,F765)</f>
        <v/>
      </c>
      <c r="AR765" s="62">
        <f>IF(H764=0,0,AC765/H764)</f>
        <v/>
      </c>
      <c r="AS765" s="63">
        <f>AR765-AQ765</f>
        <v/>
      </c>
      <c r="AT765" s="61">
        <f>SUMIFS([1]инфо!$I$15:$I$28,[1]инфо!$A$15:$A$28,F765)</f>
        <v/>
      </c>
      <c r="AU765" s="62">
        <f>IF(H765=0,0,AD765/H765)</f>
        <v/>
      </c>
      <c r="AV765" s="63">
        <f>AU765-AT765</f>
        <v/>
      </c>
      <c r="AX765" s="59">
        <f>SUMIFS([1]инфо!$C$15:$C$28,[1]инфо!$A$15:$A$28,F765)*H764</f>
        <v/>
      </c>
    </row>
    <row r="766">
      <c r="A766" s="71">
        <f>A764+1</f>
        <v/>
      </c>
      <c r="B766" s="88" t="n"/>
      <c r="C766" s="77" t="n"/>
      <c r="D766" s="78" t="n"/>
      <c r="E766" s="91" t="n"/>
      <c r="F766" s="67" t="n"/>
      <c r="G766" s="79" t="n"/>
      <c r="H766" s="67" t="n"/>
      <c r="I766" s="57">
        <f>IFERROR(H766*VLOOKUP(F766,[1]инфо!$A$15:$C$28,3,FALSE)/1000,0)</f>
        <v/>
      </c>
      <c r="J766" s="55" t="n"/>
      <c r="K766" s="55" t="n"/>
      <c r="L766" s="55" t="n"/>
      <c r="M766" s="55" t="n"/>
      <c r="N766" s="56" t="n"/>
      <c r="O766" s="79" t="n"/>
      <c r="P766" s="79" t="n"/>
      <c r="Q766" s="79" t="n"/>
      <c r="R766" s="79" t="n"/>
      <c r="S766" s="80">
        <f>SUM(O766:R766)</f>
        <v/>
      </c>
      <c r="T766" s="77" t="n"/>
      <c r="U766" s="78" t="n"/>
      <c r="V766" s="79" t="n"/>
      <c r="W766" s="68" t="n"/>
      <c r="X766" s="79" t="n"/>
      <c r="Y766" s="77" t="n"/>
      <c r="Z766" s="79" t="n"/>
      <c r="AA766" s="79" t="n"/>
      <c r="AB766" s="79" t="n"/>
      <c r="AC766" s="79" t="n"/>
      <c r="AD766" s="78" t="n"/>
      <c r="AE766" s="81">
        <f>SUMIFS([1]инфо!$D$15:$D$28,[1]инфо!$A$15:$A$28,F766)</f>
        <v/>
      </c>
      <c r="AF766" s="62">
        <f>IF(H766=0,0,N766/H766)</f>
        <v/>
      </c>
      <c r="AG766" s="82">
        <f>AF766-AE766</f>
        <v/>
      </c>
      <c r="AH766" s="81">
        <f>SUMIFS([1]инфо!$E$15:$E$28,[1]инфо!$A$15:$A$28,F766)</f>
        <v/>
      </c>
      <c r="AI766" s="64">
        <f>IF(H766=0,0,S766/H766)</f>
        <v/>
      </c>
      <c r="AJ766" s="82">
        <f>AI766-AH766</f>
        <v/>
      </c>
      <c r="AK766" s="81">
        <f>SUMIFS([1]инфо!$F$15:$F$28,[1]инфо!$A$15:$A$28,F766)</f>
        <v/>
      </c>
      <c r="AL766" s="64">
        <f>IF(H766=0,0,Y766/H766)</f>
        <v/>
      </c>
      <c r="AM766" s="82">
        <f>AL766-AK766</f>
        <v/>
      </c>
      <c r="AN766" s="81">
        <f>SUMIFS([1]инфо!$G$15:$G$28,[1]инфо!$A$15:$A$28,F766)</f>
        <v/>
      </c>
      <c r="AO766" s="64">
        <f>IF(H766=0,0,AA766/H766)</f>
        <v/>
      </c>
      <c r="AP766" s="82">
        <f>AO766-AN766</f>
        <v/>
      </c>
      <c r="AQ766" s="81">
        <f>SUMIFS([1]инфо!$H$15:$H$28,[1]инфо!$A$15:$A$28,F766)</f>
        <v/>
      </c>
      <c r="AR766" s="85">
        <f>IF(H765=0,0,AC766/H765)</f>
        <v/>
      </c>
      <c r="AS766" s="82">
        <f>AR766-AQ766</f>
        <v/>
      </c>
      <c r="AT766" s="81">
        <f>SUMIFS([1]инфо!$I$15:$I$28,[1]инфо!$A$15:$A$28,F766)</f>
        <v/>
      </c>
      <c r="AU766" s="62">
        <f>IF(H766=0,0,AD766/H766)</f>
        <v/>
      </c>
      <c r="AV766" s="82">
        <f>AU766-AT766</f>
        <v/>
      </c>
      <c r="AX766" s="80">
        <f>SUMIFS([1]инфо!$C$15:$C$28,[1]инфо!$A$15:$A$28,F766)*H765</f>
        <v/>
      </c>
    </row>
    <row r="767">
      <c r="A767" s="71">
        <f>A765+1</f>
        <v/>
      </c>
      <c r="B767" s="89" t="n"/>
      <c r="C767" s="72" t="n"/>
      <c r="D767" s="73" t="n"/>
      <c r="E767" s="91" t="n"/>
      <c r="F767" s="67" t="n"/>
      <c r="G767" s="74" t="n"/>
      <c r="H767" s="55" t="n"/>
      <c r="I767" s="57">
        <f>IFERROR(H767*VLOOKUP(F767,[1]инфо!$A$15:$C$28,3,FALSE)/1000,0)</f>
        <v/>
      </c>
      <c r="J767" s="55" t="n"/>
      <c r="K767" s="55" t="n"/>
      <c r="L767" s="55" t="n"/>
      <c r="M767" s="55" t="n"/>
      <c r="N767" s="67" t="n"/>
      <c r="O767" s="74" t="n"/>
      <c r="P767" s="74" t="n"/>
      <c r="Q767" s="74" t="n"/>
      <c r="R767" s="74" t="n"/>
      <c r="S767" s="70">
        <f>SUM(O767:R767)</f>
        <v/>
      </c>
      <c r="T767" s="72" t="n"/>
      <c r="U767" s="73" t="n"/>
      <c r="V767" s="74" t="n"/>
      <c r="W767" s="68" t="n"/>
      <c r="X767" s="74" t="n"/>
      <c r="Y767" s="72" t="n"/>
      <c r="Z767" s="74" t="n"/>
      <c r="AA767" s="74" t="n"/>
      <c r="AB767" s="74" t="n"/>
      <c r="AC767" s="74" t="n"/>
      <c r="AD767" s="73" t="n"/>
      <c r="AE767" s="75">
        <f>SUMIFS([1]инфо!$D$15:$D$28,[1]инфо!$A$15:$A$28,F767)</f>
        <v/>
      </c>
      <c r="AF767" s="62">
        <f>IF(H767=0,0,N767/H767)</f>
        <v/>
      </c>
      <c r="AG767" s="76">
        <f>AF767-AE767</f>
        <v/>
      </c>
      <c r="AH767" s="75">
        <f>SUMIFS([1]инфо!$E$15:$E$28,[1]инфо!$A$15:$A$28,F767)</f>
        <v/>
      </c>
      <c r="AI767" s="64">
        <f>IF(H767=0,0,S767/H767)</f>
        <v/>
      </c>
      <c r="AJ767" s="76">
        <f>AI767-AH767</f>
        <v/>
      </c>
      <c r="AK767" s="75">
        <f>SUMIFS([1]инфо!$F$15:$F$28,[1]инфо!$A$15:$A$28,F767)</f>
        <v/>
      </c>
      <c r="AL767" s="64">
        <f>IF(H767=0,0,Y767/H767)</f>
        <v/>
      </c>
      <c r="AM767" s="76">
        <f>AL767-AK767</f>
        <v/>
      </c>
      <c r="AN767" s="75">
        <f>SUMIFS([1]инфо!$G$15:$G$28,[1]инфо!$A$15:$A$28,F767)</f>
        <v/>
      </c>
      <c r="AO767" s="64">
        <f>IF(H767=0,0,AA767/H767)</f>
        <v/>
      </c>
      <c r="AP767" s="76">
        <f>AO767-AN767</f>
        <v/>
      </c>
      <c r="AQ767" s="75">
        <f>SUMIFS([1]инфо!$H$15:$H$28,[1]инфо!$A$15:$A$28,F767)</f>
        <v/>
      </c>
      <c r="AR767" s="64">
        <f>IF(H766=0,0,AC767/H766)</f>
        <v/>
      </c>
      <c r="AS767" s="76">
        <f>AR767-AQ767</f>
        <v/>
      </c>
      <c r="AT767" s="75">
        <f>SUMIFS([1]инфо!$I$15:$I$28,[1]инфо!$A$15:$A$28,F767)</f>
        <v/>
      </c>
      <c r="AU767" s="62">
        <f>IF(H767=0,0,AD767/H767)</f>
        <v/>
      </c>
      <c r="AV767" s="76">
        <f>AU767-AT767</f>
        <v/>
      </c>
      <c r="AX767" s="70">
        <f>SUMIFS([1]инфо!$C$15:$C$28,[1]инфо!$A$15:$A$28,F767)*H766</f>
        <v/>
      </c>
    </row>
    <row r="768">
      <c r="A768" s="71">
        <f>A766+1</f>
        <v/>
      </c>
      <c r="B768" s="90" t="n"/>
      <c r="C768" s="52" t="n"/>
      <c r="D768" s="53" t="n"/>
      <c r="E768" s="91" t="n"/>
      <c r="F768" s="67" t="n"/>
      <c r="G768" s="58" t="n"/>
      <c r="H768" s="55" t="n"/>
      <c r="I768" s="57">
        <f>IFERROR(H768*VLOOKUP(F768,[1]инфо!$A$15:$C$28,3,FALSE)/1000,0)</f>
        <v/>
      </c>
      <c r="J768" s="55" t="n"/>
      <c r="K768" s="55" t="n"/>
      <c r="L768" s="55" t="n"/>
      <c r="M768" s="55" t="n"/>
      <c r="N768" s="55" t="n"/>
      <c r="O768" s="58" t="n"/>
      <c r="P768" s="58" t="n"/>
      <c r="Q768" s="58" t="n"/>
      <c r="R768" s="58" t="n"/>
      <c r="S768" s="59">
        <f>SUM(O768:R768)</f>
        <v/>
      </c>
      <c r="T768" s="52" t="n"/>
      <c r="U768" s="53" t="n"/>
      <c r="V768" s="58" t="n"/>
      <c r="W768" s="68" t="n"/>
      <c r="X768" s="58" t="n"/>
      <c r="Y768" s="52" t="n"/>
      <c r="Z768" s="58" t="n"/>
      <c r="AA768" s="58" t="n"/>
      <c r="AB768" s="58" t="n"/>
      <c r="AC768" s="58" t="n"/>
      <c r="AD768" s="53" t="n"/>
      <c r="AE768" s="61">
        <f>SUMIFS([1]инфо!$D$15:$D$28,[1]инфо!$A$15:$A$28,F768)</f>
        <v/>
      </c>
      <c r="AF768" s="62">
        <f>IF(H768=0,0,N768/H768)</f>
        <v/>
      </c>
      <c r="AG768" s="63">
        <f>AF768-AE768</f>
        <v/>
      </c>
      <c r="AH768" s="61">
        <f>SUMIFS([1]инфо!$E$15:$E$28,[1]инфо!$A$15:$A$28,F768)</f>
        <v/>
      </c>
      <c r="AI768" s="64">
        <f>IF(H768=0,0,S768/H768)</f>
        <v/>
      </c>
      <c r="AJ768" s="63">
        <f>AI768-AH768</f>
        <v/>
      </c>
      <c r="AK768" s="61">
        <f>SUMIFS([1]инфо!$F$15:$F$28,[1]инфо!$A$15:$A$28,F768)</f>
        <v/>
      </c>
      <c r="AL768" s="64">
        <f>IF(H768=0,0,Y768/H768)</f>
        <v/>
      </c>
      <c r="AM768" s="63">
        <f>AL768-AK768</f>
        <v/>
      </c>
      <c r="AN768" s="61">
        <f>SUMIFS([1]инфо!$G$15:$G$28,[1]инфо!$A$15:$A$28,F768)</f>
        <v/>
      </c>
      <c r="AO768" s="64">
        <f>IF(H768=0,0,AA768/H768)</f>
        <v/>
      </c>
      <c r="AP768" s="63">
        <f>AO768-AN768</f>
        <v/>
      </c>
      <c r="AQ768" s="61">
        <f>SUMIFS([1]инфо!$H$15:$H$28,[1]инфо!$A$15:$A$28,F768)</f>
        <v/>
      </c>
      <c r="AR768" s="62">
        <f>IF(H767=0,0,AC768/H767)</f>
        <v/>
      </c>
      <c r="AS768" s="63">
        <f>AR768-AQ768</f>
        <v/>
      </c>
      <c r="AT768" s="61">
        <f>SUMIFS([1]инфо!$I$15:$I$28,[1]инфо!$A$15:$A$28,F768)</f>
        <v/>
      </c>
      <c r="AU768" s="62">
        <f>IF(H768=0,0,AD768/H768)</f>
        <v/>
      </c>
      <c r="AV768" s="63">
        <f>AU768-AT768</f>
        <v/>
      </c>
      <c r="AX768" s="59">
        <f>SUMIFS([1]инфо!$C$15:$C$28,[1]инфо!$A$15:$A$28,F768)*H767</f>
        <v/>
      </c>
    </row>
    <row r="769">
      <c r="A769" s="71">
        <f>A767+1</f>
        <v/>
      </c>
      <c r="B769" s="90" t="n"/>
      <c r="C769" s="52" t="n"/>
      <c r="D769" s="53" t="n"/>
      <c r="E769" s="91" t="n"/>
      <c r="F769" s="67" t="n"/>
      <c r="G769" s="58" t="n"/>
      <c r="H769" s="56" t="n"/>
      <c r="I769" s="57">
        <f>IFERROR(H769*VLOOKUP(F769,[1]инфо!$A$15:$C$28,3,FALSE)/1000,0)</f>
        <v/>
      </c>
      <c r="J769" s="55" t="n"/>
      <c r="K769" s="55" t="n"/>
      <c r="L769" s="55" t="n"/>
      <c r="M769" s="55" t="n"/>
      <c r="N769" s="55" t="n"/>
      <c r="O769" s="58" t="n"/>
      <c r="P769" s="58" t="n"/>
      <c r="Q769" s="58" t="n"/>
      <c r="R769" s="58" t="n"/>
      <c r="S769" s="59">
        <f>SUM(O769:R769)</f>
        <v/>
      </c>
      <c r="T769" s="52" t="n"/>
      <c r="U769" s="53" t="n"/>
      <c r="V769" s="58" t="n"/>
      <c r="W769" s="68" t="n"/>
      <c r="X769" s="58" t="n"/>
      <c r="Y769" s="52" t="n"/>
      <c r="Z769" s="58" t="n"/>
      <c r="AA769" s="58" t="n"/>
      <c r="AB769" s="58" t="n"/>
      <c r="AC769" s="58" t="n"/>
      <c r="AD769" s="53" t="n"/>
      <c r="AE769" s="61">
        <f>SUMIFS([1]инфо!$D$15:$D$28,[1]инфо!$A$15:$A$28,F769)</f>
        <v/>
      </c>
      <c r="AF769" s="62">
        <f>IF(H769=0,0,N769/H769)</f>
        <v/>
      </c>
      <c r="AG769" s="63">
        <f>AF769-AE769</f>
        <v/>
      </c>
      <c r="AH769" s="61">
        <f>SUMIFS([1]инфо!$E$15:$E$28,[1]инфо!$A$15:$A$28,F769)</f>
        <v/>
      </c>
      <c r="AI769" s="64">
        <f>IF(H769=0,0,S769/H769)</f>
        <v/>
      </c>
      <c r="AJ769" s="63">
        <f>AI769-AH769</f>
        <v/>
      </c>
      <c r="AK769" s="61">
        <f>SUMIFS([1]инфо!$F$15:$F$28,[1]инфо!$A$15:$A$28,F769)</f>
        <v/>
      </c>
      <c r="AL769" s="64">
        <f>IF(H769=0,0,Y769/H769)</f>
        <v/>
      </c>
      <c r="AM769" s="63">
        <f>AL769-AK769</f>
        <v/>
      </c>
      <c r="AN769" s="61">
        <f>SUMIFS([1]инфо!$G$15:$G$28,[1]инфо!$A$15:$A$28,F769)</f>
        <v/>
      </c>
      <c r="AO769" s="64">
        <f>IF(H769=0,0,AA769/H769)</f>
        <v/>
      </c>
      <c r="AP769" s="63">
        <f>AO769-AN769</f>
        <v/>
      </c>
      <c r="AQ769" s="61">
        <f>SUMIFS([1]инфо!$H$15:$H$28,[1]инфо!$A$15:$A$28,F769)</f>
        <v/>
      </c>
      <c r="AR769" s="62">
        <f>IF(H768=0,0,AC769/H768)</f>
        <v/>
      </c>
      <c r="AS769" s="63">
        <f>AR769-AQ769</f>
        <v/>
      </c>
      <c r="AT769" s="61">
        <f>SUMIFS([1]инфо!$I$15:$I$28,[1]инфо!$A$15:$A$28,F769)</f>
        <v/>
      </c>
      <c r="AU769" s="62">
        <f>IF(H769=0,0,AD769/H769)</f>
        <v/>
      </c>
      <c r="AV769" s="63">
        <f>AU769-AT769</f>
        <v/>
      </c>
      <c r="AX769" s="59">
        <f>SUMIFS([1]инфо!$C$15:$C$28,[1]инфо!$A$15:$A$28,F769)*H768</f>
        <v/>
      </c>
    </row>
    <row r="770">
      <c r="A770" s="71">
        <f>A768+1</f>
        <v/>
      </c>
      <c r="B770" s="88" t="n"/>
      <c r="C770" s="77" t="n"/>
      <c r="D770" s="78" t="n"/>
      <c r="E770" s="91" t="n"/>
      <c r="F770" s="67" t="n"/>
      <c r="G770" s="79" t="n"/>
      <c r="H770" s="67" t="n"/>
      <c r="I770" s="57">
        <f>IFERROR(H770*VLOOKUP(F770,[1]инфо!$A$15:$C$28,3,FALSE)/1000,0)</f>
        <v/>
      </c>
      <c r="J770" s="55" t="n"/>
      <c r="K770" s="55" t="n"/>
      <c r="L770" s="55" t="n"/>
      <c r="M770" s="55" t="n"/>
      <c r="N770" s="56" t="n"/>
      <c r="O770" s="79" t="n"/>
      <c r="P770" s="79" t="n"/>
      <c r="Q770" s="79" t="n"/>
      <c r="R770" s="79" t="n"/>
      <c r="S770" s="80">
        <f>SUM(O770:R770)</f>
        <v/>
      </c>
      <c r="T770" s="77" t="n"/>
      <c r="U770" s="78" t="n"/>
      <c r="V770" s="79" t="n"/>
      <c r="W770" s="68" t="n"/>
      <c r="X770" s="79" t="n"/>
      <c r="Y770" s="77" t="n"/>
      <c r="Z770" s="79" t="n"/>
      <c r="AA770" s="79" t="n"/>
      <c r="AB770" s="79" t="n"/>
      <c r="AC770" s="79" t="n"/>
      <c r="AD770" s="78" t="n"/>
      <c r="AE770" s="81">
        <f>SUMIFS([1]инфо!$D$15:$D$28,[1]инфо!$A$15:$A$28,F770)</f>
        <v/>
      </c>
      <c r="AF770" s="62">
        <f>IF(H770=0,0,N770/H770)</f>
        <v/>
      </c>
      <c r="AG770" s="82">
        <f>AF770-AE770</f>
        <v/>
      </c>
      <c r="AH770" s="81">
        <f>SUMIFS([1]инфо!$E$15:$E$28,[1]инфо!$A$15:$A$28,F770)</f>
        <v/>
      </c>
      <c r="AI770" s="64">
        <f>IF(H770=0,0,S770/H770)</f>
        <v/>
      </c>
      <c r="AJ770" s="82">
        <f>AI770-AH770</f>
        <v/>
      </c>
      <c r="AK770" s="81">
        <f>SUMIFS([1]инфо!$F$15:$F$28,[1]инфо!$A$15:$A$28,F770)</f>
        <v/>
      </c>
      <c r="AL770" s="64">
        <f>IF(H770=0,0,Y770/H770)</f>
        <v/>
      </c>
      <c r="AM770" s="82">
        <f>AL770-AK770</f>
        <v/>
      </c>
      <c r="AN770" s="81">
        <f>SUMIFS([1]инфо!$G$15:$G$28,[1]инфо!$A$15:$A$28,F770)</f>
        <v/>
      </c>
      <c r="AO770" s="64">
        <f>IF(H770=0,0,AA770/H770)</f>
        <v/>
      </c>
      <c r="AP770" s="82">
        <f>AO770-AN770</f>
        <v/>
      </c>
      <c r="AQ770" s="81">
        <f>SUMIFS([1]инфо!$H$15:$H$28,[1]инфо!$A$15:$A$28,F770)</f>
        <v/>
      </c>
      <c r="AR770" s="85">
        <f>IF(H769=0,0,AC770/H769)</f>
        <v/>
      </c>
      <c r="AS770" s="82">
        <f>AR770-AQ770</f>
        <v/>
      </c>
      <c r="AT770" s="81">
        <f>SUMIFS([1]инфо!$I$15:$I$28,[1]инфо!$A$15:$A$28,F770)</f>
        <v/>
      </c>
      <c r="AU770" s="62">
        <f>IF(H770=0,0,AD770/H770)</f>
        <v/>
      </c>
      <c r="AV770" s="82">
        <f>AU770-AT770</f>
        <v/>
      </c>
      <c r="AX770" s="80">
        <f>SUMIFS([1]инфо!$C$15:$C$28,[1]инфо!$A$15:$A$28,F770)*H769</f>
        <v/>
      </c>
    </row>
    <row r="771">
      <c r="A771" s="71">
        <f>A769+1</f>
        <v/>
      </c>
      <c r="B771" s="89" t="n"/>
      <c r="C771" s="72" t="n"/>
      <c r="D771" s="73" t="n"/>
      <c r="E771" s="91" t="n"/>
      <c r="F771" s="67" t="n"/>
      <c r="G771" s="74" t="n"/>
      <c r="H771" s="55" t="n"/>
      <c r="I771" s="57">
        <f>IFERROR(H771*VLOOKUP(F771,[1]инфо!$A$15:$C$28,3,FALSE)/1000,0)</f>
        <v/>
      </c>
      <c r="J771" s="55" t="n"/>
      <c r="K771" s="55" t="n"/>
      <c r="L771" s="55" t="n"/>
      <c r="M771" s="55" t="n"/>
      <c r="N771" s="67" t="n"/>
      <c r="O771" s="74" t="n"/>
      <c r="P771" s="74" t="n"/>
      <c r="Q771" s="74" t="n"/>
      <c r="R771" s="74" t="n"/>
      <c r="S771" s="70">
        <f>SUM(O771:R771)</f>
        <v/>
      </c>
      <c r="T771" s="72" t="n"/>
      <c r="U771" s="73" t="n"/>
      <c r="V771" s="74" t="n"/>
      <c r="W771" s="68" t="n"/>
      <c r="X771" s="74" t="n"/>
      <c r="Y771" s="72" t="n"/>
      <c r="Z771" s="74" t="n"/>
      <c r="AA771" s="74" t="n"/>
      <c r="AB771" s="74" t="n"/>
      <c r="AC771" s="74" t="n"/>
      <c r="AD771" s="73" t="n"/>
      <c r="AE771" s="75">
        <f>SUMIFS([1]инфо!$D$15:$D$28,[1]инфо!$A$15:$A$28,F771)</f>
        <v/>
      </c>
      <c r="AF771" s="62">
        <f>IF(H771=0,0,N771/H771)</f>
        <v/>
      </c>
      <c r="AG771" s="76">
        <f>AF771-AE771</f>
        <v/>
      </c>
      <c r="AH771" s="75">
        <f>SUMIFS([1]инфо!$E$15:$E$28,[1]инфо!$A$15:$A$28,F771)</f>
        <v/>
      </c>
      <c r="AI771" s="64">
        <f>IF(H771=0,0,S771/H771)</f>
        <v/>
      </c>
      <c r="AJ771" s="76">
        <f>AI771-AH771</f>
        <v/>
      </c>
      <c r="AK771" s="75">
        <f>SUMIFS([1]инфо!$F$15:$F$28,[1]инфо!$A$15:$A$28,F771)</f>
        <v/>
      </c>
      <c r="AL771" s="64">
        <f>IF(H771=0,0,Y771/H771)</f>
        <v/>
      </c>
      <c r="AM771" s="76">
        <f>AL771-AK771</f>
        <v/>
      </c>
      <c r="AN771" s="75">
        <f>SUMIFS([1]инфо!$G$15:$G$28,[1]инфо!$A$15:$A$28,F771)</f>
        <v/>
      </c>
      <c r="AO771" s="64">
        <f>IF(H771=0,0,AA771/H771)</f>
        <v/>
      </c>
      <c r="AP771" s="76">
        <f>AO771-AN771</f>
        <v/>
      </c>
      <c r="AQ771" s="75">
        <f>SUMIFS([1]инфо!$H$15:$H$28,[1]инфо!$A$15:$A$28,F771)</f>
        <v/>
      </c>
      <c r="AR771" s="64">
        <f>IF(H770=0,0,AC771/H770)</f>
        <v/>
      </c>
      <c r="AS771" s="76">
        <f>AR771-AQ771</f>
        <v/>
      </c>
      <c r="AT771" s="75">
        <f>SUMIFS([1]инфо!$I$15:$I$28,[1]инфо!$A$15:$A$28,F771)</f>
        <v/>
      </c>
      <c r="AU771" s="62">
        <f>IF(H771=0,0,AD771/H771)</f>
        <v/>
      </c>
      <c r="AV771" s="76">
        <f>AU771-AT771</f>
        <v/>
      </c>
      <c r="AX771" s="70">
        <f>SUMIFS([1]инфо!$C$15:$C$28,[1]инфо!$A$15:$A$28,F771)*H770</f>
        <v/>
      </c>
    </row>
    <row r="772">
      <c r="A772" s="71">
        <f>A770+1</f>
        <v/>
      </c>
      <c r="B772" s="90" t="n"/>
      <c r="C772" s="52" t="n"/>
      <c r="D772" s="53" t="n"/>
      <c r="E772" s="91" t="n"/>
      <c r="F772" s="67" t="n"/>
      <c r="G772" s="58" t="n"/>
      <c r="H772" s="55" t="n"/>
      <c r="I772" s="57">
        <f>IFERROR(H772*VLOOKUP(F772,[1]инфо!$A$15:$C$28,3,FALSE)/1000,0)</f>
        <v/>
      </c>
      <c r="J772" s="55" t="n"/>
      <c r="K772" s="55" t="n"/>
      <c r="L772" s="55" t="n"/>
      <c r="M772" s="55" t="n"/>
      <c r="N772" s="55" t="n"/>
      <c r="O772" s="58" t="n"/>
      <c r="P772" s="58" t="n"/>
      <c r="Q772" s="58" t="n"/>
      <c r="R772" s="58" t="n"/>
      <c r="S772" s="59">
        <f>SUM(O772:R772)</f>
        <v/>
      </c>
      <c r="T772" s="52" t="n"/>
      <c r="U772" s="53" t="n"/>
      <c r="V772" s="58" t="n"/>
      <c r="W772" s="68" t="n"/>
      <c r="X772" s="58" t="n"/>
      <c r="Y772" s="52" t="n"/>
      <c r="Z772" s="58" t="n"/>
      <c r="AA772" s="58" t="n"/>
      <c r="AB772" s="58" t="n"/>
      <c r="AC772" s="58" t="n"/>
      <c r="AD772" s="53" t="n"/>
      <c r="AE772" s="61">
        <f>SUMIFS([1]инфо!$D$15:$D$28,[1]инфо!$A$15:$A$28,F772)</f>
        <v/>
      </c>
      <c r="AF772" s="62">
        <f>IF(H772=0,0,N772/H772)</f>
        <v/>
      </c>
      <c r="AG772" s="63">
        <f>AF772-AE772</f>
        <v/>
      </c>
      <c r="AH772" s="61">
        <f>SUMIFS([1]инфо!$E$15:$E$28,[1]инфо!$A$15:$A$28,F772)</f>
        <v/>
      </c>
      <c r="AI772" s="64">
        <f>IF(H772=0,0,S772/H772)</f>
        <v/>
      </c>
      <c r="AJ772" s="63">
        <f>AI772-AH772</f>
        <v/>
      </c>
      <c r="AK772" s="61">
        <f>SUMIFS([1]инфо!$F$15:$F$28,[1]инфо!$A$15:$A$28,F772)</f>
        <v/>
      </c>
      <c r="AL772" s="64">
        <f>IF(H772=0,0,Y772/H772)</f>
        <v/>
      </c>
      <c r="AM772" s="63">
        <f>AL772-AK772</f>
        <v/>
      </c>
      <c r="AN772" s="61">
        <f>SUMIFS([1]инфо!$G$15:$G$28,[1]инфо!$A$15:$A$28,F772)</f>
        <v/>
      </c>
      <c r="AO772" s="64">
        <f>IF(H772=0,0,AA772/H772)</f>
        <v/>
      </c>
      <c r="AP772" s="63">
        <f>AO772-AN772</f>
        <v/>
      </c>
      <c r="AQ772" s="61">
        <f>SUMIFS([1]инфо!$H$15:$H$28,[1]инфо!$A$15:$A$28,F772)</f>
        <v/>
      </c>
      <c r="AR772" s="62">
        <f>IF(H771=0,0,AC772/H771)</f>
        <v/>
      </c>
      <c r="AS772" s="63">
        <f>AR772-AQ772</f>
        <v/>
      </c>
      <c r="AT772" s="61">
        <f>SUMIFS([1]инфо!$I$15:$I$28,[1]инфо!$A$15:$A$28,F772)</f>
        <v/>
      </c>
      <c r="AU772" s="62">
        <f>IF(H772=0,0,AD772/H772)</f>
        <v/>
      </c>
      <c r="AV772" s="63">
        <f>AU772-AT772</f>
        <v/>
      </c>
      <c r="AX772" s="59">
        <f>SUMIFS([1]инфо!$C$15:$C$28,[1]инфо!$A$15:$A$28,F772)*H771</f>
        <v/>
      </c>
    </row>
    <row r="773">
      <c r="A773" s="71">
        <f>A771+1</f>
        <v/>
      </c>
      <c r="B773" s="90" t="n"/>
      <c r="C773" s="52" t="n"/>
      <c r="D773" s="53" t="n"/>
      <c r="E773" s="91" t="n"/>
      <c r="F773" s="67" t="n"/>
      <c r="G773" s="58" t="n"/>
      <c r="H773" s="56" t="n"/>
      <c r="I773" s="57">
        <f>IFERROR(H773*VLOOKUP(F773,[1]инфо!$A$15:$C$28,3,FALSE)/1000,0)</f>
        <v/>
      </c>
      <c r="J773" s="55" t="n"/>
      <c r="K773" s="55" t="n"/>
      <c r="L773" s="55" t="n"/>
      <c r="M773" s="55" t="n"/>
      <c r="N773" s="55" t="n"/>
      <c r="O773" s="58" t="n"/>
      <c r="P773" s="58" t="n"/>
      <c r="Q773" s="58" t="n"/>
      <c r="R773" s="58" t="n"/>
      <c r="S773" s="59">
        <f>SUM(O773:R773)</f>
        <v/>
      </c>
      <c r="T773" s="52" t="n"/>
      <c r="U773" s="53" t="n"/>
      <c r="V773" s="58" t="n"/>
      <c r="W773" s="68" t="n"/>
      <c r="X773" s="58" t="n"/>
      <c r="Y773" s="52" t="n"/>
      <c r="Z773" s="58" t="n"/>
      <c r="AA773" s="58" t="n"/>
      <c r="AB773" s="58" t="n"/>
      <c r="AC773" s="58" t="n"/>
      <c r="AD773" s="53" t="n"/>
      <c r="AE773" s="61">
        <f>SUMIFS([1]инфо!$D$15:$D$28,[1]инфо!$A$15:$A$28,F773)</f>
        <v/>
      </c>
      <c r="AF773" s="62">
        <f>IF(H773=0,0,N773/H773)</f>
        <v/>
      </c>
      <c r="AG773" s="63">
        <f>AF773-AE773</f>
        <v/>
      </c>
      <c r="AH773" s="61">
        <f>SUMIFS([1]инфо!$E$15:$E$28,[1]инфо!$A$15:$A$28,F773)</f>
        <v/>
      </c>
      <c r="AI773" s="64">
        <f>IF(H773=0,0,S773/H773)</f>
        <v/>
      </c>
      <c r="AJ773" s="63">
        <f>AI773-AH773</f>
        <v/>
      </c>
      <c r="AK773" s="61">
        <f>SUMIFS([1]инфо!$F$15:$F$28,[1]инфо!$A$15:$A$28,F773)</f>
        <v/>
      </c>
      <c r="AL773" s="64">
        <f>IF(H773=0,0,Y773/H773)</f>
        <v/>
      </c>
      <c r="AM773" s="63">
        <f>AL773-AK773</f>
        <v/>
      </c>
      <c r="AN773" s="61">
        <f>SUMIFS([1]инфо!$G$15:$G$28,[1]инфо!$A$15:$A$28,F773)</f>
        <v/>
      </c>
      <c r="AO773" s="64">
        <f>IF(H773=0,0,AA773/H773)</f>
        <v/>
      </c>
      <c r="AP773" s="63">
        <f>AO773-AN773</f>
        <v/>
      </c>
      <c r="AQ773" s="61">
        <f>SUMIFS([1]инфо!$H$15:$H$28,[1]инфо!$A$15:$A$28,F773)</f>
        <v/>
      </c>
      <c r="AR773" s="62">
        <f>IF(H772=0,0,AC773/H772)</f>
        <v/>
      </c>
      <c r="AS773" s="63">
        <f>AR773-AQ773</f>
        <v/>
      </c>
      <c r="AT773" s="61">
        <f>SUMIFS([1]инфо!$I$15:$I$28,[1]инфо!$A$15:$A$28,F773)</f>
        <v/>
      </c>
      <c r="AU773" s="62">
        <f>IF(H773=0,0,AD773/H773)</f>
        <v/>
      </c>
      <c r="AV773" s="63">
        <f>AU773-AT773</f>
        <v/>
      </c>
      <c r="AX773" s="59">
        <f>SUMIFS([1]инфо!$C$15:$C$28,[1]инфо!$A$15:$A$28,F773)*H772</f>
        <v/>
      </c>
    </row>
    <row r="774">
      <c r="A774" s="71">
        <f>A772+1</f>
        <v/>
      </c>
      <c r="B774" s="88" t="n"/>
      <c r="C774" s="77" t="n"/>
      <c r="D774" s="78" t="n"/>
      <c r="E774" s="91" t="n"/>
      <c r="F774" s="67" t="n"/>
      <c r="G774" s="79" t="n"/>
      <c r="H774" s="67" t="n"/>
      <c r="I774" s="57">
        <f>IFERROR(H774*VLOOKUP(F774,[1]инфо!$A$15:$C$28,3,FALSE)/1000,0)</f>
        <v/>
      </c>
      <c r="J774" s="55" t="n"/>
      <c r="K774" s="55" t="n"/>
      <c r="L774" s="55" t="n"/>
      <c r="M774" s="55" t="n"/>
      <c r="N774" s="56" t="n"/>
      <c r="O774" s="79" t="n"/>
      <c r="P774" s="79" t="n"/>
      <c r="Q774" s="79" t="n"/>
      <c r="R774" s="79" t="n"/>
      <c r="S774" s="80">
        <f>SUM(O774:R774)</f>
        <v/>
      </c>
      <c r="T774" s="77" t="n"/>
      <c r="U774" s="78" t="n"/>
      <c r="V774" s="79" t="n"/>
      <c r="W774" s="68" t="n"/>
      <c r="X774" s="79" t="n"/>
      <c r="Y774" s="77" t="n"/>
      <c r="Z774" s="79" t="n"/>
      <c r="AA774" s="79" t="n"/>
      <c r="AB774" s="79" t="n"/>
      <c r="AC774" s="79" t="n"/>
      <c r="AD774" s="78" t="n"/>
      <c r="AE774" s="81">
        <f>SUMIFS([1]инфо!$D$15:$D$28,[1]инфо!$A$15:$A$28,F774)</f>
        <v/>
      </c>
      <c r="AF774" s="62">
        <f>IF(H774=0,0,N774/H774)</f>
        <v/>
      </c>
      <c r="AG774" s="82">
        <f>AF774-AE774</f>
        <v/>
      </c>
      <c r="AH774" s="81">
        <f>SUMIFS([1]инфо!$E$15:$E$28,[1]инфо!$A$15:$A$28,F774)</f>
        <v/>
      </c>
      <c r="AI774" s="64">
        <f>IF(H774=0,0,S774/H774)</f>
        <v/>
      </c>
      <c r="AJ774" s="82">
        <f>AI774-AH774</f>
        <v/>
      </c>
      <c r="AK774" s="81">
        <f>SUMIFS([1]инфо!$F$15:$F$28,[1]инфо!$A$15:$A$28,F774)</f>
        <v/>
      </c>
      <c r="AL774" s="64">
        <f>IF(H774=0,0,Y774/H774)</f>
        <v/>
      </c>
      <c r="AM774" s="82">
        <f>AL774-AK774</f>
        <v/>
      </c>
      <c r="AN774" s="81">
        <f>SUMIFS([1]инфо!$G$15:$G$28,[1]инфо!$A$15:$A$28,F774)</f>
        <v/>
      </c>
      <c r="AO774" s="64">
        <f>IF(H774=0,0,AA774/H774)</f>
        <v/>
      </c>
      <c r="AP774" s="82">
        <f>AO774-AN774</f>
        <v/>
      </c>
      <c r="AQ774" s="81">
        <f>SUMIFS([1]инфо!$H$15:$H$28,[1]инфо!$A$15:$A$28,F774)</f>
        <v/>
      </c>
      <c r="AR774" s="85">
        <f>IF(H773=0,0,AC774/H773)</f>
        <v/>
      </c>
      <c r="AS774" s="82">
        <f>AR774-AQ774</f>
        <v/>
      </c>
      <c r="AT774" s="81">
        <f>SUMIFS([1]инфо!$I$15:$I$28,[1]инфо!$A$15:$A$28,F774)</f>
        <v/>
      </c>
      <c r="AU774" s="62">
        <f>IF(H774=0,0,AD774/H774)</f>
        <v/>
      </c>
      <c r="AV774" s="82">
        <f>AU774-AT774</f>
        <v/>
      </c>
      <c r="AX774" s="80">
        <f>SUMIFS([1]инфо!$C$15:$C$28,[1]инфо!$A$15:$A$28,F774)*H773</f>
        <v/>
      </c>
    </row>
    <row r="775">
      <c r="A775" s="71">
        <f>A773+1</f>
        <v/>
      </c>
      <c r="B775" s="89" t="n"/>
      <c r="C775" s="72" t="n"/>
      <c r="D775" s="73" t="n"/>
      <c r="E775" s="91" t="n"/>
      <c r="F775" s="67" t="n"/>
      <c r="G775" s="74" t="n"/>
      <c r="H775" s="55" t="n"/>
      <c r="I775" s="57">
        <f>IFERROR(H775*VLOOKUP(F775,[1]инфо!$A$15:$C$28,3,FALSE)/1000,0)</f>
        <v/>
      </c>
      <c r="J775" s="55" t="n"/>
      <c r="K775" s="55" t="n"/>
      <c r="L775" s="55" t="n"/>
      <c r="M775" s="55" t="n"/>
      <c r="N775" s="67" t="n"/>
      <c r="O775" s="74" t="n"/>
      <c r="P775" s="74" t="n"/>
      <c r="Q775" s="74" t="n"/>
      <c r="R775" s="74" t="n"/>
      <c r="S775" s="70">
        <f>SUM(O775:R775)</f>
        <v/>
      </c>
      <c r="T775" s="72" t="n"/>
      <c r="U775" s="73" t="n"/>
      <c r="V775" s="74" t="n"/>
      <c r="W775" s="68" t="n"/>
      <c r="X775" s="74" t="n"/>
      <c r="Y775" s="72" t="n"/>
      <c r="Z775" s="74" t="n"/>
      <c r="AA775" s="74" t="n"/>
      <c r="AB775" s="74" t="n"/>
      <c r="AC775" s="74" t="n"/>
      <c r="AD775" s="73" t="n"/>
      <c r="AE775" s="75">
        <f>SUMIFS([1]инфо!$D$15:$D$28,[1]инфо!$A$15:$A$28,F775)</f>
        <v/>
      </c>
      <c r="AF775" s="62">
        <f>IF(H775=0,0,N775/H775)</f>
        <v/>
      </c>
      <c r="AG775" s="76">
        <f>AF775-AE775</f>
        <v/>
      </c>
      <c r="AH775" s="75">
        <f>SUMIFS([1]инфо!$E$15:$E$28,[1]инфо!$A$15:$A$28,F775)</f>
        <v/>
      </c>
      <c r="AI775" s="64">
        <f>IF(H775=0,0,S775/H775)</f>
        <v/>
      </c>
      <c r="AJ775" s="76">
        <f>AI775-AH775</f>
        <v/>
      </c>
      <c r="AK775" s="75">
        <f>SUMIFS([1]инфо!$F$15:$F$28,[1]инфо!$A$15:$A$28,F775)</f>
        <v/>
      </c>
      <c r="AL775" s="64">
        <f>IF(H775=0,0,Y775/H775)</f>
        <v/>
      </c>
      <c r="AM775" s="76">
        <f>AL775-AK775</f>
        <v/>
      </c>
      <c r="AN775" s="75">
        <f>SUMIFS([1]инфо!$G$15:$G$28,[1]инфо!$A$15:$A$28,F775)</f>
        <v/>
      </c>
      <c r="AO775" s="64">
        <f>IF(H775=0,0,AA775/H775)</f>
        <v/>
      </c>
      <c r="AP775" s="76">
        <f>AO775-AN775</f>
        <v/>
      </c>
      <c r="AQ775" s="75">
        <f>SUMIFS([1]инфо!$H$15:$H$28,[1]инфо!$A$15:$A$28,F775)</f>
        <v/>
      </c>
      <c r="AR775" s="64">
        <f>IF(H774=0,0,AC775/H774)</f>
        <v/>
      </c>
      <c r="AS775" s="76">
        <f>AR775-AQ775</f>
        <v/>
      </c>
      <c r="AT775" s="75">
        <f>SUMIFS([1]инфо!$I$15:$I$28,[1]инфо!$A$15:$A$28,F775)</f>
        <v/>
      </c>
      <c r="AU775" s="62">
        <f>IF(H775=0,0,AD775/H775)</f>
        <v/>
      </c>
      <c r="AV775" s="76">
        <f>AU775-AT775</f>
        <v/>
      </c>
      <c r="AX775" s="70">
        <f>SUMIFS([1]инфо!$C$15:$C$28,[1]инфо!$A$15:$A$28,F775)*H774</f>
        <v/>
      </c>
    </row>
    <row r="776">
      <c r="A776" s="71">
        <f>A774+1</f>
        <v/>
      </c>
      <c r="B776" s="90" t="n"/>
      <c r="C776" s="52" t="n"/>
      <c r="D776" s="53" t="n"/>
      <c r="E776" s="91" t="n"/>
      <c r="F776" s="67" t="n"/>
      <c r="G776" s="58" t="n"/>
      <c r="H776" s="55" t="n"/>
      <c r="I776" s="57">
        <f>IFERROR(H776*VLOOKUP(F776,[1]инфо!$A$15:$C$28,3,FALSE)/1000,0)</f>
        <v/>
      </c>
      <c r="J776" s="55" t="n"/>
      <c r="K776" s="55" t="n"/>
      <c r="L776" s="55" t="n"/>
      <c r="M776" s="55" t="n"/>
      <c r="N776" s="55" t="n"/>
      <c r="O776" s="58" t="n"/>
      <c r="P776" s="58" t="n"/>
      <c r="Q776" s="58" t="n"/>
      <c r="R776" s="58" t="n"/>
      <c r="S776" s="59">
        <f>SUM(O776:R776)</f>
        <v/>
      </c>
      <c r="T776" s="52" t="n"/>
      <c r="U776" s="53" t="n"/>
      <c r="V776" s="58" t="n"/>
      <c r="W776" s="68" t="n"/>
      <c r="X776" s="58" t="n"/>
      <c r="Y776" s="52" t="n"/>
      <c r="Z776" s="58" t="n"/>
      <c r="AA776" s="58" t="n"/>
      <c r="AB776" s="58" t="n"/>
      <c r="AC776" s="58" t="n"/>
      <c r="AD776" s="53" t="n"/>
      <c r="AE776" s="61">
        <f>SUMIFS([1]инфо!$D$15:$D$28,[1]инфо!$A$15:$A$28,F776)</f>
        <v/>
      </c>
      <c r="AF776" s="62">
        <f>IF(H776=0,0,N776/H776)</f>
        <v/>
      </c>
      <c r="AG776" s="63">
        <f>AF776-AE776</f>
        <v/>
      </c>
      <c r="AH776" s="61">
        <f>SUMIFS([1]инфо!$E$15:$E$28,[1]инфо!$A$15:$A$28,F776)</f>
        <v/>
      </c>
      <c r="AI776" s="64">
        <f>IF(H776=0,0,S776/H776)</f>
        <v/>
      </c>
      <c r="AJ776" s="63">
        <f>AI776-AH776</f>
        <v/>
      </c>
      <c r="AK776" s="61">
        <f>SUMIFS([1]инфо!$F$15:$F$28,[1]инфо!$A$15:$A$28,F776)</f>
        <v/>
      </c>
      <c r="AL776" s="64">
        <f>IF(H776=0,0,Y776/H776)</f>
        <v/>
      </c>
      <c r="AM776" s="63">
        <f>AL776-AK776</f>
        <v/>
      </c>
      <c r="AN776" s="61">
        <f>SUMIFS([1]инфо!$G$15:$G$28,[1]инфо!$A$15:$A$28,F776)</f>
        <v/>
      </c>
      <c r="AO776" s="64">
        <f>IF(H776=0,0,AA776/H776)</f>
        <v/>
      </c>
      <c r="AP776" s="63">
        <f>AO776-AN776</f>
        <v/>
      </c>
      <c r="AQ776" s="61">
        <f>SUMIFS([1]инфо!$H$15:$H$28,[1]инфо!$A$15:$A$28,F776)</f>
        <v/>
      </c>
      <c r="AR776" s="62">
        <f>IF(H775=0,0,AC776/H775)</f>
        <v/>
      </c>
      <c r="AS776" s="63">
        <f>AR776-AQ776</f>
        <v/>
      </c>
      <c r="AT776" s="61">
        <f>SUMIFS([1]инфо!$I$15:$I$28,[1]инфо!$A$15:$A$28,F776)</f>
        <v/>
      </c>
      <c r="AU776" s="62">
        <f>IF(H776=0,0,AD776/H776)</f>
        <v/>
      </c>
      <c r="AV776" s="63">
        <f>AU776-AT776</f>
        <v/>
      </c>
      <c r="AX776" s="59">
        <f>SUMIFS([1]инфо!$C$15:$C$28,[1]инфо!$A$15:$A$28,F776)*H775</f>
        <v/>
      </c>
    </row>
    <row r="777">
      <c r="A777" s="71">
        <f>A775+1</f>
        <v/>
      </c>
      <c r="B777" s="90" t="n"/>
      <c r="C777" s="52" t="n"/>
      <c r="D777" s="53" t="n"/>
      <c r="E777" s="91" t="n"/>
      <c r="F777" s="67" t="n"/>
      <c r="G777" s="58" t="n"/>
      <c r="H777" s="56" t="n"/>
      <c r="I777" s="57">
        <f>IFERROR(H777*VLOOKUP(F777,[1]инфо!$A$15:$C$28,3,FALSE)/1000,0)</f>
        <v/>
      </c>
      <c r="J777" s="55" t="n"/>
      <c r="K777" s="55" t="n"/>
      <c r="L777" s="55" t="n"/>
      <c r="M777" s="55" t="n"/>
      <c r="N777" s="55" t="n"/>
      <c r="O777" s="58" t="n"/>
      <c r="P777" s="58" t="n"/>
      <c r="Q777" s="58" t="n"/>
      <c r="R777" s="58" t="n"/>
      <c r="S777" s="59">
        <f>SUM(O777:R777)</f>
        <v/>
      </c>
      <c r="T777" s="52" t="n"/>
      <c r="U777" s="53" t="n"/>
      <c r="V777" s="58" t="n"/>
      <c r="W777" s="68" t="n"/>
      <c r="X777" s="58" t="n"/>
      <c r="Y777" s="52" t="n"/>
      <c r="Z777" s="58" t="n"/>
      <c r="AA777" s="58" t="n"/>
      <c r="AB777" s="58" t="n"/>
      <c r="AC777" s="58" t="n"/>
      <c r="AD777" s="53" t="n"/>
      <c r="AE777" s="61">
        <f>SUMIFS([1]инфо!$D$15:$D$28,[1]инфо!$A$15:$A$28,F777)</f>
        <v/>
      </c>
      <c r="AF777" s="62">
        <f>IF(H777=0,0,N777/H777)</f>
        <v/>
      </c>
      <c r="AG777" s="63">
        <f>AF777-AE777</f>
        <v/>
      </c>
      <c r="AH777" s="61">
        <f>SUMIFS([1]инфо!$E$15:$E$28,[1]инфо!$A$15:$A$28,F777)</f>
        <v/>
      </c>
      <c r="AI777" s="64">
        <f>IF(H777=0,0,S777/H777)</f>
        <v/>
      </c>
      <c r="AJ777" s="63">
        <f>AI777-AH777</f>
        <v/>
      </c>
      <c r="AK777" s="61">
        <f>SUMIFS([1]инфо!$F$15:$F$28,[1]инфо!$A$15:$A$28,F777)</f>
        <v/>
      </c>
      <c r="AL777" s="64">
        <f>IF(H777=0,0,Y777/H777)</f>
        <v/>
      </c>
      <c r="AM777" s="63">
        <f>AL777-AK777</f>
        <v/>
      </c>
      <c r="AN777" s="61">
        <f>SUMIFS([1]инфо!$G$15:$G$28,[1]инфо!$A$15:$A$28,F777)</f>
        <v/>
      </c>
      <c r="AO777" s="64">
        <f>IF(H777=0,0,AA777/H777)</f>
        <v/>
      </c>
      <c r="AP777" s="63">
        <f>AO777-AN777</f>
        <v/>
      </c>
      <c r="AQ777" s="61">
        <f>SUMIFS([1]инфо!$H$15:$H$28,[1]инфо!$A$15:$A$28,F777)</f>
        <v/>
      </c>
      <c r="AR777" s="62">
        <f>IF(H776=0,0,AC777/H776)</f>
        <v/>
      </c>
      <c r="AS777" s="63">
        <f>AR777-AQ777</f>
        <v/>
      </c>
      <c r="AT777" s="61">
        <f>SUMIFS([1]инфо!$I$15:$I$28,[1]инфо!$A$15:$A$28,F777)</f>
        <v/>
      </c>
      <c r="AU777" s="62">
        <f>IF(H777=0,0,AD777/H777)</f>
        <v/>
      </c>
      <c r="AV777" s="63">
        <f>AU777-AT777</f>
        <v/>
      </c>
      <c r="AX777" s="59">
        <f>SUMIFS([1]инфо!$C$15:$C$28,[1]инфо!$A$15:$A$28,F777)*H776</f>
        <v/>
      </c>
    </row>
    <row r="778">
      <c r="A778" s="71">
        <f>A776+1</f>
        <v/>
      </c>
      <c r="B778" s="88" t="n"/>
      <c r="C778" s="77" t="n"/>
      <c r="D778" s="78" t="n"/>
      <c r="E778" s="91" t="n"/>
      <c r="F778" s="67" t="n"/>
      <c r="G778" s="79" t="n"/>
      <c r="H778" s="67" t="n"/>
      <c r="I778" s="57">
        <f>IFERROR(H778*VLOOKUP(F778,[1]инфо!$A$15:$C$28,3,FALSE)/1000,0)</f>
        <v/>
      </c>
      <c r="J778" s="55" t="n"/>
      <c r="K778" s="55" t="n"/>
      <c r="L778" s="55" t="n"/>
      <c r="M778" s="55" t="n"/>
      <c r="N778" s="56" t="n"/>
      <c r="O778" s="79" t="n"/>
      <c r="P778" s="79" t="n"/>
      <c r="Q778" s="79" t="n"/>
      <c r="R778" s="79" t="n"/>
      <c r="S778" s="80">
        <f>SUM(O778:R778)</f>
        <v/>
      </c>
      <c r="T778" s="77" t="n"/>
      <c r="U778" s="78" t="n"/>
      <c r="V778" s="79" t="n"/>
      <c r="W778" s="68" t="n"/>
      <c r="X778" s="79" t="n"/>
      <c r="Y778" s="77" t="n"/>
      <c r="Z778" s="79" t="n"/>
      <c r="AA778" s="79" t="n"/>
      <c r="AB778" s="79" t="n"/>
      <c r="AC778" s="79" t="n"/>
      <c r="AD778" s="78" t="n"/>
      <c r="AE778" s="81">
        <f>SUMIFS([1]инфо!$D$15:$D$28,[1]инфо!$A$15:$A$28,F778)</f>
        <v/>
      </c>
      <c r="AF778" s="62">
        <f>IF(H778=0,0,N778/H778)</f>
        <v/>
      </c>
      <c r="AG778" s="82">
        <f>AF778-AE778</f>
        <v/>
      </c>
      <c r="AH778" s="81">
        <f>SUMIFS([1]инфо!$E$15:$E$28,[1]инфо!$A$15:$A$28,F778)</f>
        <v/>
      </c>
      <c r="AI778" s="64">
        <f>IF(H778=0,0,S778/H778)</f>
        <v/>
      </c>
      <c r="AJ778" s="82">
        <f>AI778-AH778</f>
        <v/>
      </c>
      <c r="AK778" s="81">
        <f>SUMIFS([1]инфо!$F$15:$F$28,[1]инфо!$A$15:$A$28,F778)</f>
        <v/>
      </c>
      <c r="AL778" s="64">
        <f>IF(H778=0,0,Y778/H778)</f>
        <v/>
      </c>
      <c r="AM778" s="82">
        <f>AL778-AK778</f>
        <v/>
      </c>
      <c r="AN778" s="81">
        <f>SUMIFS([1]инфо!$G$15:$G$28,[1]инфо!$A$15:$A$28,F778)</f>
        <v/>
      </c>
      <c r="AO778" s="64">
        <f>IF(H778=0,0,AA778/H778)</f>
        <v/>
      </c>
      <c r="AP778" s="82">
        <f>AO778-AN778</f>
        <v/>
      </c>
      <c r="AQ778" s="81">
        <f>SUMIFS([1]инфо!$H$15:$H$28,[1]инфо!$A$15:$A$28,F778)</f>
        <v/>
      </c>
      <c r="AR778" s="85">
        <f>IF(H777=0,0,AC778/H777)</f>
        <v/>
      </c>
      <c r="AS778" s="82">
        <f>AR778-AQ778</f>
        <v/>
      </c>
      <c r="AT778" s="81">
        <f>SUMIFS([1]инфо!$I$15:$I$28,[1]инфо!$A$15:$A$28,F778)</f>
        <v/>
      </c>
      <c r="AU778" s="62">
        <f>IF(H778=0,0,AD778/H778)</f>
        <v/>
      </c>
      <c r="AV778" s="82">
        <f>AU778-AT778</f>
        <v/>
      </c>
      <c r="AX778" s="80">
        <f>SUMIFS([1]инфо!$C$15:$C$28,[1]инфо!$A$15:$A$28,F778)*H777</f>
        <v/>
      </c>
    </row>
    <row r="779">
      <c r="A779" s="71">
        <f>A777+1</f>
        <v/>
      </c>
      <c r="B779" s="89" t="n"/>
      <c r="C779" s="72" t="n"/>
      <c r="D779" s="73" t="n"/>
      <c r="E779" s="91" t="n"/>
      <c r="F779" s="67" t="n"/>
      <c r="G779" s="74" t="n"/>
      <c r="H779" s="55" t="n"/>
      <c r="I779" s="57">
        <f>IFERROR(H779*VLOOKUP(F779,[1]инфо!$A$15:$C$28,3,FALSE)/1000,0)</f>
        <v/>
      </c>
      <c r="J779" s="55" t="n"/>
      <c r="K779" s="55" t="n"/>
      <c r="L779" s="55" t="n"/>
      <c r="M779" s="55" t="n"/>
      <c r="N779" s="67" t="n"/>
      <c r="O779" s="74" t="n"/>
      <c r="P779" s="74" t="n"/>
      <c r="Q779" s="74" t="n"/>
      <c r="R779" s="74" t="n"/>
      <c r="S779" s="70">
        <f>SUM(O779:R779)</f>
        <v/>
      </c>
      <c r="T779" s="72" t="n"/>
      <c r="U779" s="73" t="n"/>
      <c r="V779" s="74" t="n"/>
      <c r="W779" s="68" t="n"/>
      <c r="X779" s="74" t="n"/>
      <c r="Y779" s="72" t="n"/>
      <c r="Z779" s="74" t="n"/>
      <c r="AA779" s="74" t="n"/>
      <c r="AB779" s="74" t="n"/>
      <c r="AC779" s="74" t="n"/>
      <c r="AD779" s="73" t="n"/>
      <c r="AE779" s="75">
        <f>SUMIFS([1]инфо!$D$15:$D$28,[1]инфо!$A$15:$A$28,F779)</f>
        <v/>
      </c>
      <c r="AF779" s="62">
        <f>IF(H779=0,0,N779/H779)</f>
        <v/>
      </c>
      <c r="AG779" s="76">
        <f>AF779-AE779</f>
        <v/>
      </c>
      <c r="AH779" s="75">
        <f>SUMIFS([1]инфо!$E$15:$E$28,[1]инфо!$A$15:$A$28,F779)</f>
        <v/>
      </c>
      <c r="AI779" s="64">
        <f>IF(H779=0,0,S779/H779)</f>
        <v/>
      </c>
      <c r="AJ779" s="76">
        <f>AI779-AH779</f>
        <v/>
      </c>
      <c r="AK779" s="75">
        <f>SUMIFS([1]инфо!$F$15:$F$28,[1]инфо!$A$15:$A$28,F779)</f>
        <v/>
      </c>
      <c r="AL779" s="64">
        <f>IF(H779=0,0,Y779/H779)</f>
        <v/>
      </c>
      <c r="AM779" s="76">
        <f>AL779-AK779</f>
        <v/>
      </c>
      <c r="AN779" s="75">
        <f>SUMIFS([1]инфо!$G$15:$G$28,[1]инфо!$A$15:$A$28,F779)</f>
        <v/>
      </c>
      <c r="AO779" s="64">
        <f>IF(H779=0,0,AA779/H779)</f>
        <v/>
      </c>
      <c r="AP779" s="76">
        <f>AO779-AN779</f>
        <v/>
      </c>
      <c r="AQ779" s="75">
        <f>SUMIFS([1]инфо!$H$15:$H$28,[1]инфо!$A$15:$A$28,F779)</f>
        <v/>
      </c>
      <c r="AR779" s="64">
        <f>IF(H778=0,0,AC779/H778)</f>
        <v/>
      </c>
      <c r="AS779" s="76">
        <f>AR779-AQ779</f>
        <v/>
      </c>
      <c r="AT779" s="75">
        <f>SUMIFS([1]инфо!$I$15:$I$28,[1]инфо!$A$15:$A$28,F779)</f>
        <v/>
      </c>
      <c r="AU779" s="62">
        <f>IF(H779=0,0,AD779/H779)</f>
        <v/>
      </c>
      <c r="AV779" s="76">
        <f>AU779-AT779</f>
        <v/>
      </c>
      <c r="AX779" s="70">
        <f>SUMIFS([1]инфо!$C$15:$C$28,[1]инфо!$A$15:$A$28,F779)*H778</f>
        <v/>
      </c>
    </row>
    <row r="780">
      <c r="A780" s="71">
        <f>A778+1</f>
        <v/>
      </c>
      <c r="B780" s="90" t="n"/>
      <c r="C780" s="52" t="n"/>
      <c r="D780" s="53" t="n"/>
      <c r="E780" s="91" t="n"/>
      <c r="F780" s="67" t="n"/>
      <c r="G780" s="58" t="n"/>
      <c r="H780" s="55" t="n"/>
      <c r="I780" s="57">
        <f>IFERROR(H780*VLOOKUP(F780,[1]инфо!$A$15:$C$28,3,FALSE)/1000,0)</f>
        <v/>
      </c>
      <c r="J780" s="55" t="n"/>
      <c r="K780" s="55" t="n"/>
      <c r="L780" s="55" t="n"/>
      <c r="M780" s="55" t="n"/>
      <c r="N780" s="55" t="n"/>
      <c r="O780" s="58" t="n"/>
      <c r="P780" s="58" t="n"/>
      <c r="Q780" s="58" t="n"/>
      <c r="R780" s="58" t="n"/>
      <c r="S780" s="59">
        <f>SUM(O780:R780)</f>
        <v/>
      </c>
      <c r="T780" s="52" t="n"/>
      <c r="U780" s="53" t="n"/>
      <c r="V780" s="58" t="n"/>
      <c r="W780" s="68" t="n"/>
      <c r="X780" s="58" t="n"/>
      <c r="Y780" s="52" t="n"/>
      <c r="Z780" s="58" t="n"/>
      <c r="AA780" s="58" t="n"/>
      <c r="AB780" s="58" t="n"/>
      <c r="AC780" s="58" t="n"/>
      <c r="AD780" s="53" t="n"/>
      <c r="AE780" s="61">
        <f>SUMIFS([1]инфо!$D$15:$D$28,[1]инфо!$A$15:$A$28,F780)</f>
        <v/>
      </c>
      <c r="AF780" s="62">
        <f>IF(H780=0,0,N780/H780)</f>
        <v/>
      </c>
      <c r="AG780" s="63">
        <f>AF780-AE780</f>
        <v/>
      </c>
      <c r="AH780" s="61">
        <f>SUMIFS([1]инфо!$E$15:$E$28,[1]инфо!$A$15:$A$28,F780)</f>
        <v/>
      </c>
      <c r="AI780" s="64">
        <f>IF(H780=0,0,S780/H780)</f>
        <v/>
      </c>
      <c r="AJ780" s="63">
        <f>AI780-AH780</f>
        <v/>
      </c>
      <c r="AK780" s="61">
        <f>SUMIFS([1]инфо!$F$15:$F$28,[1]инфо!$A$15:$A$28,F780)</f>
        <v/>
      </c>
      <c r="AL780" s="64">
        <f>IF(H780=0,0,Y780/H780)</f>
        <v/>
      </c>
      <c r="AM780" s="63">
        <f>AL780-AK780</f>
        <v/>
      </c>
      <c r="AN780" s="61">
        <f>SUMIFS([1]инфо!$G$15:$G$28,[1]инфо!$A$15:$A$28,F780)</f>
        <v/>
      </c>
      <c r="AO780" s="64">
        <f>IF(H780=0,0,AA780/H780)</f>
        <v/>
      </c>
      <c r="AP780" s="63">
        <f>AO780-AN780</f>
        <v/>
      </c>
      <c r="AQ780" s="61">
        <f>SUMIFS([1]инфо!$H$15:$H$28,[1]инфо!$A$15:$A$28,F780)</f>
        <v/>
      </c>
      <c r="AR780" s="62">
        <f>IF(H779=0,0,AC780/H779)</f>
        <v/>
      </c>
      <c r="AS780" s="63">
        <f>AR780-AQ780</f>
        <v/>
      </c>
      <c r="AT780" s="61">
        <f>SUMIFS([1]инфо!$I$15:$I$28,[1]инфо!$A$15:$A$28,F780)</f>
        <v/>
      </c>
      <c r="AU780" s="62">
        <f>IF(H780=0,0,AD780/H780)</f>
        <v/>
      </c>
      <c r="AV780" s="63">
        <f>AU780-AT780</f>
        <v/>
      </c>
      <c r="AX780" s="59">
        <f>SUMIFS([1]инфо!$C$15:$C$28,[1]инфо!$A$15:$A$28,F780)*H779</f>
        <v/>
      </c>
    </row>
    <row r="781">
      <c r="A781" s="71">
        <f>A779+1</f>
        <v/>
      </c>
      <c r="B781" s="90" t="n"/>
      <c r="C781" s="52" t="n"/>
      <c r="D781" s="53" t="n"/>
      <c r="E781" s="91" t="n"/>
      <c r="F781" s="67" t="n"/>
      <c r="G781" s="58" t="n"/>
      <c r="H781" s="56" t="n"/>
      <c r="I781" s="57">
        <f>IFERROR(H781*VLOOKUP(F781,[1]инфо!$A$15:$C$28,3,FALSE)/1000,0)</f>
        <v/>
      </c>
      <c r="J781" s="55" t="n"/>
      <c r="K781" s="55" t="n"/>
      <c r="L781" s="55" t="n"/>
      <c r="M781" s="55" t="n"/>
      <c r="N781" s="55" t="n"/>
      <c r="O781" s="58" t="n"/>
      <c r="P781" s="58" t="n"/>
      <c r="Q781" s="58" t="n"/>
      <c r="R781" s="58" t="n"/>
      <c r="S781" s="59">
        <f>SUM(O781:R781)</f>
        <v/>
      </c>
      <c r="T781" s="52" t="n"/>
      <c r="U781" s="53" t="n"/>
      <c r="V781" s="58" t="n"/>
      <c r="W781" s="68" t="n"/>
      <c r="X781" s="58" t="n"/>
      <c r="Y781" s="52" t="n"/>
      <c r="Z781" s="58" t="n"/>
      <c r="AA781" s="58" t="n"/>
      <c r="AB781" s="58" t="n"/>
      <c r="AC781" s="58" t="n"/>
      <c r="AD781" s="53" t="n"/>
      <c r="AE781" s="61">
        <f>SUMIFS([1]инфо!$D$15:$D$28,[1]инфо!$A$15:$A$28,F781)</f>
        <v/>
      </c>
      <c r="AF781" s="62">
        <f>IF(H781=0,0,N781/H781)</f>
        <v/>
      </c>
      <c r="AG781" s="63">
        <f>AF781-AE781</f>
        <v/>
      </c>
      <c r="AH781" s="61">
        <f>SUMIFS([1]инфо!$E$15:$E$28,[1]инфо!$A$15:$A$28,F781)</f>
        <v/>
      </c>
      <c r="AI781" s="64">
        <f>IF(H781=0,0,S781/H781)</f>
        <v/>
      </c>
      <c r="AJ781" s="63">
        <f>AI781-AH781</f>
        <v/>
      </c>
      <c r="AK781" s="61">
        <f>SUMIFS([1]инфо!$F$15:$F$28,[1]инфо!$A$15:$A$28,F781)</f>
        <v/>
      </c>
      <c r="AL781" s="64">
        <f>IF(H781=0,0,Y781/H781)</f>
        <v/>
      </c>
      <c r="AM781" s="63">
        <f>AL781-AK781</f>
        <v/>
      </c>
      <c r="AN781" s="61">
        <f>SUMIFS([1]инфо!$G$15:$G$28,[1]инфо!$A$15:$A$28,F781)</f>
        <v/>
      </c>
      <c r="AO781" s="64">
        <f>IF(H781=0,0,AA781/H781)</f>
        <v/>
      </c>
      <c r="AP781" s="63">
        <f>AO781-AN781</f>
        <v/>
      </c>
      <c r="AQ781" s="61">
        <f>SUMIFS([1]инфо!$H$15:$H$28,[1]инфо!$A$15:$A$28,F781)</f>
        <v/>
      </c>
      <c r="AR781" s="62">
        <f>IF(H780=0,0,AC781/H780)</f>
        <v/>
      </c>
      <c r="AS781" s="63">
        <f>AR781-AQ781</f>
        <v/>
      </c>
      <c r="AT781" s="61">
        <f>SUMIFS([1]инфо!$I$15:$I$28,[1]инфо!$A$15:$A$28,F781)</f>
        <v/>
      </c>
      <c r="AU781" s="62">
        <f>IF(H781=0,0,AD781/H781)</f>
        <v/>
      </c>
      <c r="AV781" s="63">
        <f>AU781-AT781</f>
        <v/>
      </c>
      <c r="AX781" s="59">
        <f>SUMIFS([1]инфо!$C$15:$C$28,[1]инфо!$A$15:$A$28,F781)*H780</f>
        <v/>
      </c>
    </row>
    <row r="782">
      <c r="A782" s="71">
        <f>A780+1</f>
        <v/>
      </c>
      <c r="B782" s="88" t="n"/>
      <c r="C782" s="77" t="n"/>
      <c r="D782" s="78" t="n"/>
      <c r="E782" s="91" t="n"/>
      <c r="F782" s="67" t="n"/>
      <c r="G782" s="79" t="n"/>
      <c r="H782" s="67" t="n"/>
      <c r="I782" s="57">
        <f>IFERROR(H782*VLOOKUP(F782,[1]инфо!$A$15:$C$28,3,FALSE)/1000,0)</f>
        <v/>
      </c>
      <c r="J782" s="55" t="n"/>
      <c r="K782" s="55" t="n"/>
      <c r="L782" s="55" t="n"/>
      <c r="M782" s="55" t="n"/>
      <c r="N782" s="56" t="n"/>
      <c r="O782" s="79" t="n"/>
      <c r="P782" s="79" t="n"/>
      <c r="Q782" s="79" t="n"/>
      <c r="R782" s="79" t="n"/>
      <c r="S782" s="80">
        <f>SUM(O782:R782)</f>
        <v/>
      </c>
      <c r="T782" s="77" t="n"/>
      <c r="U782" s="78" t="n"/>
      <c r="V782" s="79" t="n"/>
      <c r="W782" s="68" t="n"/>
      <c r="X782" s="79" t="n"/>
      <c r="Y782" s="77" t="n"/>
      <c r="Z782" s="79" t="n"/>
      <c r="AA782" s="79" t="n"/>
      <c r="AB782" s="79" t="n"/>
      <c r="AC782" s="79" t="n"/>
      <c r="AD782" s="78" t="n"/>
      <c r="AE782" s="81">
        <f>SUMIFS([1]инфо!$D$15:$D$28,[1]инфо!$A$15:$A$28,F782)</f>
        <v/>
      </c>
      <c r="AF782" s="62">
        <f>IF(H782=0,0,N782/H782)</f>
        <v/>
      </c>
      <c r="AG782" s="82">
        <f>AF782-AE782</f>
        <v/>
      </c>
      <c r="AH782" s="81">
        <f>SUMIFS([1]инфо!$E$15:$E$28,[1]инфо!$A$15:$A$28,F782)</f>
        <v/>
      </c>
      <c r="AI782" s="64">
        <f>IF(H782=0,0,S782/H782)</f>
        <v/>
      </c>
      <c r="AJ782" s="82">
        <f>AI782-AH782</f>
        <v/>
      </c>
      <c r="AK782" s="81">
        <f>SUMIFS([1]инфо!$F$15:$F$28,[1]инфо!$A$15:$A$28,F782)</f>
        <v/>
      </c>
      <c r="AL782" s="64">
        <f>IF(H782=0,0,Y782/H782)</f>
        <v/>
      </c>
      <c r="AM782" s="82">
        <f>AL782-AK782</f>
        <v/>
      </c>
      <c r="AN782" s="81">
        <f>SUMIFS([1]инфо!$G$15:$G$28,[1]инфо!$A$15:$A$28,F782)</f>
        <v/>
      </c>
      <c r="AO782" s="64">
        <f>IF(H782=0,0,AA782/H782)</f>
        <v/>
      </c>
      <c r="AP782" s="82">
        <f>AO782-AN782</f>
        <v/>
      </c>
      <c r="AQ782" s="81">
        <f>SUMIFS([1]инфо!$H$15:$H$28,[1]инфо!$A$15:$A$28,F782)</f>
        <v/>
      </c>
      <c r="AR782" s="85">
        <f>IF(H781=0,0,AC782/H781)</f>
        <v/>
      </c>
      <c r="AS782" s="82">
        <f>AR782-AQ782</f>
        <v/>
      </c>
      <c r="AT782" s="81">
        <f>SUMIFS([1]инфо!$I$15:$I$28,[1]инфо!$A$15:$A$28,F782)</f>
        <v/>
      </c>
      <c r="AU782" s="62">
        <f>IF(H782=0,0,AD782/H782)</f>
        <v/>
      </c>
      <c r="AV782" s="82">
        <f>AU782-AT782</f>
        <v/>
      </c>
      <c r="AX782" s="80">
        <f>SUMIFS([1]инфо!$C$15:$C$28,[1]инфо!$A$15:$A$28,F782)*H781</f>
        <v/>
      </c>
    </row>
    <row r="783">
      <c r="A783" s="71">
        <f>A781+1</f>
        <v/>
      </c>
      <c r="B783" s="89" t="n"/>
      <c r="C783" s="72" t="n"/>
      <c r="D783" s="73" t="n"/>
      <c r="E783" s="91" t="n"/>
      <c r="F783" s="67" t="n"/>
      <c r="G783" s="74" t="n"/>
      <c r="H783" s="55" t="n"/>
      <c r="I783" s="57">
        <f>IFERROR(H783*VLOOKUP(F783,[1]инфо!$A$15:$C$28,3,FALSE)/1000,0)</f>
        <v/>
      </c>
      <c r="J783" s="55" t="n"/>
      <c r="K783" s="55" t="n"/>
      <c r="L783" s="55" t="n"/>
      <c r="M783" s="55" t="n"/>
      <c r="N783" s="67" t="n"/>
      <c r="O783" s="74" t="n"/>
      <c r="P783" s="74" t="n"/>
      <c r="Q783" s="74" t="n"/>
      <c r="R783" s="74" t="n"/>
      <c r="S783" s="70">
        <f>SUM(O783:R783)</f>
        <v/>
      </c>
      <c r="T783" s="72" t="n"/>
      <c r="U783" s="73" t="n"/>
      <c r="V783" s="74" t="n"/>
      <c r="W783" s="68" t="n"/>
      <c r="X783" s="74" t="n"/>
      <c r="Y783" s="72" t="n"/>
      <c r="Z783" s="74" t="n"/>
      <c r="AA783" s="74" t="n"/>
      <c r="AB783" s="74" t="n"/>
      <c r="AC783" s="74" t="n"/>
      <c r="AD783" s="73" t="n"/>
      <c r="AE783" s="75">
        <f>SUMIFS([1]инфо!$D$15:$D$28,[1]инфо!$A$15:$A$28,F783)</f>
        <v/>
      </c>
      <c r="AF783" s="62">
        <f>IF(H783=0,0,N783/H783)</f>
        <v/>
      </c>
      <c r="AG783" s="76">
        <f>AF783-AE783</f>
        <v/>
      </c>
      <c r="AH783" s="75">
        <f>SUMIFS([1]инфо!$E$15:$E$28,[1]инфо!$A$15:$A$28,F783)</f>
        <v/>
      </c>
      <c r="AI783" s="64">
        <f>IF(H783=0,0,S783/H783)</f>
        <v/>
      </c>
      <c r="AJ783" s="76">
        <f>AI783-AH783</f>
        <v/>
      </c>
      <c r="AK783" s="75">
        <f>SUMIFS([1]инфо!$F$15:$F$28,[1]инфо!$A$15:$A$28,F783)</f>
        <v/>
      </c>
      <c r="AL783" s="64">
        <f>IF(H783=0,0,Y783/H783)</f>
        <v/>
      </c>
      <c r="AM783" s="76">
        <f>AL783-AK783</f>
        <v/>
      </c>
      <c r="AN783" s="75">
        <f>SUMIFS([1]инфо!$G$15:$G$28,[1]инфо!$A$15:$A$28,F783)</f>
        <v/>
      </c>
      <c r="AO783" s="64">
        <f>IF(H783=0,0,AA783/H783)</f>
        <v/>
      </c>
      <c r="AP783" s="76">
        <f>AO783-AN783</f>
        <v/>
      </c>
      <c r="AQ783" s="75">
        <f>SUMIFS([1]инфо!$H$15:$H$28,[1]инфо!$A$15:$A$28,F783)</f>
        <v/>
      </c>
      <c r="AR783" s="64">
        <f>IF(H782=0,0,AC783/H782)</f>
        <v/>
      </c>
      <c r="AS783" s="76">
        <f>AR783-AQ783</f>
        <v/>
      </c>
      <c r="AT783" s="75">
        <f>SUMIFS([1]инфо!$I$15:$I$28,[1]инфо!$A$15:$A$28,F783)</f>
        <v/>
      </c>
      <c r="AU783" s="62">
        <f>IF(H783=0,0,AD783/H783)</f>
        <v/>
      </c>
      <c r="AV783" s="76">
        <f>AU783-AT783</f>
        <v/>
      </c>
      <c r="AX783" s="70">
        <f>SUMIFS([1]инфо!$C$15:$C$28,[1]инфо!$A$15:$A$28,F783)*H782</f>
        <v/>
      </c>
    </row>
    <row r="784">
      <c r="A784" s="71">
        <f>A782+1</f>
        <v/>
      </c>
      <c r="B784" s="90" t="n"/>
      <c r="C784" s="52" t="n"/>
      <c r="D784" s="53" t="n"/>
      <c r="E784" s="91" t="n"/>
      <c r="F784" s="67" t="n"/>
      <c r="G784" s="58" t="n"/>
      <c r="H784" s="55" t="n"/>
      <c r="I784" s="57">
        <f>IFERROR(H784*VLOOKUP(F784,[1]инфо!$A$15:$C$28,3,FALSE)/1000,0)</f>
        <v/>
      </c>
      <c r="J784" s="55" t="n"/>
      <c r="K784" s="55" t="n"/>
      <c r="L784" s="55" t="n"/>
      <c r="M784" s="55" t="n"/>
      <c r="N784" s="55" t="n"/>
      <c r="O784" s="58" t="n"/>
      <c r="P784" s="58" t="n"/>
      <c r="Q784" s="58" t="n"/>
      <c r="R784" s="58" t="n"/>
      <c r="S784" s="59">
        <f>SUM(O784:R784)</f>
        <v/>
      </c>
      <c r="T784" s="52" t="n"/>
      <c r="U784" s="53" t="n"/>
      <c r="V784" s="58" t="n"/>
      <c r="W784" s="68" t="n"/>
      <c r="X784" s="58" t="n"/>
      <c r="Y784" s="52" t="n"/>
      <c r="Z784" s="58" t="n"/>
      <c r="AA784" s="58" t="n"/>
      <c r="AB784" s="58" t="n"/>
      <c r="AC784" s="58" t="n"/>
      <c r="AD784" s="53" t="n"/>
      <c r="AE784" s="61">
        <f>SUMIFS([1]инфо!$D$15:$D$28,[1]инфо!$A$15:$A$28,F784)</f>
        <v/>
      </c>
      <c r="AF784" s="62">
        <f>IF(H784=0,0,N784/H784)</f>
        <v/>
      </c>
      <c r="AG784" s="63">
        <f>AF784-AE784</f>
        <v/>
      </c>
      <c r="AH784" s="61">
        <f>SUMIFS([1]инфо!$E$15:$E$28,[1]инфо!$A$15:$A$28,F784)</f>
        <v/>
      </c>
      <c r="AI784" s="64">
        <f>IF(H784=0,0,S784/H784)</f>
        <v/>
      </c>
      <c r="AJ784" s="63">
        <f>AI784-AH784</f>
        <v/>
      </c>
      <c r="AK784" s="61">
        <f>SUMIFS([1]инфо!$F$15:$F$28,[1]инфо!$A$15:$A$28,F784)</f>
        <v/>
      </c>
      <c r="AL784" s="64">
        <f>IF(H784=0,0,Y784/H784)</f>
        <v/>
      </c>
      <c r="AM784" s="63">
        <f>AL784-AK784</f>
        <v/>
      </c>
      <c r="AN784" s="61">
        <f>SUMIFS([1]инфо!$G$15:$G$28,[1]инфо!$A$15:$A$28,F784)</f>
        <v/>
      </c>
      <c r="AO784" s="64">
        <f>IF(H784=0,0,AA784/H784)</f>
        <v/>
      </c>
      <c r="AP784" s="63">
        <f>AO784-AN784</f>
        <v/>
      </c>
      <c r="AQ784" s="61">
        <f>SUMIFS([1]инфо!$H$15:$H$28,[1]инфо!$A$15:$A$28,F784)</f>
        <v/>
      </c>
      <c r="AR784" s="62">
        <f>IF(H783=0,0,AC784/H783)</f>
        <v/>
      </c>
      <c r="AS784" s="63">
        <f>AR784-AQ784</f>
        <v/>
      </c>
      <c r="AT784" s="61">
        <f>SUMIFS([1]инфо!$I$15:$I$28,[1]инфо!$A$15:$A$28,F784)</f>
        <v/>
      </c>
      <c r="AU784" s="62">
        <f>IF(H784=0,0,AD784/H784)</f>
        <v/>
      </c>
      <c r="AV784" s="63">
        <f>AU784-AT784</f>
        <v/>
      </c>
      <c r="AX784" s="59">
        <f>SUMIFS([1]инфо!$C$15:$C$28,[1]инфо!$A$15:$A$28,F784)*H783</f>
        <v/>
      </c>
    </row>
    <row r="785">
      <c r="A785" s="71">
        <f>A783+1</f>
        <v/>
      </c>
      <c r="B785" s="90" t="n"/>
      <c r="C785" s="52" t="n"/>
      <c r="D785" s="53" t="n"/>
      <c r="E785" s="91" t="n"/>
      <c r="F785" s="67" t="n"/>
      <c r="G785" s="58" t="n"/>
      <c r="H785" s="56" t="n"/>
      <c r="I785" s="57">
        <f>IFERROR(H785*VLOOKUP(F785,[1]инфо!$A$15:$C$28,3,FALSE)/1000,0)</f>
        <v/>
      </c>
      <c r="J785" s="55" t="n"/>
      <c r="K785" s="55" t="n"/>
      <c r="L785" s="55" t="n"/>
      <c r="M785" s="55" t="n"/>
      <c r="N785" s="55" t="n"/>
      <c r="O785" s="58" t="n"/>
      <c r="P785" s="58" t="n"/>
      <c r="Q785" s="58" t="n"/>
      <c r="R785" s="58" t="n"/>
      <c r="S785" s="59">
        <f>SUM(O785:R785)</f>
        <v/>
      </c>
      <c r="T785" s="52" t="n"/>
      <c r="U785" s="53" t="n"/>
      <c r="V785" s="58" t="n"/>
      <c r="W785" s="68" t="n"/>
      <c r="X785" s="58" t="n"/>
      <c r="Y785" s="52" t="n"/>
      <c r="Z785" s="58" t="n"/>
      <c r="AA785" s="58" t="n"/>
      <c r="AB785" s="58" t="n"/>
      <c r="AC785" s="58" t="n"/>
      <c r="AD785" s="53" t="n"/>
      <c r="AE785" s="61">
        <f>SUMIFS([1]инфо!$D$15:$D$28,[1]инфо!$A$15:$A$28,F785)</f>
        <v/>
      </c>
      <c r="AF785" s="62">
        <f>IF(H785=0,0,N785/H785)</f>
        <v/>
      </c>
      <c r="AG785" s="63">
        <f>AF785-AE785</f>
        <v/>
      </c>
      <c r="AH785" s="61">
        <f>SUMIFS([1]инфо!$E$15:$E$28,[1]инфо!$A$15:$A$28,F785)</f>
        <v/>
      </c>
      <c r="AI785" s="64">
        <f>IF(H785=0,0,S785/H785)</f>
        <v/>
      </c>
      <c r="AJ785" s="63">
        <f>AI785-AH785</f>
        <v/>
      </c>
      <c r="AK785" s="61">
        <f>SUMIFS([1]инфо!$F$15:$F$28,[1]инфо!$A$15:$A$28,F785)</f>
        <v/>
      </c>
      <c r="AL785" s="64">
        <f>IF(H785=0,0,Y785/H785)</f>
        <v/>
      </c>
      <c r="AM785" s="63">
        <f>AL785-AK785</f>
        <v/>
      </c>
      <c r="AN785" s="61">
        <f>SUMIFS([1]инфо!$G$15:$G$28,[1]инфо!$A$15:$A$28,F785)</f>
        <v/>
      </c>
      <c r="AO785" s="64">
        <f>IF(H785=0,0,AA785/H785)</f>
        <v/>
      </c>
      <c r="AP785" s="63">
        <f>AO785-AN785</f>
        <v/>
      </c>
      <c r="AQ785" s="61">
        <f>SUMIFS([1]инфо!$H$15:$H$28,[1]инфо!$A$15:$A$28,F785)</f>
        <v/>
      </c>
      <c r="AR785" s="62">
        <f>IF(H784=0,0,AC785/H784)</f>
        <v/>
      </c>
      <c r="AS785" s="63">
        <f>AR785-AQ785</f>
        <v/>
      </c>
      <c r="AT785" s="61">
        <f>SUMIFS([1]инфо!$I$15:$I$28,[1]инфо!$A$15:$A$28,F785)</f>
        <v/>
      </c>
      <c r="AU785" s="62">
        <f>IF(H785=0,0,AD785/H785)</f>
        <v/>
      </c>
      <c r="AV785" s="63">
        <f>AU785-AT785</f>
        <v/>
      </c>
      <c r="AX785" s="59">
        <f>SUMIFS([1]инфо!$C$15:$C$28,[1]инфо!$A$15:$A$28,F785)*H784</f>
        <v/>
      </c>
    </row>
    <row r="786">
      <c r="A786" s="71">
        <f>A784+1</f>
        <v/>
      </c>
      <c r="B786" s="88" t="n"/>
      <c r="C786" s="77" t="n"/>
      <c r="D786" s="78" t="n"/>
      <c r="E786" s="91" t="n"/>
      <c r="F786" s="67" t="n"/>
      <c r="G786" s="79" t="n"/>
      <c r="H786" s="67" t="n"/>
      <c r="I786" s="57">
        <f>IFERROR(H786*VLOOKUP(F786,[1]инфо!$A$15:$C$28,3,FALSE)/1000,0)</f>
        <v/>
      </c>
      <c r="J786" s="55" t="n"/>
      <c r="K786" s="55" t="n"/>
      <c r="L786" s="55" t="n"/>
      <c r="M786" s="55" t="n"/>
      <c r="N786" s="56" t="n"/>
      <c r="O786" s="79" t="n"/>
      <c r="P786" s="79" t="n"/>
      <c r="Q786" s="79" t="n"/>
      <c r="R786" s="79" t="n"/>
      <c r="S786" s="80">
        <f>SUM(O786:R786)</f>
        <v/>
      </c>
      <c r="T786" s="77" t="n"/>
      <c r="U786" s="78" t="n"/>
      <c r="V786" s="79" t="n"/>
      <c r="W786" s="68" t="n"/>
      <c r="X786" s="79" t="n"/>
      <c r="Y786" s="77" t="n"/>
      <c r="Z786" s="79" t="n"/>
      <c r="AA786" s="79" t="n"/>
      <c r="AB786" s="79" t="n"/>
      <c r="AC786" s="79" t="n"/>
      <c r="AD786" s="78" t="n"/>
      <c r="AE786" s="81">
        <f>SUMIFS([1]инфо!$D$15:$D$28,[1]инфо!$A$15:$A$28,F786)</f>
        <v/>
      </c>
      <c r="AF786" s="62">
        <f>IF(H786=0,0,N786/H786)</f>
        <v/>
      </c>
      <c r="AG786" s="82">
        <f>AF786-AE786</f>
        <v/>
      </c>
      <c r="AH786" s="81">
        <f>SUMIFS([1]инфо!$E$15:$E$28,[1]инфо!$A$15:$A$28,F786)</f>
        <v/>
      </c>
      <c r="AI786" s="64">
        <f>IF(H786=0,0,S786/H786)</f>
        <v/>
      </c>
      <c r="AJ786" s="82">
        <f>AI786-AH786</f>
        <v/>
      </c>
      <c r="AK786" s="81">
        <f>SUMIFS([1]инфо!$F$15:$F$28,[1]инфо!$A$15:$A$28,F786)</f>
        <v/>
      </c>
      <c r="AL786" s="64">
        <f>IF(H786=0,0,Y786/H786)</f>
        <v/>
      </c>
      <c r="AM786" s="82">
        <f>AL786-AK786</f>
        <v/>
      </c>
      <c r="AN786" s="81">
        <f>SUMIFS([1]инфо!$G$15:$G$28,[1]инфо!$A$15:$A$28,F786)</f>
        <v/>
      </c>
      <c r="AO786" s="64">
        <f>IF(H786=0,0,AA786/H786)</f>
        <v/>
      </c>
      <c r="AP786" s="82">
        <f>AO786-AN786</f>
        <v/>
      </c>
      <c r="AQ786" s="81">
        <f>SUMIFS([1]инфо!$H$15:$H$28,[1]инфо!$A$15:$A$28,F786)</f>
        <v/>
      </c>
      <c r="AR786" s="85">
        <f>IF(H785=0,0,AC786/H785)</f>
        <v/>
      </c>
      <c r="AS786" s="82">
        <f>AR786-AQ786</f>
        <v/>
      </c>
      <c r="AT786" s="81">
        <f>SUMIFS([1]инфо!$I$15:$I$28,[1]инфо!$A$15:$A$28,F786)</f>
        <v/>
      </c>
      <c r="AU786" s="62">
        <f>IF(H786=0,0,AD786/H786)</f>
        <v/>
      </c>
      <c r="AV786" s="82">
        <f>AU786-AT786</f>
        <v/>
      </c>
      <c r="AX786" s="80">
        <f>SUMIFS([1]инфо!$C$15:$C$28,[1]инфо!$A$15:$A$28,F786)*H785</f>
        <v/>
      </c>
    </row>
    <row r="787">
      <c r="A787" s="71">
        <f>A785+1</f>
        <v/>
      </c>
      <c r="B787" s="89" t="n"/>
      <c r="C787" s="72" t="n"/>
      <c r="D787" s="73" t="n"/>
      <c r="E787" s="91" t="n"/>
      <c r="F787" s="67" t="n"/>
      <c r="G787" s="74" t="n"/>
      <c r="H787" s="55" t="n"/>
      <c r="I787" s="55" t="n"/>
      <c r="J787" s="55" t="n"/>
      <c r="K787" s="55" t="n"/>
      <c r="L787" s="55" t="n"/>
      <c r="M787" s="55" t="n"/>
      <c r="N787" s="67" t="n"/>
      <c r="O787" s="74" t="n"/>
      <c r="P787" s="74" t="n"/>
      <c r="Q787" s="74" t="n"/>
      <c r="R787" s="74" t="n"/>
      <c r="S787" s="70">
        <f>SUM(O787:R787)</f>
        <v/>
      </c>
      <c r="T787" s="72" t="n"/>
      <c r="U787" s="73" t="n"/>
      <c r="V787" s="74" t="n"/>
      <c r="W787" s="68" t="n"/>
      <c r="X787" s="74" t="n"/>
      <c r="Y787" s="72" t="n"/>
      <c r="Z787" s="74" t="n"/>
      <c r="AA787" s="74" t="n"/>
      <c r="AB787" s="74" t="n"/>
      <c r="AC787" s="74" t="n"/>
      <c r="AD787" s="73" t="n"/>
      <c r="AE787" s="75">
        <f>SUMIFS([1]инфо!$D$15:$D$28,[1]инфо!$A$15:$A$28,F787)</f>
        <v/>
      </c>
      <c r="AF787" s="62">
        <f>IF(H787=0,0,N787/H787)</f>
        <v/>
      </c>
      <c r="AG787" s="76">
        <f>AF787-AE787</f>
        <v/>
      </c>
      <c r="AH787" s="75">
        <f>SUMIFS([1]инфо!$E$15:$E$28,[1]инфо!$A$15:$A$28,F787)</f>
        <v/>
      </c>
      <c r="AI787" s="64">
        <f>IF(H787=0,0,S787/H787)</f>
        <v/>
      </c>
      <c r="AJ787" s="76">
        <f>AI787-AH787</f>
        <v/>
      </c>
      <c r="AK787" s="75">
        <f>SUMIFS([1]инфо!$F$15:$F$28,[1]инфо!$A$15:$A$28,F787)</f>
        <v/>
      </c>
      <c r="AL787" s="64">
        <f>IF(H787=0,0,Y787/H787)</f>
        <v/>
      </c>
      <c r="AM787" s="76">
        <f>AL787-AK787</f>
        <v/>
      </c>
      <c r="AN787" s="75">
        <f>SUMIFS([1]инфо!$G$15:$G$28,[1]инфо!$A$15:$A$28,F787)</f>
        <v/>
      </c>
      <c r="AO787" s="64">
        <f>IF(H787=0,0,AA787/H787)</f>
        <v/>
      </c>
      <c r="AP787" s="76">
        <f>AO787-AN787</f>
        <v/>
      </c>
      <c r="AQ787" s="75">
        <f>SUMIFS([1]инфо!$H$15:$H$28,[1]инфо!$A$15:$A$28,F787)</f>
        <v/>
      </c>
      <c r="AR787" s="64">
        <f>IF(H786=0,0,AC787/H786)</f>
        <v/>
      </c>
      <c r="AS787" s="76">
        <f>AR787-AQ787</f>
        <v/>
      </c>
      <c r="AT787" s="75">
        <f>SUMIFS([1]инфо!$I$15:$I$28,[1]инфо!$A$15:$A$28,F787)</f>
        <v/>
      </c>
      <c r="AU787" s="62">
        <f>IF(H787=0,0,AD787/H787)</f>
        <v/>
      </c>
      <c r="AV787" s="76">
        <f>AU787-AT787</f>
        <v/>
      </c>
      <c r="AX787" s="70">
        <f>SUMIFS([1]инфо!$C$15:$C$28,[1]инфо!$A$15:$A$28,F787)*H786</f>
        <v/>
      </c>
    </row>
    <row r="788">
      <c r="A788" s="71">
        <f>A786+1</f>
        <v/>
      </c>
      <c r="B788" s="90" t="n"/>
      <c r="C788" s="52" t="n"/>
      <c r="D788" s="53" t="n"/>
      <c r="E788" s="91" t="n"/>
      <c r="F788" s="67" t="n"/>
      <c r="G788" s="58" t="n"/>
      <c r="H788" s="55" t="n"/>
      <c r="I788" s="55" t="n"/>
      <c r="J788" s="55" t="n"/>
      <c r="K788" s="55" t="n"/>
      <c r="L788" s="55" t="n"/>
      <c r="M788" s="55" t="n"/>
      <c r="N788" s="55" t="n"/>
      <c r="O788" s="58" t="n"/>
      <c r="P788" s="58" t="n"/>
      <c r="Q788" s="58" t="n"/>
      <c r="R788" s="58" t="n"/>
      <c r="S788" s="59">
        <f>SUM(O788:R788)</f>
        <v/>
      </c>
      <c r="T788" s="52" t="n"/>
      <c r="U788" s="53" t="n"/>
      <c r="V788" s="58" t="n"/>
      <c r="W788" s="68" t="n"/>
      <c r="X788" s="58" t="n"/>
      <c r="Y788" s="52" t="n"/>
      <c r="Z788" s="58" t="n"/>
      <c r="AA788" s="58" t="n"/>
      <c r="AB788" s="58" t="n"/>
      <c r="AC788" s="58" t="n"/>
      <c r="AD788" s="53" t="n"/>
      <c r="AE788" s="61">
        <f>SUMIFS([1]инфо!$D$15:$D$28,[1]инфо!$A$15:$A$28,F788)</f>
        <v/>
      </c>
      <c r="AF788" s="62">
        <f>IF(H788=0,0,N788/H788)</f>
        <v/>
      </c>
      <c r="AG788" s="63">
        <f>AF788-AE788</f>
        <v/>
      </c>
      <c r="AH788" s="61">
        <f>SUMIFS([1]инфо!$E$15:$E$28,[1]инфо!$A$15:$A$28,F788)</f>
        <v/>
      </c>
      <c r="AI788" s="64">
        <f>IF(H788=0,0,S788/H788)</f>
        <v/>
      </c>
      <c r="AJ788" s="63">
        <f>AI788-AH788</f>
        <v/>
      </c>
      <c r="AK788" s="61">
        <f>SUMIFS([1]инфо!$F$15:$F$28,[1]инфо!$A$15:$A$28,F788)</f>
        <v/>
      </c>
      <c r="AL788" s="64">
        <f>IF(H788=0,0,Y788/H788)</f>
        <v/>
      </c>
      <c r="AM788" s="63">
        <f>AL788-AK788</f>
        <v/>
      </c>
      <c r="AN788" s="61">
        <f>SUMIFS([1]инфо!$G$15:$G$28,[1]инфо!$A$15:$A$28,F788)</f>
        <v/>
      </c>
      <c r="AO788" s="64">
        <f>IF(H788=0,0,AA788/H788)</f>
        <v/>
      </c>
      <c r="AP788" s="63">
        <f>AO788-AN788</f>
        <v/>
      </c>
      <c r="AQ788" s="61">
        <f>SUMIFS([1]инфо!$H$15:$H$28,[1]инфо!$A$15:$A$28,F788)</f>
        <v/>
      </c>
      <c r="AR788" s="62">
        <f>IF(H787=0,0,AC788/H787)</f>
        <v/>
      </c>
      <c r="AS788" s="63">
        <f>AR788-AQ788</f>
        <v/>
      </c>
      <c r="AT788" s="61">
        <f>SUMIFS([1]инфо!$I$15:$I$28,[1]инфо!$A$15:$A$28,F788)</f>
        <v/>
      </c>
      <c r="AU788" s="62">
        <f>IF(H788=0,0,AD788/H788)</f>
        <v/>
      </c>
      <c r="AV788" s="63">
        <f>AU788-AT788</f>
        <v/>
      </c>
      <c r="AX788" s="59">
        <f>SUMIFS([1]инфо!$C$15:$C$28,[1]инфо!$A$15:$A$28,F788)*H787</f>
        <v/>
      </c>
    </row>
    <row r="789">
      <c r="A789" s="71">
        <f>A787+1</f>
        <v/>
      </c>
      <c r="B789" s="90" t="n"/>
      <c r="C789" s="52" t="n"/>
      <c r="D789" s="53" t="n"/>
      <c r="E789" s="91" t="n"/>
      <c r="F789" s="67" t="n"/>
      <c r="G789" s="58" t="n"/>
      <c r="H789" s="56" t="n"/>
      <c r="I789" s="55" t="n"/>
      <c r="J789" s="55" t="n"/>
      <c r="K789" s="55" t="n"/>
      <c r="L789" s="55" t="n"/>
      <c r="M789" s="55" t="n"/>
      <c r="N789" s="55" t="n"/>
      <c r="O789" s="58" t="n"/>
      <c r="P789" s="58" t="n"/>
      <c r="Q789" s="58" t="n"/>
      <c r="R789" s="58" t="n"/>
      <c r="S789" s="59">
        <f>SUM(O789:R789)</f>
        <v/>
      </c>
      <c r="T789" s="52" t="n"/>
      <c r="U789" s="53" t="n"/>
      <c r="V789" s="58" t="n"/>
      <c r="W789" s="68" t="n"/>
      <c r="X789" s="58" t="n"/>
      <c r="Y789" s="52" t="n"/>
      <c r="Z789" s="58" t="n"/>
      <c r="AA789" s="58" t="n"/>
      <c r="AB789" s="58" t="n"/>
      <c r="AC789" s="58" t="n"/>
      <c r="AD789" s="53" t="n"/>
      <c r="AE789" s="61">
        <f>SUMIFS([1]инфо!$D$15:$D$28,[1]инфо!$A$15:$A$28,F789)</f>
        <v/>
      </c>
      <c r="AF789" s="62">
        <f>IF(H789=0,0,N789/H789)</f>
        <v/>
      </c>
      <c r="AG789" s="63">
        <f>AF789-AE789</f>
        <v/>
      </c>
      <c r="AH789" s="61">
        <f>SUMIFS([1]инфо!$E$15:$E$28,[1]инфо!$A$15:$A$28,F789)</f>
        <v/>
      </c>
      <c r="AI789" s="64">
        <f>IF(H789=0,0,S789/H789)</f>
        <v/>
      </c>
      <c r="AJ789" s="63">
        <f>AI789-AH789</f>
        <v/>
      </c>
      <c r="AK789" s="61">
        <f>SUMIFS([1]инфо!$F$15:$F$28,[1]инфо!$A$15:$A$28,F789)</f>
        <v/>
      </c>
      <c r="AL789" s="64">
        <f>IF(H789=0,0,Y789/H789)</f>
        <v/>
      </c>
      <c r="AM789" s="63">
        <f>AL789-AK789</f>
        <v/>
      </c>
      <c r="AN789" s="61">
        <f>SUMIFS([1]инфо!$G$15:$G$28,[1]инфо!$A$15:$A$28,F789)</f>
        <v/>
      </c>
      <c r="AO789" s="64">
        <f>IF(H789=0,0,AA789/H789)</f>
        <v/>
      </c>
      <c r="AP789" s="63">
        <f>AO789-AN789</f>
        <v/>
      </c>
      <c r="AQ789" s="61">
        <f>SUMIFS([1]инфо!$H$15:$H$28,[1]инфо!$A$15:$A$28,F789)</f>
        <v/>
      </c>
      <c r="AR789" s="62">
        <f>IF(H788=0,0,AC789/H788)</f>
        <v/>
      </c>
      <c r="AS789" s="63">
        <f>AR789-AQ789</f>
        <v/>
      </c>
      <c r="AT789" s="61">
        <f>SUMIFS([1]инфо!$I$15:$I$28,[1]инфо!$A$15:$A$28,F789)</f>
        <v/>
      </c>
      <c r="AU789" s="62">
        <f>IF(H789=0,0,AD789/H789)</f>
        <v/>
      </c>
      <c r="AV789" s="63">
        <f>AU789-AT789</f>
        <v/>
      </c>
      <c r="AX789" s="59">
        <f>SUMIFS([1]инфо!$C$15:$C$28,[1]инфо!$A$15:$A$28,F789)*H788</f>
        <v/>
      </c>
    </row>
    <row r="790">
      <c r="A790" s="71">
        <f>A788+1</f>
        <v/>
      </c>
      <c r="B790" s="88" t="n"/>
      <c r="C790" s="77" t="n"/>
      <c r="D790" s="78" t="n"/>
      <c r="E790" s="91" t="n"/>
      <c r="F790" s="67" t="n"/>
      <c r="G790" s="79" t="n"/>
      <c r="H790" s="67" t="n"/>
      <c r="I790" s="55" t="n"/>
      <c r="J790" s="55" t="n"/>
      <c r="K790" s="55" t="n"/>
      <c r="L790" s="55" t="n"/>
      <c r="M790" s="55" t="n"/>
      <c r="N790" s="56" t="n"/>
      <c r="O790" s="79" t="n"/>
      <c r="P790" s="79" t="n"/>
      <c r="Q790" s="79" t="n"/>
      <c r="R790" s="79" t="n"/>
      <c r="S790" s="80">
        <f>SUM(O790:R790)</f>
        <v/>
      </c>
      <c r="T790" s="77" t="n"/>
      <c r="U790" s="78" t="n"/>
      <c r="V790" s="79" t="n"/>
      <c r="W790" s="68" t="n"/>
      <c r="X790" s="79" t="n"/>
      <c r="Y790" s="77" t="n"/>
      <c r="Z790" s="79" t="n"/>
      <c r="AA790" s="79" t="n"/>
      <c r="AB790" s="79" t="n"/>
      <c r="AC790" s="79" t="n"/>
      <c r="AD790" s="78" t="n"/>
      <c r="AE790" s="81">
        <f>SUMIFS([1]инфо!$D$15:$D$28,[1]инфо!$A$15:$A$28,F790)</f>
        <v/>
      </c>
      <c r="AF790" s="62">
        <f>IF(H790=0,0,N790/H790)</f>
        <v/>
      </c>
      <c r="AG790" s="82">
        <f>AF790-AE790</f>
        <v/>
      </c>
      <c r="AH790" s="81">
        <f>SUMIFS([1]инфо!$E$15:$E$28,[1]инфо!$A$15:$A$28,F790)</f>
        <v/>
      </c>
      <c r="AI790" s="64">
        <f>IF(H790=0,0,S790/H790)</f>
        <v/>
      </c>
      <c r="AJ790" s="82">
        <f>AI790-AH790</f>
        <v/>
      </c>
      <c r="AK790" s="81">
        <f>SUMIFS([1]инфо!$F$15:$F$28,[1]инфо!$A$15:$A$28,F790)</f>
        <v/>
      </c>
      <c r="AL790" s="64">
        <f>IF(H790=0,0,Y790/H790)</f>
        <v/>
      </c>
      <c r="AM790" s="82">
        <f>AL790-AK790</f>
        <v/>
      </c>
      <c r="AN790" s="81">
        <f>SUMIFS([1]инфо!$G$15:$G$28,[1]инфо!$A$15:$A$28,F790)</f>
        <v/>
      </c>
      <c r="AO790" s="64">
        <f>IF(H790=0,0,AA790/H790)</f>
        <v/>
      </c>
      <c r="AP790" s="82">
        <f>AO790-AN790</f>
        <v/>
      </c>
      <c r="AQ790" s="81">
        <f>SUMIFS([1]инфо!$H$15:$H$28,[1]инфо!$A$15:$A$28,F790)</f>
        <v/>
      </c>
      <c r="AR790" s="85">
        <f>IF(H789=0,0,AC790/H789)</f>
        <v/>
      </c>
      <c r="AS790" s="82">
        <f>AR790-AQ790</f>
        <v/>
      </c>
      <c r="AT790" s="81">
        <f>SUMIFS([1]инфо!$I$15:$I$28,[1]инфо!$A$15:$A$28,F790)</f>
        <v/>
      </c>
      <c r="AU790" s="62">
        <f>IF(H790=0,0,AD790/H790)</f>
        <v/>
      </c>
      <c r="AV790" s="82">
        <f>AU790-AT790</f>
        <v/>
      </c>
      <c r="AX790" s="80">
        <f>SUMIFS([1]инфо!$C$15:$C$28,[1]инфо!$A$15:$A$28,F790)*H789</f>
        <v/>
      </c>
    </row>
    <row r="791">
      <c r="A791" s="71">
        <f>A789+1</f>
        <v/>
      </c>
      <c r="B791" s="89" t="n"/>
      <c r="C791" s="72" t="n"/>
      <c r="D791" s="73" t="n"/>
      <c r="E791" s="91" t="n"/>
      <c r="F791" s="67" t="n"/>
      <c r="G791" s="74" t="n"/>
      <c r="H791" s="55" t="n"/>
      <c r="I791" s="55" t="n"/>
      <c r="J791" s="55" t="n"/>
      <c r="K791" s="55" t="n"/>
      <c r="L791" s="55" t="n"/>
      <c r="M791" s="55" t="n"/>
      <c r="N791" s="67" t="n"/>
      <c r="O791" s="74" t="n"/>
      <c r="P791" s="74" t="n"/>
      <c r="Q791" s="74" t="n"/>
      <c r="R791" s="74" t="n"/>
      <c r="S791" s="70">
        <f>SUM(O791:R791)</f>
        <v/>
      </c>
      <c r="T791" s="72" t="n"/>
      <c r="U791" s="73" t="n"/>
      <c r="V791" s="74" t="n"/>
      <c r="W791" s="68" t="n"/>
      <c r="X791" s="74" t="n"/>
      <c r="Y791" s="72" t="n"/>
      <c r="Z791" s="74" t="n"/>
      <c r="AA791" s="74" t="n"/>
      <c r="AB791" s="74" t="n"/>
      <c r="AC791" s="74" t="n"/>
      <c r="AD791" s="73" t="n"/>
      <c r="AE791" s="75">
        <f>SUMIFS([1]инфо!$D$15:$D$28,[1]инфо!$A$15:$A$28,F791)</f>
        <v/>
      </c>
      <c r="AF791" s="62">
        <f>IF(H791=0,0,N791/H791)</f>
        <v/>
      </c>
      <c r="AG791" s="76">
        <f>AF791-AE791</f>
        <v/>
      </c>
      <c r="AH791" s="75">
        <f>SUMIFS([1]инфо!$E$15:$E$28,[1]инфо!$A$15:$A$28,F791)</f>
        <v/>
      </c>
      <c r="AI791" s="64">
        <f>IF(H791=0,0,S791/H791)</f>
        <v/>
      </c>
      <c r="AJ791" s="76">
        <f>AI791-AH791</f>
        <v/>
      </c>
      <c r="AK791" s="75">
        <f>SUMIFS([1]инфо!$F$15:$F$28,[1]инфо!$A$15:$A$28,F791)</f>
        <v/>
      </c>
      <c r="AL791" s="64">
        <f>IF(H791=0,0,Y791/H791)</f>
        <v/>
      </c>
      <c r="AM791" s="76">
        <f>AL791-AK791</f>
        <v/>
      </c>
      <c r="AN791" s="75">
        <f>SUMIFS([1]инфо!$G$15:$G$28,[1]инфо!$A$15:$A$28,F791)</f>
        <v/>
      </c>
      <c r="AO791" s="64">
        <f>IF(H791=0,0,AA791/H791)</f>
        <v/>
      </c>
      <c r="AP791" s="76">
        <f>AO791-AN791</f>
        <v/>
      </c>
      <c r="AQ791" s="75">
        <f>SUMIFS([1]инфо!$H$15:$H$28,[1]инфо!$A$15:$A$28,F791)</f>
        <v/>
      </c>
      <c r="AR791" s="64">
        <f>IF(H790=0,0,AC791/H790)</f>
        <v/>
      </c>
      <c r="AS791" s="76">
        <f>AR791-AQ791</f>
        <v/>
      </c>
      <c r="AT791" s="75">
        <f>SUMIFS([1]инфо!$I$15:$I$28,[1]инфо!$A$15:$A$28,F791)</f>
        <v/>
      </c>
      <c r="AU791" s="62">
        <f>IF(H791=0,0,AD791/H791)</f>
        <v/>
      </c>
      <c r="AV791" s="76">
        <f>AU791-AT791</f>
        <v/>
      </c>
      <c r="AX791" s="70">
        <f>SUMIFS([1]инфо!$C$15:$C$28,[1]инфо!$A$15:$A$28,F791)*H790</f>
        <v/>
      </c>
    </row>
    <row r="792">
      <c r="A792" s="71">
        <f>A790+1</f>
        <v/>
      </c>
      <c r="B792" s="90" t="n"/>
      <c r="C792" s="52" t="n"/>
      <c r="D792" s="53" t="n"/>
      <c r="E792" s="91" t="n"/>
      <c r="F792" s="67" t="n"/>
      <c r="G792" s="58" t="n"/>
      <c r="H792" s="55" t="n"/>
      <c r="I792" s="55" t="n"/>
      <c r="J792" s="55" t="n"/>
      <c r="K792" s="55" t="n"/>
      <c r="L792" s="55" t="n"/>
      <c r="M792" s="55" t="n"/>
      <c r="N792" s="55" t="n"/>
      <c r="O792" s="58" t="n"/>
      <c r="P792" s="58" t="n"/>
      <c r="Q792" s="58" t="n"/>
      <c r="R792" s="58" t="n"/>
      <c r="S792" s="59">
        <f>SUM(O792:R792)</f>
        <v/>
      </c>
      <c r="T792" s="52" t="n"/>
      <c r="U792" s="53" t="n"/>
      <c r="V792" s="58" t="n"/>
      <c r="W792" s="68" t="n"/>
      <c r="X792" s="58" t="n"/>
      <c r="Y792" s="52" t="n"/>
      <c r="Z792" s="58" t="n"/>
      <c r="AA792" s="58" t="n"/>
      <c r="AB792" s="58" t="n"/>
      <c r="AC792" s="58" t="n"/>
      <c r="AD792" s="53" t="n"/>
      <c r="AE792" s="61">
        <f>SUMIFS([1]инфо!$D$15:$D$28,[1]инфо!$A$15:$A$28,F792)</f>
        <v/>
      </c>
      <c r="AF792" s="62">
        <f>IF(H792=0,0,N792/H792)</f>
        <v/>
      </c>
      <c r="AG792" s="63">
        <f>AF792-AE792</f>
        <v/>
      </c>
      <c r="AH792" s="61">
        <f>SUMIFS([1]инфо!$E$15:$E$28,[1]инфо!$A$15:$A$28,F792)</f>
        <v/>
      </c>
      <c r="AI792" s="64">
        <f>IF(H792=0,0,S792/H792)</f>
        <v/>
      </c>
      <c r="AJ792" s="63">
        <f>AI792-AH792</f>
        <v/>
      </c>
      <c r="AK792" s="61">
        <f>SUMIFS([1]инфо!$F$15:$F$28,[1]инфо!$A$15:$A$28,F792)</f>
        <v/>
      </c>
      <c r="AL792" s="64">
        <f>IF(H792=0,0,Y792/H792)</f>
        <v/>
      </c>
      <c r="AM792" s="63">
        <f>AL792-AK792</f>
        <v/>
      </c>
      <c r="AN792" s="61">
        <f>SUMIFS([1]инфо!$G$15:$G$28,[1]инфо!$A$15:$A$28,F792)</f>
        <v/>
      </c>
      <c r="AO792" s="64">
        <f>IF(H792=0,0,AA792/H792)</f>
        <v/>
      </c>
      <c r="AP792" s="63">
        <f>AO792-AN792</f>
        <v/>
      </c>
      <c r="AQ792" s="61">
        <f>SUMIFS([1]инфо!$H$15:$H$28,[1]инфо!$A$15:$A$28,F792)</f>
        <v/>
      </c>
      <c r="AR792" s="62">
        <f>IF(H791=0,0,AC792/H791)</f>
        <v/>
      </c>
      <c r="AS792" s="63">
        <f>AR792-AQ792</f>
        <v/>
      </c>
      <c r="AT792" s="61">
        <f>SUMIFS([1]инфо!$I$15:$I$28,[1]инфо!$A$15:$A$28,F792)</f>
        <v/>
      </c>
      <c r="AU792" s="62">
        <f>IF(H792=0,0,AD792/H792)</f>
        <v/>
      </c>
      <c r="AV792" s="63">
        <f>AU792-AT792</f>
        <v/>
      </c>
      <c r="AX792" s="59">
        <f>SUMIFS([1]инфо!$C$15:$C$28,[1]инфо!$A$15:$A$28,F792)*H791</f>
        <v/>
      </c>
    </row>
    <row r="793">
      <c r="A793" s="71">
        <f>A791+1</f>
        <v/>
      </c>
      <c r="B793" s="90" t="n"/>
      <c r="C793" s="52" t="n"/>
      <c r="D793" s="53" t="n"/>
      <c r="E793" s="91" t="n"/>
      <c r="F793" s="67" t="n"/>
      <c r="G793" s="58" t="n"/>
      <c r="H793" s="56" t="n"/>
      <c r="I793" s="55" t="n"/>
      <c r="J793" s="55" t="n"/>
      <c r="K793" s="55" t="n"/>
      <c r="L793" s="55" t="n"/>
      <c r="M793" s="55" t="n"/>
      <c r="N793" s="55" t="n"/>
      <c r="O793" s="58" t="n"/>
      <c r="P793" s="58" t="n"/>
      <c r="Q793" s="58" t="n"/>
      <c r="R793" s="58" t="n"/>
      <c r="S793" s="59">
        <f>SUM(O793:R793)</f>
        <v/>
      </c>
      <c r="T793" s="52" t="n"/>
      <c r="U793" s="53" t="n"/>
      <c r="V793" s="58" t="n"/>
      <c r="W793" s="68" t="n"/>
      <c r="X793" s="58" t="n"/>
      <c r="Y793" s="52" t="n"/>
      <c r="Z793" s="58" t="n"/>
      <c r="AA793" s="58" t="n"/>
      <c r="AB793" s="58" t="n"/>
      <c r="AC793" s="58" t="n"/>
      <c r="AD793" s="53" t="n"/>
      <c r="AE793" s="61">
        <f>SUMIFS([1]инфо!$D$15:$D$28,[1]инфо!$A$15:$A$28,F793)</f>
        <v/>
      </c>
      <c r="AF793" s="62">
        <f>IF(H793=0,0,N793/H793)</f>
        <v/>
      </c>
      <c r="AG793" s="63">
        <f>AF793-AE793</f>
        <v/>
      </c>
      <c r="AH793" s="61">
        <f>SUMIFS([1]инфо!$E$15:$E$28,[1]инфо!$A$15:$A$28,F793)</f>
        <v/>
      </c>
      <c r="AI793" s="64">
        <f>IF(H793=0,0,S793/H793)</f>
        <v/>
      </c>
      <c r="AJ793" s="63">
        <f>AI793-AH793</f>
        <v/>
      </c>
      <c r="AK793" s="61">
        <f>SUMIFS([1]инфо!$F$15:$F$28,[1]инфо!$A$15:$A$28,F793)</f>
        <v/>
      </c>
      <c r="AL793" s="64">
        <f>IF(H793=0,0,Y793/H793)</f>
        <v/>
      </c>
      <c r="AM793" s="63">
        <f>AL793-AK793</f>
        <v/>
      </c>
      <c r="AN793" s="61">
        <f>SUMIFS([1]инфо!$G$15:$G$28,[1]инфо!$A$15:$A$28,F793)</f>
        <v/>
      </c>
      <c r="AO793" s="64">
        <f>IF(H793=0,0,AA793/H793)</f>
        <v/>
      </c>
      <c r="AP793" s="63">
        <f>AO793-AN793</f>
        <v/>
      </c>
      <c r="AQ793" s="61">
        <f>SUMIFS([1]инфо!$H$15:$H$28,[1]инфо!$A$15:$A$28,F793)</f>
        <v/>
      </c>
      <c r="AR793" s="62">
        <f>IF(H792=0,0,AC793/H792)</f>
        <v/>
      </c>
      <c r="AS793" s="63">
        <f>AR793-AQ793</f>
        <v/>
      </c>
      <c r="AT793" s="61">
        <f>SUMIFS([1]инфо!$I$15:$I$28,[1]инфо!$A$15:$A$28,F793)</f>
        <v/>
      </c>
      <c r="AU793" s="62">
        <f>IF(H793=0,0,AD793/H793)</f>
        <v/>
      </c>
      <c r="AV793" s="63">
        <f>AU793-AT793</f>
        <v/>
      </c>
      <c r="AX793" s="59">
        <f>SUMIFS([1]инфо!$C$15:$C$28,[1]инфо!$A$15:$A$28,F793)*H792</f>
        <v/>
      </c>
    </row>
    <row r="794">
      <c r="A794" s="71">
        <f>A792+1</f>
        <v/>
      </c>
      <c r="B794" s="88" t="n"/>
      <c r="C794" s="77" t="n"/>
      <c r="D794" s="78" t="n"/>
      <c r="E794" s="91" t="n"/>
      <c r="F794" s="67" t="n"/>
      <c r="G794" s="79" t="n"/>
      <c r="H794" s="67" t="n"/>
      <c r="I794" s="55" t="n"/>
      <c r="J794" s="55" t="n"/>
      <c r="K794" s="55" t="n"/>
      <c r="L794" s="55" t="n"/>
      <c r="M794" s="55" t="n"/>
      <c r="N794" s="56" t="n"/>
      <c r="O794" s="79" t="n"/>
      <c r="P794" s="79" t="n"/>
      <c r="Q794" s="79" t="n"/>
      <c r="R794" s="79" t="n"/>
      <c r="S794" s="80">
        <f>SUM(O794:R794)</f>
        <v/>
      </c>
      <c r="T794" s="77" t="n"/>
      <c r="U794" s="78" t="n"/>
      <c r="V794" s="79" t="n"/>
      <c r="W794" s="68" t="n"/>
      <c r="X794" s="79" t="n"/>
      <c r="Y794" s="77" t="n"/>
      <c r="Z794" s="79" t="n"/>
      <c r="AA794" s="79" t="n"/>
      <c r="AB794" s="79" t="n"/>
      <c r="AC794" s="79" t="n"/>
      <c r="AD794" s="78" t="n"/>
      <c r="AE794" s="81">
        <f>SUMIFS([1]инфо!$D$15:$D$28,[1]инфо!$A$15:$A$28,F794)</f>
        <v/>
      </c>
      <c r="AF794" s="62">
        <f>IF(H794=0,0,N794/H794)</f>
        <v/>
      </c>
      <c r="AG794" s="82">
        <f>AF794-AE794</f>
        <v/>
      </c>
      <c r="AH794" s="81">
        <f>SUMIFS([1]инфо!$E$15:$E$28,[1]инфо!$A$15:$A$28,F794)</f>
        <v/>
      </c>
      <c r="AI794" s="64">
        <f>IF(H794=0,0,S794/H794)</f>
        <v/>
      </c>
      <c r="AJ794" s="82">
        <f>AI794-AH794</f>
        <v/>
      </c>
      <c r="AK794" s="81">
        <f>SUMIFS([1]инфо!$F$15:$F$28,[1]инфо!$A$15:$A$28,F794)</f>
        <v/>
      </c>
      <c r="AL794" s="64">
        <f>IF(H794=0,0,Y794/H794)</f>
        <v/>
      </c>
      <c r="AM794" s="82">
        <f>AL794-AK794</f>
        <v/>
      </c>
      <c r="AN794" s="81">
        <f>SUMIFS([1]инфо!$G$15:$G$28,[1]инфо!$A$15:$A$28,F794)</f>
        <v/>
      </c>
      <c r="AO794" s="64">
        <f>IF(H794=0,0,AA794/H794)</f>
        <v/>
      </c>
      <c r="AP794" s="82">
        <f>AO794-AN794</f>
        <v/>
      </c>
      <c r="AQ794" s="81">
        <f>SUMIFS([1]инфо!$H$15:$H$28,[1]инфо!$A$15:$A$28,F794)</f>
        <v/>
      </c>
      <c r="AR794" s="85">
        <f>IF(H793=0,0,AC794/H793)</f>
        <v/>
      </c>
      <c r="AS794" s="82">
        <f>AR794-AQ794</f>
        <v/>
      </c>
      <c r="AT794" s="81">
        <f>SUMIFS([1]инфо!$I$15:$I$28,[1]инфо!$A$15:$A$28,F794)</f>
        <v/>
      </c>
      <c r="AU794" s="62">
        <f>IF(H794=0,0,AD794/H794)</f>
        <v/>
      </c>
      <c r="AV794" s="82">
        <f>AU794-AT794</f>
        <v/>
      </c>
      <c r="AX794" s="80">
        <f>SUMIFS([1]инфо!$C$15:$C$28,[1]инфо!$A$15:$A$28,F794)*H793</f>
        <v/>
      </c>
    </row>
    <row r="795">
      <c r="A795" s="71">
        <f>A793+1</f>
        <v/>
      </c>
      <c r="B795" s="89" t="n"/>
      <c r="C795" s="72" t="n"/>
      <c r="D795" s="73" t="n"/>
      <c r="E795" s="91" t="n"/>
      <c r="F795" s="67" t="n"/>
      <c r="G795" s="74" t="n"/>
      <c r="H795" s="55" t="n"/>
      <c r="I795" s="55" t="n"/>
      <c r="J795" s="55" t="n"/>
      <c r="K795" s="55" t="n"/>
      <c r="L795" s="55" t="n"/>
      <c r="M795" s="55" t="n"/>
      <c r="N795" s="67" t="n"/>
      <c r="O795" s="74" t="n"/>
      <c r="P795" s="74" t="n"/>
      <c r="Q795" s="74" t="n"/>
      <c r="R795" s="74" t="n"/>
      <c r="S795" s="70">
        <f>SUM(O795:R795)</f>
        <v/>
      </c>
      <c r="T795" s="72" t="n"/>
      <c r="U795" s="73" t="n"/>
      <c r="V795" s="74" t="n"/>
      <c r="W795" s="68" t="n"/>
      <c r="X795" s="74" t="n"/>
      <c r="Y795" s="72" t="n"/>
      <c r="Z795" s="74" t="n"/>
      <c r="AA795" s="74" t="n"/>
      <c r="AB795" s="74" t="n"/>
      <c r="AC795" s="74" t="n"/>
      <c r="AD795" s="73" t="n"/>
      <c r="AE795" s="75">
        <f>SUMIFS([1]инфо!$D$15:$D$28,[1]инфо!$A$15:$A$28,F795)</f>
        <v/>
      </c>
      <c r="AF795" s="62">
        <f>IF(H795=0,0,N795/H795)</f>
        <v/>
      </c>
      <c r="AG795" s="76">
        <f>AF795-AE795</f>
        <v/>
      </c>
      <c r="AH795" s="75">
        <f>SUMIFS([1]инфо!$E$15:$E$28,[1]инфо!$A$15:$A$28,F795)</f>
        <v/>
      </c>
      <c r="AI795" s="64">
        <f>IF(H795=0,0,S795/H795)</f>
        <v/>
      </c>
      <c r="AJ795" s="76">
        <f>AI795-AH795</f>
        <v/>
      </c>
      <c r="AK795" s="75">
        <f>SUMIFS([1]инфо!$F$15:$F$28,[1]инфо!$A$15:$A$28,F795)</f>
        <v/>
      </c>
      <c r="AL795" s="64">
        <f>IF(H795=0,0,Y795/H795)</f>
        <v/>
      </c>
      <c r="AM795" s="76">
        <f>AL795-AK795</f>
        <v/>
      </c>
      <c r="AN795" s="75">
        <f>SUMIFS([1]инфо!$G$15:$G$28,[1]инфо!$A$15:$A$28,F795)</f>
        <v/>
      </c>
      <c r="AO795" s="64">
        <f>IF(H795=0,0,AA795/H795)</f>
        <v/>
      </c>
      <c r="AP795" s="76">
        <f>AO795-AN795</f>
        <v/>
      </c>
      <c r="AQ795" s="75">
        <f>SUMIFS([1]инфо!$H$15:$H$28,[1]инфо!$A$15:$A$28,F795)</f>
        <v/>
      </c>
      <c r="AR795" s="64">
        <f>IF(H794=0,0,AC795/H794)</f>
        <v/>
      </c>
      <c r="AS795" s="76">
        <f>AR795-AQ795</f>
        <v/>
      </c>
      <c r="AT795" s="75">
        <f>SUMIFS([1]инфо!$I$15:$I$28,[1]инфо!$A$15:$A$28,F795)</f>
        <v/>
      </c>
      <c r="AU795" s="62">
        <f>IF(H795=0,0,AD795/H795)</f>
        <v/>
      </c>
      <c r="AV795" s="76">
        <f>AU795-AT795</f>
        <v/>
      </c>
      <c r="AX795" s="70">
        <f>SUMIFS([1]инфо!$C$15:$C$28,[1]инфо!$A$15:$A$28,F795)*H794</f>
        <v/>
      </c>
    </row>
    <row r="796">
      <c r="A796" s="71">
        <f>A794+1</f>
        <v/>
      </c>
      <c r="B796" s="90" t="n"/>
      <c r="C796" s="52" t="n"/>
      <c r="D796" s="53" t="n"/>
      <c r="E796" s="91" t="n"/>
      <c r="F796" s="67" t="n"/>
      <c r="G796" s="58" t="n"/>
      <c r="H796" s="55" t="n"/>
      <c r="I796" s="55" t="n"/>
      <c r="J796" s="55" t="n"/>
      <c r="K796" s="55" t="n"/>
      <c r="L796" s="55" t="n"/>
      <c r="M796" s="55" t="n"/>
      <c r="N796" s="55" t="n"/>
      <c r="O796" s="58" t="n"/>
      <c r="P796" s="58" t="n"/>
      <c r="Q796" s="58" t="n"/>
      <c r="R796" s="58" t="n"/>
      <c r="S796" s="59">
        <f>SUM(O796:R796)</f>
        <v/>
      </c>
      <c r="T796" s="52" t="n"/>
      <c r="U796" s="53" t="n"/>
      <c r="V796" s="58" t="n"/>
      <c r="W796" s="68" t="n"/>
      <c r="X796" s="58" t="n"/>
      <c r="Y796" s="52" t="n"/>
      <c r="Z796" s="58" t="n"/>
      <c r="AA796" s="58" t="n"/>
      <c r="AB796" s="58" t="n"/>
      <c r="AC796" s="58" t="n"/>
      <c r="AD796" s="53" t="n"/>
      <c r="AE796" s="61">
        <f>SUMIFS([1]инфо!$D$15:$D$28,[1]инфо!$A$15:$A$28,F796)</f>
        <v/>
      </c>
      <c r="AF796" s="62">
        <f>IF(H796=0,0,N796/H796)</f>
        <v/>
      </c>
      <c r="AG796" s="63">
        <f>AF796-AE796</f>
        <v/>
      </c>
      <c r="AH796" s="61">
        <f>SUMIFS([1]инфо!$E$15:$E$28,[1]инфо!$A$15:$A$28,F796)</f>
        <v/>
      </c>
      <c r="AI796" s="64">
        <f>IF(H796=0,0,S796/H796)</f>
        <v/>
      </c>
      <c r="AJ796" s="63">
        <f>AI796-AH796</f>
        <v/>
      </c>
      <c r="AK796" s="61">
        <f>SUMIFS([1]инфо!$F$15:$F$28,[1]инфо!$A$15:$A$28,F796)</f>
        <v/>
      </c>
      <c r="AL796" s="64">
        <f>IF(H796=0,0,Y796/H796)</f>
        <v/>
      </c>
      <c r="AM796" s="63">
        <f>AL796-AK796</f>
        <v/>
      </c>
      <c r="AN796" s="61">
        <f>SUMIFS([1]инфо!$G$15:$G$28,[1]инфо!$A$15:$A$28,F796)</f>
        <v/>
      </c>
      <c r="AO796" s="64">
        <f>IF(H796=0,0,AA796/H796)</f>
        <v/>
      </c>
      <c r="AP796" s="63">
        <f>AO796-AN796</f>
        <v/>
      </c>
      <c r="AQ796" s="61">
        <f>SUMIFS([1]инфо!$H$15:$H$28,[1]инфо!$A$15:$A$28,F796)</f>
        <v/>
      </c>
      <c r="AR796" s="62">
        <f>IF(H795=0,0,AC796/H795)</f>
        <v/>
      </c>
      <c r="AS796" s="63">
        <f>AR796-AQ796</f>
        <v/>
      </c>
      <c r="AT796" s="61">
        <f>SUMIFS([1]инфо!$I$15:$I$28,[1]инфо!$A$15:$A$28,F796)</f>
        <v/>
      </c>
      <c r="AU796" s="62">
        <f>IF(H796=0,0,AD796/H796)</f>
        <v/>
      </c>
      <c r="AV796" s="63">
        <f>AU796-AT796</f>
        <v/>
      </c>
      <c r="AX796" s="59">
        <f>SUMIFS([1]инфо!$C$15:$C$28,[1]инфо!$A$15:$A$28,F796)*H795</f>
        <v/>
      </c>
    </row>
    <row r="797">
      <c r="A797" s="71">
        <f>A795+1</f>
        <v/>
      </c>
      <c r="B797" s="90" t="n"/>
      <c r="C797" s="52" t="n"/>
      <c r="D797" s="53" t="n"/>
      <c r="E797" s="91" t="n"/>
      <c r="F797" s="67" t="n"/>
      <c r="G797" s="58" t="n"/>
      <c r="H797" s="56" t="n"/>
      <c r="I797" s="55" t="n"/>
      <c r="J797" s="55" t="n"/>
      <c r="K797" s="55" t="n"/>
      <c r="L797" s="55" t="n"/>
      <c r="M797" s="55" t="n"/>
      <c r="N797" s="55" t="n"/>
      <c r="O797" s="58" t="n"/>
      <c r="P797" s="58" t="n"/>
      <c r="Q797" s="58" t="n"/>
      <c r="R797" s="58" t="n"/>
      <c r="S797" s="59">
        <f>SUM(O797:R797)</f>
        <v/>
      </c>
      <c r="T797" s="52" t="n"/>
      <c r="U797" s="53" t="n"/>
      <c r="V797" s="58" t="n"/>
      <c r="W797" s="68" t="n"/>
      <c r="X797" s="58" t="n"/>
      <c r="Y797" s="52" t="n"/>
      <c r="Z797" s="58" t="n"/>
      <c r="AA797" s="58" t="n"/>
      <c r="AB797" s="58" t="n"/>
      <c r="AC797" s="58" t="n"/>
      <c r="AD797" s="53" t="n"/>
      <c r="AE797" s="61">
        <f>SUMIFS([1]инфо!$D$15:$D$28,[1]инфо!$A$15:$A$28,F797)</f>
        <v/>
      </c>
      <c r="AF797" s="62">
        <f>IF(H797=0,0,N797/H797)</f>
        <v/>
      </c>
      <c r="AG797" s="63">
        <f>AF797-AE797</f>
        <v/>
      </c>
      <c r="AH797" s="61">
        <f>SUMIFS([1]инфо!$E$15:$E$28,[1]инфо!$A$15:$A$28,F797)</f>
        <v/>
      </c>
      <c r="AI797" s="64">
        <f>IF(H797=0,0,S797/H797)</f>
        <v/>
      </c>
      <c r="AJ797" s="63">
        <f>AI797-AH797</f>
        <v/>
      </c>
      <c r="AK797" s="61">
        <f>SUMIFS([1]инфо!$F$15:$F$28,[1]инфо!$A$15:$A$28,F797)</f>
        <v/>
      </c>
      <c r="AL797" s="64">
        <f>IF(H797=0,0,Y797/H797)</f>
        <v/>
      </c>
      <c r="AM797" s="63">
        <f>AL797-AK797</f>
        <v/>
      </c>
      <c r="AN797" s="61">
        <f>SUMIFS([1]инфо!$G$15:$G$28,[1]инфо!$A$15:$A$28,F797)</f>
        <v/>
      </c>
      <c r="AO797" s="64">
        <f>IF(H797=0,0,AA797/H797)</f>
        <v/>
      </c>
      <c r="AP797" s="63">
        <f>AO797-AN797</f>
        <v/>
      </c>
      <c r="AQ797" s="61">
        <f>SUMIFS([1]инфо!$H$15:$H$28,[1]инфо!$A$15:$A$28,F797)</f>
        <v/>
      </c>
      <c r="AR797" s="62">
        <f>IF(H796=0,0,AC797/H796)</f>
        <v/>
      </c>
      <c r="AS797" s="63">
        <f>AR797-AQ797</f>
        <v/>
      </c>
      <c r="AT797" s="61">
        <f>SUMIFS([1]инфо!$I$15:$I$28,[1]инфо!$A$15:$A$28,F797)</f>
        <v/>
      </c>
      <c r="AU797" s="62">
        <f>IF(H797=0,0,AD797/H797)</f>
        <v/>
      </c>
      <c r="AV797" s="63">
        <f>AU797-AT797</f>
        <v/>
      </c>
      <c r="AX797" s="59">
        <f>SUMIFS([1]инфо!$C$15:$C$28,[1]инфо!$A$15:$A$28,F797)*H796</f>
        <v/>
      </c>
    </row>
    <row r="798">
      <c r="A798" s="71">
        <f>A796+1</f>
        <v/>
      </c>
      <c r="B798" s="88" t="n"/>
      <c r="C798" s="77" t="n"/>
      <c r="D798" s="78" t="n"/>
      <c r="E798" s="91" t="n"/>
      <c r="F798" s="67" t="n"/>
      <c r="G798" s="79" t="n"/>
      <c r="H798" s="67" t="n"/>
      <c r="I798" s="55" t="n"/>
      <c r="J798" s="55" t="n"/>
      <c r="K798" s="55" t="n"/>
      <c r="L798" s="55" t="n"/>
      <c r="M798" s="55" t="n"/>
      <c r="N798" s="56" t="n"/>
      <c r="O798" s="79" t="n"/>
      <c r="P798" s="79" t="n"/>
      <c r="Q798" s="79" t="n"/>
      <c r="R798" s="79" t="n"/>
      <c r="S798" s="80">
        <f>SUM(O798:R798)</f>
        <v/>
      </c>
      <c r="T798" s="77" t="n"/>
      <c r="U798" s="78" t="n"/>
      <c r="V798" s="79" t="n"/>
      <c r="W798" s="68" t="n"/>
      <c r="X798" s="79" t="n"/>
      <c r="Y798" s="77" t="n"/>
      <c r="Z798" s="79" t="n"/>
      <c r="AA798" s="79" t="n"/>
      <c r="AB798" s="79" t="n"/>
      <c r="AC798" s="79" t="n"/>
      <c r="AD798" s="78" t="n"/>
      <c r="AE798" s="81">
        <f>SUMIFS([1]инфо!$D$15:$D$28,[1]инфо!$A$15:$A$28,F798)</f>
        <v/>
      </c>
      <c r="AF798" s="62">
        <f>IF(H798=0,0,N798/H798)</f>
        <v/>
      </c>
      <c r="AG798" s="82">
        <f>AF798-AE798</f>
        <v/>
      </c>
      <c r="AH798" s="81">
        <f>SUMIFS([1]инфо!$E$15:$E$28,[1]инфо!$A$15:$A$28,F798)</f>
        <v/>
      </c>
      <c r="AI798" s="64">
        <f>IF(H798=0,0,S798/H798)</f>
        <v/>
      </c>
      <c r="AJ798" s="82">
        <f>AI798-AH798</f>
        <v/>
      </c>
      <c r="AK798" s="81">
        <f>SUMIFS([1]инфо!$F$15:$F$28,[1]инфо!$A$15:$A$28,F798)</f>
        <v/>
      </c>
      <c r="AL798" s="64">
        <f>IF(H798=0,0,Y798/H798)</f>
        <v/>
      </c>
      <c r="AM798" s="82">
        <f>AL798-AK798</f>
        <v/>
      </c>
      <c r="AN798" s="81">
        <f>SUMIFS([1]инфо!$G$15:$G$28,[1]инфо!$A$15:$A$28,F798)</f>
        <v/>
      </c>
      <c r="AO798" s="64">
        <f>IF(H798=0,0,AA798/H798)</f>
        <v/>
      </c>
      <c r="AP798" s="82">
        <f>AO798-AN798</f>
        <v/>
      </c>
      <c r="AQ798" s="81">
        <f>SUMIFS([1]инфо!$H$15:$H$28,[1]инфо!$A$15:$A$28,F798)</f>
        <v/>
      </c>
      <c r="AR798" s="85">
        <f>IF(H797=0,0,AC798/H797)</f>
        <v/>
      </c>
      <c r="AS798" s="82">
        <f>AR798-AQ798</f>
        <v/>
      </c>
      <c r="AT798" s="81">
        <f>SUMIFS([1]инфо!$I$15:$I$28,[1]инфо!$A$15:$A$28,F798)</f>
        <v/>
      </c>
      <c r="AU798" s="62">
        <f>IF(H798=0,0,AD798/H798)</f>
        <v/>
      </c>
      <c r="AV798" s="82">
        <f>AU798-AT798</f>
        <v/>
      </c>
      <c r="AX798" s="80">
        <f>SUMIFS([1]инфо!$C$15:$C$28,[1]инфо!$A$15:$A$28,F798)*H797</f>
        <v/>
      </c>
    </row>
    <row r="799">
      <c r="A799" s="71">
        <f>A797+1</f>
        <v/>
      </c>
      <c r="B799" s="89" t="n"/>
      <c r="C799" s="72" t="n"/>
      <c r="D799" s="73" t="n"/>
      <c r="E799" s="91" t="n"/>
      <c r="F799" s="67" t="n"/>
      <c r="G799" s="74" t="n"/>
      <c r="H799" s="55" t="n"/>
      <c r="I799" s="55" t="n"/>
      <c r="J799" s="55" t="n"/>
      <c r="K799" s="55" t="n"/>
      <c r="L799" s="55" t="n"/>
      <c r="M799" s="55" t="n"/>
      <c r="N799" s="67" t="n"/>
      <c r="O799" s="74" t="n"/>
      <c r="P799" s="74" t="n"/>
      <c r="Q799" s="74" t="n"/>
      <c r="R799" s="74" t="n"/>
      <c r="S799" s="70">
        <f>SUM(O799:R799)</f>
        <v/>
      </c>
      <c r="T799" s="72" t="n"/>
      <c r="U799" s="73" t="n"/>
      <c r="V799" s="74" t="n"/>
      <c r="W799" s="68" t="n"/>
      <c r="X799" s="74" t="n"/>
      <c r="Y799" s="72" t="n"/>
      <c r="Z799" s="74" t="n"/>
      <c r="AA799" s="74" t="n"/>
      <c r="AB799" s="74" t="n"/>
      <c r="AC799" s="74" t="n"/>
      <c r="AD799" s="73" t="n"/>
      <c r="AE799" s="75">
        <f>SUMIFS([1]инфо!$D$15:$D$28,[1]инфо!$A$15:$A$28,F799)</f>
        <v/>
      </c>
      <c r="AF799" s="62">
        <f>IF(H799=0,0,N799/H799)</f>
        <v/>
      </c>
      <c r="AG799" s="76">
        <f>AF799-AE799</f>
        <v/>
      </c>
      <c r="AH799" s="75">
        <f>SUMIFS([1]инфо!$E$15:$E$28,[1]инфо!$A$15:$A$28,F799)</f>
        <v/>
      </c>
      <c r="AI799" s="64">
        <f>IF(H799=0,0,S799/H799)</f>
        <v/>
      </c>
      <c r="AJ799" s="76">
        <f>AI799-AH799</f>
        <v/>
      </c>
      <c r="AK799" s="75">
        <f>SUMIFS([1]инфо!$F$15:$F$28,[1]инфо!$A$15:$A$28,F799)</f>
        <v/>
      </c>
      <c r="AL799" s="64">
        <f>IF(H799=0,0,Y799/H799)</f>
        <v/>
      </c>
      <c r="AM799" s="76">
        <f>AL799-AK799</f>
        <v/>
      </c>
      <c r="AN799" s="75">
        <f>SUMIFS([1]инфо!$G$15:$G$28,[1]инфо!$A$15:$A$28,F799)</f>
        <v/>
      </c>
      <c r="AO799" s="64">
        <f>IF(H799=0,0,AA799/H799)</f>
        <v/>
      </c>
      <c r="AP799" s="76">
        <f>AO799-AN799</f>
        <v/>
      </c>
      <c r="AQ799" s="75">
        <f>SUMIFS([1]инфо!$H$15:$H$28,[1]инфо!$A$15:$A$28,F799)</f>
        <v/>
      </c>
      <c r="AR799" s="64">
        <f>IF(H798=0,0,AC799/H798)</f>
        <v/>
      </c>
      <c r="AS799" s="76">
        <f>AR799-AQ799</f>
        <v/>
      </c>
      <c r="AT799" s="75">
        <f>SUMIFS([1]инфо!$I$15:$I$28,[1]инфо!$A$15:$A$28,F799)</f>
        <v/>
      </c>
      <c r="AU799" s="62">
        <f>IF(H799=0,0,AD799/H799)</f>
        <v/>
      </c>
      <c r="AV799" s="76">
        <f>AU799-AT799</f>
        <v/>
      </c>
      <c r="AX799" s="70">
        <f>SUMIFS([1]инфо!$C$15:$C$28,[1]инфо!$A$15:$A$28,F799)*H798</f>
        <v/>
      </c>
    </row>
    <row r="800">
      <c r="A800" s="71">
        <f>A798+1</f>
        <v/>
      </c>
      <c r="B800" s="90" t="n"/>
      <c r="C800" s="52" t="n"/>
      <c r="D800" s="53" t="n"/>
      <c r="E800" s="91" t="n"/>
      <c r="F800" s="67" t="n"/>
      <c r="G800" s="58" t="n"/>
      <c r="H800" s="55" t="n"/>
      <c r="I800" s="55" t="n"/>
      <c r="J800" s="55" t="n"/>
      <c r="K800" s="55" t="n"/>
      <c r="L800" s="55" t="n"/>
      <c r="M800" s="55" t="n"/>
      <c r="N800" s="55" t="n"/>
      <c r="O800" s="58" t="n"/>
      <c r="P800" s="58" t="n"/>
      <c r="Q800" s="58" t="n"/>
      <c r="R800" s="58" t="n"/>
      <c r="S800" s="59">
        <f>SUM(O800:R800)</f>
        <v/>
      </c>
      <c r="T800" s="52" t="n"/>
      <c r="U800" s="53" t="n"/>
      <c r="V800" s="58" t="n"/>
      <c r="W800" s="68" t="n"/>
      <c r="X800" s="58" t="n"/>
      <c r="Y800" s="52" t="n"/>
      <c r="Z800" s="58" t="n"/>
      <c r="AA800" s="58" t="n"/>
      <c r="AB800" s="58" t="n"/>
      <c r="AC800" s="58" t="n"/>
      <c r="AD800" s="53" t="n"/>
      <c r="AE800" s="61">
        <f>SUMIFS([1]инфо!$D$15:$D$28,[1]инфо!$A$15:$A$28,F800)</f>
        <v/>
      </c>
      <c r="AF800" s="62">
        <f>IF(H800=0,0,N800/H800)</f>
        <v/>
      </c>
      <c r="AG800" s="63">
        <f>AF800-AE800</f>
        <v/>
      </c>
      <c r="AH800" s="61">
        <f>SUMIFS([1]инфо!$E$15:$E$28,[1]инфо!$A$15:$A$28,F800)</f>
        <v/>
      </c>
      <c r="AI800" s="64">
        <f>IF(H800=0,0,S800/H800)</f>
        <v/>
      </c>
      <c r="AJ800" s="63">
        <f>AI800-AH800</f>
        <v/>
      </c>
      <c r="AK800" s="61">
        <f>SUMIFS([1]инфо!$F$15:$F$28,[1]инфо!$A$15:$A$28,F800)</f>
        <v/>
      </c>
      <c r="AL800" s="64">
        <f>IF(H800=0,0,Y800/H800)</f>
        <v/>
      </c>
      <c r="AM800" s="63">
        <f>AL800-AK800</f>
        <v/>
      </c>
      <c r="AN800" s="61">
        <f>SUMIFS([1]инфо!$G$15:$G$28,[1]инфо!$A$15:$A$28,F800)</f>
        <v/>
      </c>
      <c r="AO800" s="64">
        <f>IF(H800=0,0,AA800/H800)</f>
        <v/>
      </c>
      <c r="AP800" s="63">
        <f>AO800-AN800</f>
        <v/>
      </c>
      <c r="AQ800" s="61">
        <f>SUMIFS([1]инфо!$H$15:$H$28,[1]инфо!$A$15:$A$28,F800)</f>
        <v/>
      </c>
      <c r="AR800" s="62">
        <f>IF(H799=0,0,AC800/H799)</f>
        <v/>
      </c>
      <c r="AS800" s="63">
        <f>AR800-AQ800</f>
        <v/>
      </c>
      <c r="AT800" s="61">
        <f>SUMIFS([1]инфо!$I$15:$I$28,[1]инфо!$A$15:$A$28,F800)</f>
        <v/>
      </c>
      <c r="AU800" s="62">
        <f>IF(H800=0,0,AD800/H800)</f>
        <v/>
      </c>
      <c r="AV800" s="63">
        <f>AU800-AT800</f>
        <v/>
      </c>
      <c r="AX800" s="59">
        <f>SUMIFS([1]инфо!$C$15:$C$28,[1]инфо!$A$15:$A$28,F800)*H799</f>
        <v/>
      </c>
    </row>
    <row r="801">
      <c r="A801" s="71">
        <f>A799+1</f>
        <v/>
      </c>
      <c r="B801" s="90" t="n"/>
      <c r="C801" s="52" t="n"/>
      <c r="D801" s="53" t="n"/>
      <c r="E801" s="91" t="n"/>
      <c r="F801" s="67" t="n"/>
      <c r="G801" s="58" t="n"/>
      <c r="H801" s="56" t="n"/>
      <c r="I801" s="55" t="n"/>
      <c r="J801" s="55" t="n"/>
      <c r="K801" s="55" t="n"/>
      <c r="L801" s="55" t="n"/>
      <c r="M801" s="55" t="n"/>
      <c r="N801" s="55" t="n"/>
      <c r="O801" s="58" t="n"/>
      <c r="P801" s="58" t="n"/>
      <c r="Q801" s="58" t="n"/>
      <c r="R801" s="58" t="n"/>
      <c r="S801" s="59">
        <f>SUM(O801:R801)</f>
        <v/>
      </c>
      <c r="T801" s="52" t="n"/>
      <c r="U801" s="53" t="n"/>
      <c r="V801" s="58" t="n"/>
      <c r="W801" s="68" t="n"/>
      <c r="X801" s="58" t="n"/>
      <c r="Y801" s="52" t="n"/>
      <c r="Z801" s="58" t="n"/>
      <c r="AA801" s="58" t="n"/>
      <c r="AB801" s="58" t="n"/>
      <c r="AC801" s="58" t="n"/>
      <c r="AD801" s="53" t="n"/>
      <c r="AE801" s="61">
        <f>SUMIFS([1]инфо!$D$15:$D$28,[1]инфо!$A$15:$A$28,F801)</f>
        <v/>
      </c>
      <c r="AF801" s="62">
        <f>IF(H801=0,0,N801/H801)</f>
        <v/>
      </c>
      <c r="AG801" s="63">
        <f>AF801-AE801</f>
        <v/>
      </c>
      <c r="AH801" s="61">
        <f>SUMIFS([1]инфо!$E$15:$E$28,[1]инфо!$A$15:$A$28,F801)</f>
        <v/>
      </c>
      <c r="AI801" s="64">
        <f>IF(H801=0,0,S801/H801)</f>
        <v/>
      </c>
      <c r="AJ801" s="63">
        <f>AI801-AH801</f>
        <v/>
      </c>
      <c r="AK801" s="61">
        <f>SUMIFS([1]инфо!$F$15:$F$28,[1]инфо!$A$15:$A$28,F801)</f>
        <v/>
      </c>
      <c r="AL801" s="64">
        <f>IF(H801=0,0,Y801/H801)</f>
        <v/>
      </c>
      <c r="AM801" s="63">
        <f>AL801-AK801</f>
        <v/>
      </c>
      <c r="AN801" s="61">
        <f>SUMIFS([1]инфо!$G$15:$G$28,[1]инфо!$A$15:$A$28,F801)</f>
        <v/>
      </c>
      <c r="AO801" s="64">
        <f>IF(H801=0,0,AA801/H801)</f>
        <v/>
      </c>
      <c r="AP801" s="63">
        <f>AO801-AN801</f>
        <v/>
      </c>
      <c r="AQ801" s="61">
        <f>SUMIFS([1]инфо!$H$15:$H$28,[1]инфо!$A$15:$A$28,F801)</f>
        <v/>
      </c>
      <c r="AR801" s="62">
        <f>IF(H800=0,0,AC801/H800)</f>
        <v/>
      </c>
      <c r="AS801" s="63">
        <f>AR801-AQ801</f>
        <v/>
      </c>
      <c r="AT801" s="61">
        <f>SUMIFS([1]инфо!$I$15:$I$28,[1]инфо!$A$15:$A$28,F801)</f>
        <v/>
      </c>
      <c r="AU801" s="62">
        <f>IF(H801=0,0,AD801/H801)</f>
        <v/>
      </c>
      <c r="AV801" s="63">
        <f>AU801-AT801</f>
        <v/>
      </c>
      <c r="AX801" s="59">
        <f>SUMIFS([1]инфо!$C$15:$C$28,[1]инфо!$A$15:$A$28,F801)*H800</f>
        <v/>
      </c>
    </row>
    <row r="802">
      <c r="A802" s="71">
        <f>A800+1</f>
        <v/>
      </c>
      <c r="B802" s="88" t="n"/>
      <c r="C802" s="77" t="n"/>
      <c r="D802" s="78" t="n"/>
      <c r="E802" s="91" t="n"/>
      <c r="F802" s="67" t="n"/>
      <c r="G802" s="79" t="n"/>
      <c r="H802" s="67" t="n"/>
      <c r="I802" s="55" t="n"/>
      <c r="J802" s="55" t="n"/>
      <c r="K802" s="55" t="n"/>
      <c r="L802" s="55" t="n"/>
      <c r="M802" s="55" t="n"/>
      <c r="N802" s="56" t="n"/>
      <c r="O802" s="79" t="n"/>
      <c r="P802" s="79" t="n"/>
      <c r="Q802" s="79" t="n"/>
      <c r="R802" s="79" t="n"/>
      <c r="S802" s="80">
        <f>SUM(O802:R802)</f>
        <v/>
      </c>
      <c r="T802" s="77" t="n"/>
      <c r="U802" s="78" t="n"/>
      <c r="V802" s="79" t="n"/>
      <c r="W802" s="68" t="n"/>
      <c r="X802" s="79" t="n"/>
      <c r="Y802" s="77" t="n"/>
      <c r="Z802" s="79" t="n"/>
      <c r="AA802" s="79" t="n"/>
      <c r="AB802" s="79" t="n"/>
      <c r="AC802" s="79" t="n"/>
      <c r="AD802" s="78" t="n"/>
      <c r="AE802" s="81">
        <f>SUMIFS([1]инфо!$D$15:$D$28,[1]инфо!$A$15:$A$28,F802)</f>
        <v/>
      </c>
      <c r="AF802" s="62">
        <f>IF(H802=0,0,N802/H802)</f>
        <v/>
      </c>
      <c r="AG802" s="82">
        <f>AF802-AE802</f>
        <v/>
      </c>
      <c r="AH802" s="81">
        <f>SUMIFS([1]инфо!$E$15:$E$28,[1]инфо!$A$15:$A$28,F802)</f>
        <v/>
      </c>
      <c r="AI802" s="64">
        <f>IF(H802=0,0,S802/H802)</f>
        <v/>
      </c>
      <c r="AJ802" s="82">
        <f>AI802-AH802</f>
        <v/>
      </c>
      <c r="AK802" s="81">
        <f>SUMIFS([1]инфо!$F$15:$F$28,[1]инфо!$A$15:$A$28,F802)</f>
        <v/>
      </c>
      <c r="AL802" s="64">
        <f>IF(H802=0,0,Y802/H802)</f>
        <v/>
      </c>
      <c r="AM802" s="82">
        <f>AL802-AK802</f>
        <v/>
      </c>
      <c r="AN802" s="81">
        <f>SUMIFS([1]инфо!$G$15:$G$28,[1]инфо!$A$15:$A$28,F802)</f>
        <v/>
      </c>
      <c r="AO802" s="64">
        <f>IF(H802=0,0,AA802/H802)</f>
        <v/>
      </c>
      <c r="AP802" s="82">
        <f>AO802-AN802</f>
        <v/>
      </c>
      <c r="AQ802" s="81">
        <f>SUMIFS([1]инфо!$H$15:$H$28,[1]инфо!$A$15:$A$28,F802)</f>
        <v/>
      </c>
      <c r="AR802" s="85">
        <f>IF(H801=0,0,AC802/H801)</f>
        <v/>
      </c>
      <c r="AS802" s="82">
        <f>AR802-AQ802</f>
        <v/>
      </c>
      <c r="AT802" s="81">
        <f>SUMIFS([1]инфо!$I$15:$I$28,[1]инфо!$A$15:$A$28,F802)</f>
        <v/>
      </c>
      <c r="AU802" s="62">
        <f>IF(H802=0,0,AD802/H802)</f>
        <v/>
      </c>
      <c r="AV802" s="82">
        <f>AU802-AT802</f>
        <v/>
      </c>
      <c r="AX802" s="80">
        <f>SUMIFS([1]инфо!$C$15:$C$28,[1]инфо!$A$15:$A$28,F802)*H801</f>
        <v/>
      </c>
    </row>
    <row r="803">
      <c r="A803" s="71">
        <f>A801+1</f>
        <v/>
      </c>
      <c r="B803" s="89" t="n"/>
      <c r="C803" s="72" t="n"/>
      <c r="D803" s="73" t="n"/>
      <c r="E803" s="91" t="n"/>
      <c r="F803" s="67" t="n"/>
      <c r="G803" s="74" t="n"/>
      <c r="H803" s="55" t="n"/>
      <c r="I803" s="55" t="n"/>
      <c r="J803" s="55" t="n"/>
      <c r="K803" s="55" t="n"/>
      <c r="L803" s="55" t="n"/>
      <c r="M803" s="55" t="n"/>
      <c r="N803" s="67" t="n"/>
      <c r="O803" s="74" t="n"/>
      <c r="P803" s="74" t="n"/>
      <c r="Q803" s="74" t="n"/>
      <c r="R803" s="74" t="n"/>
      <c r="S803" s="70">
        <f>SUM(O803:R803)</f>
        <v/>
      </c>
      <c r="T803" s="72" t="n"/>
      <c r="U803" s="73" t="n"/>
      <c r="V803" s="74" t="n"/>
      <c r="W803" s="68" t="n"/>
      <c r="X803" s="74" t="n"/>
      <c r="Y803" s="72" t="n"/>
      <c r="Z803" s="74" t="n"/>
      <c r="AA803" s="74" t="n"/>
      <c r="AB803" s="74" t="n"/>
      <c r="AC803" s="74" t="n"/>
      <c r="AD803" s="73" t="n"/>
      <c r="AE803" s="75">
        <f>SUMIFS([1]инфо!$D$15:$D$28,[1]инфо!$A$15:$A$28,F803)</f>
        <v/>
      </c>
      <c r="AF803" s="62">
        <f>IF(H803=0,0,N803/H803)</f>
        <v/>
      </c>
      <c r="AG803" s="76">
        <f>AF803-AE803</f>
        <v/>
      </c>
      <c r="AH803" s="75">
        <f>SUMIFS([1]инфо!$E$15:$E$28,[1]инфо!$A$15:$A$28,F803)</f>
        <v/>
      </c>
      <c r="AI803" s="64">
        <f>IF(H803=0,0,S803/H803)</f>
        <v/>
      </c>
      <c r="AJ803" s="76">
        <f>AI803-AH803</f>
        <v/>
      </c>
      <c r="AK803" s="75">
        <f>SUMIFS([1]инфо!$F$15:$F$28,[1]инфо!$A$15:$A$28,F803)</f>
        <v/>
      </c>
      <c r="AL803" s="64">
        <f>IF(H803=0,0,Y803/H803)</f>
        <v/>
      </c>
      <c r="AM803" s="76">
        <f>AL803-AK803</f>
        <v/>
      </c>
      <c r="AN803" s="75">
        <f>SUMIFS([1]инфо!$G$15:$G$28,[1]инфо!$A$15:$A$28,F803)</f>
        <v/>
      </c>
      <c r="AO803" s="64">
        <f>IF(H803=0,0,AA803/H803)</f>
        <v/>
      </c>
      <c r="AP803" s="76">
        <f>AO803-AN803</f>
        <v/>
      </c>
      <c r="AQ803" s="75">
        <f>SUMIFS([1]инфо!$H$15:$H$28,[1]инфо!$A$15:$A$28,F803)</f>
        <v/>
      </c>
      <c r="AR803" s="64">
        <f>IF(H802=0,0,AC803/H802)</f>
        <v/>
      </c>
      <c r="AS803" s="76">
        <f>AR803-AQ803</f>
        <v/>
      </c>
      <c r="AT803" s="75">
        <f>SUMIFS([1]инфо!$I$15:$I$28,[1]инфо!$A$15:$A$28,F803)</f>
        <v/>
      </c>
      <c r="AU803" s="62">
        <f>IF(H803=0,0,AD803/H803)</f>
        <v/>
      </c>
      <c r="AV803" s="76">
        <f>AU803-AT803</f>
        <v/>
      </c>
      <c r="AX803" s="70">
        <f>SUMIFS([1]инфо!$C$15:$C$28,[1]инфо!$A$15:$A$28,F803)*H802</f>
        <v/>
      </c>
    </row>
    <row r="804">
      <c r="A804" s="71">
        <f>A802+1</f>
        <v/>
      </c>
      <c r="B804" s="90" t="n"/>
      <c r="C804" s="52" t="n"/>
      <c r="D804" s="53" t="n"/>
      <c r="E804" s="91" t="n"/>
      <c r="F804" s="67" t="n"/>
      <c r="G804" s="58" t="n"/>
      <c r="H804" s="55" t="n"/>
      <c r="I804" s="55" t="n"/>
      <c r="J804" s="55" t="n"/>
      <c r="K804" s="55" t="n"/>
      <c r="L804" s="55" t="n"/>
      <c r="M804" s="55" t="n"/>
      <c r="N804" s="55" t="n"/>
      <c r="O804" s="58" t="n"/>
      <c r="P804" s="58" t="n"/>
      <c r="Q804" s="58" t="n"/>
      <c r="R804" s="58" t="n"/>
      <c r="S804" s="59">
        <f>SUM(O804:R804)</f>
        <v/>
      </c>
      <c r="T804" s="52" t="n"/>
      <c r="U804" s="53" t="n"/>
      <c r="V804" s="58" t="n"/>
      <c r="W804" s="68" t="n"/>
      <c r="X804" s="58" t="n"/>
      <c r="Y804" s="52" t="n"/>
      <c r="Z804" s="58" t="n"/>
      <c r="AA804" s="58" t="n"/>
      <c r="AB804" s="58" t="n"/>
      <c r="AC804" s="58" t="n"/>
      <c r="AD804" s="53" t="n"/>
      <c r="AE804" s="61">
        <f>SUMIFS([1]инфо!$D$15:$D$28,[1]инфо!$A$15:$A$28,F804)</f>
        <v/>
      </c>
      <c r="AF804" s="62">
        <f>IF(H804=0,0,N804/H804)</f>
        <v/>
      </c>
      <c r="AG804" s="63">
        <f>AF804-AE804</f>
        <v/>
      </c>
      <c r="AH804" s="61">
        <f>SUMIFS([1]инфо!$E$15:$E$28,[1]инфо!$A$15:$A$28,F804)</f>
        <v/>
      </c>
      <c r="AI804" s="64">
        <f>IF(H804=0,0,S804/H804)</f>
        <v/>
      </c>
      <c r="AJ804" s="63">
        <f>AI804-AH804</f>
        <v/>
      </c>
      <c r="AK804" s="61">
        <f>SUMIFS([1]инфо!$F$15:$F$28,[1]инфо!$A$15:$A$28,F804)</f>
        <v/>
      </c>
      <c r="AL804" s="64">
        <f>IF(H804=0,0,Y804/H804)</f>
        <v/>
      </c>
      <c r="AM804" s="63">
        <f>AL804-AK804</f>
        <v/>
      </c>
      <c r="AN804" s="61">
        <f>SUMIFS([1]инфо!$G$15:$G$28,[1]инфо!$A$15:$A$28,F804)</f>
        <v/>
      </c>
      <c r="AO804" s="64">
        <f>IF(H804=0,0,AA804/H804)</f>
        <v/>
      </c>
      <c r="AP804" s="63">
        <f>AO804-AN804</f>
        <v/>
      </c>
      <c r="AQ804" s="61">
        <f>SUMIFS([1]инфо!$H$15:$H$28,[1]инфо!$A$15:$A$28,F804)</f>
        <v/>
      </c>
      <c r="AR804" s="62">
        <f>IF(H803=0,0,AC804/H803)</f>
        <v/>
      </c>
      <c r="AS804" s="63">
        <f>AR804-AQ804</f>
        <v/>
      </c>
      <c r="AT804" s="61">
        <f>SUMIFS([1]инфо!$I$15:$I$28,[1]инфо!$A$15:$A$28,F804)</f>
        <v/>
      </c>
      <c r="AU804" s="62">
        <f>IF(H804=0,0,AD804/H804)</f>
        <v/>
      </c>
      <c r="AV804" s="63">
        <f>AU804-AT804</f>
        <v/>
      </c>
      <c r="AX804" s="59">
        <f>SUMIFS([1]инфо!$C$15:$C$28,[1]инфо!$A$15:$A$28,F804)*H803</f>
        <v/>
      </c>
    </row>
    <row r="805">
      <c r="A805" s="71">
        <f>A803+1</f>
        <v/>
      </c>
      <c r="B805" s="90" t="n"/>
      <c r="C805" s="52" t="n"/>
      <c r="D805" s="53" t="n"/>
      <c r="E805" s="91" t="n"/>
      <c r="F805" s="67" t="n"/>
      <c r="G805" s="58" t="n"/>
      <c r="H805" s="56" t="n"/>
      <c r="I805" s="55" t="n"/>
      <c r="J805" s="55" t="n"/>
      <c r="K805" s="55" t="n"/>
      <c r="L805" s="55" t="n"/>
      <c r="M805" s="55" t="n"/>
      <c r="N805" s="55" t="n"/>
      <c r="O805" s="58" t="n"/>
      <c r="P805" s="58" t="n"/>
      <c r="Q805" s="58" t="n"/>
      <c r="R805" s="58" t="n"/>
      <c r="S805" s="59">
        <f>SUM(O805:R805)</f>
        <v/>
      </c>
      <c r="T805" s="52" t="n"/>
      <c r="U805" s="53" t="n"/>
      <c r="V805" s="58" t="n"/>
      <c r="W805" s="68" t="n"/>
      <c r="X805" s="58" t="n"/>
      <c r="Y805" s="52" t="n"/>
      <c r="Z805" s="58" t="n"/>
      <c r="AA805" s="58" t="n"/>
      <c r="AB805" s="58" t="n"/>
      <c r="AC805" s="58" t="n"/>
      <c r="AD805" s="53" t="n"/>
      <c r="AE805" s="61">
        <f>SUMIFS([1]инфо!$D$15:$D$28,[1]инфо!$A$15:$A$28,F805)</f>
        <v/>
      </c>
      <c r="AF805" s="62">
        <f>IF(H805=0,0,N805/H805)</f>
        <v/>
      </c>
      <c r="AG805" s="63">
        <f>AF805-AE805</f>
        <v/>
      </c>
      <c r="AH805" s="61">
        <f>SUMIFS([1]инфо!$E$15:$E$28,[1]инфо!$A$15:$A$28,F805)</f>
        <v/>
      </c>
      <c r="AI805" s="64">
        <f>IF(H805=0,0,S805/H805)</f>
        <v/>
      </c>
      <c r="AJ805" s="63">
        <f>AI805-AH805</f>
        <v/>
      </c>
      <c r="AK805" s="61">
        <f>SUMIFS([1]инфо!$F$15:$F$28,[1]инфо!$A$15:$A$28,F805)</f>
        <v/>
      </c>
      <c r="AL805" s="64">
        <f>IF(H805=0,0,Y805/H805)</f>
        <v/>
      </c>
      <c r="AM805" s="63">
        <f>AL805-AK805</f>
        <v/>
      </c>
      <c r="AN805" s="61">
        <f>SUMIFS([1]инфо!$G$15:$G$28,[1]инфо!$A$15:$A$28,F805)</f>
        <v/>
      </c>
      <c r="AO805" s="64">
        <f>IF(H805=0,0,AA805/H805)</f>
        <v/>
      </c>
      <c r="AP805" s="63">
        <f>AO805-AN805</f>
        <v/>
      </c>
      <c r="AQ805" s="61">
        <f>SUMIFS([1]инфо!$H$15:$H$28,[1]инфо!$A$15:$A$28,F805)</f>
        <v/>
      </c>
      <c r="AR805" s="62">
        <f>IF(H804=0,0,AC805/H804)</f>
        <v/>
      </c>
      <c r="AS805" s="63">
        <f>AR805-AQ805</f>
        <v/>
      </c>
      <c r="AT805" s="61">
        <f>SUMIFS([1]инфо!$I$15:$I$28,[1]инфо!$A$15:$A$28,F805)</f>
        <v/>
      </c>
      <c r="AU805" s="62">
        <f>IF(H805=0,0,AD805/H805)</f>
        <v/>
      </c>
      <c r="AV805" s="63">
        <f>AU805-AT805</f>
        <v/>
      </c>
      <c r="AX805" s="59">
        <f>SUMIFS([1]инфо!$C$15:$C$28,[1]инфо!$A$15:$A$28,F805)*H804</f>
        <v/>
      </c>
    </row>
    <row r="806">
      <c r="A806" s="71">
        <f>A804+1</f>
        <v/>
      </c>
      <c r="B806" s="88" t="n"/>
      <c r="C806" s="77" t="n"/>
      <c r="D806" s="78" t="n"/>
      <c r="E806" s="91" t="n"/>
      <c r="F806" s="67" t="n"/>
      <c r="G806" s="79" t="n"/>
      <c r="H806" s="67" t="n"/>
      <c r="I806" s="55" t="n"/>
      <c r="J806" s="55" t="n"/>
      <c r="K806" s="55" t="n"/>
      <c r="L806" s="55" t="n"/>
      <c r="M806" s="55" t="n"/>
      <c r="N806" s="56" t="n"/>
      <c r="O806" s="79" t="n"/>
      <c r="P806" s="79" t="n"/>
      <c r="Q806" s="79" t="n"/>
      <c r="R806" s="79" t="n"/>
      <c r="S806" s="80">
        <f>SUM(O806:R806)</f>
        <v/>
      </c>
      <c r="T806" s="77" t="n"/>
      <c r="U806" s="78" t="n"/>
      <c r="V806" s="79" t="n"/>
      <c r="W806" s="68" t="n"/>
      <c r="X806" s="79" t="n"/>
      <c r="Y806" s="77" t="n"/>
      <c r="Z806" s="79" t="n"/>
      <c r="AA806" s="79" t="n"/>
      <c r="AB806" s="79" t="n"/>
      <c r="AC806" s="79" t="n"/>
      <c r="AD806" s="78" t="n"/>
      <c r="AE806" s="81">
        <f>SUMIFS([1]инфо!$D$15:$D$28,[1]инфо!$A$15:$A$28,F806)</f>
        <v/>
      </c>
      <c r="AF806" s="62">
        <f>IF(H806=0,0,N806/H806)</f>
        <v/>
      </c>
      <c r="AG806" s="82">
        <f>AF806-AE806</f>
        <v/>
      </c>
      <c r="AH806" s="81">
        <f>SUMIFS([1]инфо!$E$15:$E$28,[1]инфо!$A$15:$A$28,F806)</f>
        <v/>
      </c>
      <c r="AI806" s="64">
        <f>IF(H806=0,0,S806/H806)</f>
        <v/>
      </c>
      <c r="AJ806" s="82">
        <f>AI806-AH806</f>
        <v/>
      </c>
      <c r="AK806" s="81">
        <f>SUMIFS([1]инфо!$F$15:$F$28,[1]инфо!$A$15:$A$28,F806)</f>
        <v/>
      </c>
      <c r="AL806" s="64">
        <f>IF(H806=0,0,Y806/H806)</f>
        <v/>
      </c>
      <c r="AM806" s="82">
        <f>AL806-AK806</f>
        <v/>
      </c>
      <c r="AN806" s="81">
        <f>SUMIFS([1]инфо!$G$15:$G$28,[1]инфо!$A$15:$A$28,F806)</f>
        <v/>
      </c>
      <c r="AO806" s="64">
        <f>IF(H806=0,0,AA806/H806)</f>
        <v/>
      </c>
      <c r="AP806" s="82">
        <f>AO806-AN806</f>
        <v/>
      </c>
      <c r="AQ806" s="81">
        <f>SUMIFS([1]инфо!$H$15:$H$28,[1]инфо!$A$15:$A$28,F806)</f>
        <v/>
      </c>
      <c r="AR806" s="85">
        <f>IF(H805=0,0,AC806/H805)</f>
        <v/>
      </c>
      <c r="AS806" s="82">
        <f>AR806-AQ806</f>
        <v/>
      </c>
      <c r="AT806" s="81">
        <f>SUMIFS([1]инфо!$I$15:$I$28,[1]инфо!$A$15:$A$28,F806)</f>
        <v/>
      </c>
      <c r="AU806" s="62">
        <f>IF(H806=0,0,AD806/H806)</f>
        <v/>
      </c>
      <c r="AV806" s="82">
        <f>AU806-AT806</f>
        <v/>
      </c>
      <c r="AX806" s="80">
        <f>SUMIFS([1]инфо!$C$15:$C$28,[1]инфо!$A$15:$A$28,F806)*H805</f>
        <v/>
      </c>
    </row>
    <row r="807">
      <c r="A807" s="71">
        <f>A805+1</f>
        <v/>
      </c>
      <c r="B807" s="89" t="n"/>
      <c r="C807" s="72" t="n"/>
      <c r="D807" s="73" t="n"/>
      <c r="E807" s="91" t="n"/>
      <c r="F807" s="67" t="n"/>
      <c r="G807" s="74" t="n"/>
      <c r="H807" s="55" t="n"/>
      <c r="I807" s="55" t="n"/>
      <c r="J807" s="55" t="n"/>
      <c r="K807" s="55" t="n"/>
      <c r="L807" s="55" t="n"/>
      <c r="M807" s="55" t="n"/>
      <c r="N807" s="67" t="n"/>
      <c r="O807" s="74" t="n"/>
      <c r="P807" s="74" t="n"/>
      <c r="Q807" s="74" t="n"/>
      <c r="R807" s="74" t="n"/>
      <c r="S807" s="70">
        <f>SUM(O807:R807)</f>
        <v/>
      </c>
      <c r="T807" s="72" t="n"/>
      <c r="U807" s="73" t="n"/>
      <c r="V807" s="74" t="n"/>
      <c r="W807" s="68" t="n"/>
      <c r="X807" s="74" t="n"/>
      <c r="Y807" s="72" t="n"/>
      <c r="Z807" s="74" t="n"/>
      <c r="AA807" s="74" t="n"/>
      <c r="AB807" s="74" t="n"/>
      <c r="AC807" s="74" t="n"/>
      <c r="AD807" s="73" t="n"/>
      <c r="AE807" s="75">
        <f>SUMIFS([1]инфо!$D$15:$D$28,[1]инфо!$A$15:$A$28,F807)</f>
        <v/>
      </c>
      <c r="AF807" s="62">
        <f>IF(H807=0,0,N807/H807)</f>
        <v/>
      </c>
      <c r="AG807" s="76">
        <f>AF807-AE807</f>
        <v/>
      </c>
      <c r="AH807" s="75">
        <f>SUMIFS([1]инфо!$E$15:$E$28,[1]инфо!$A$15:$A$28,F807)</f>
        <v/>
      </c>
      <c r="AI807" s="64">
        <f>IF(H807=0,0,S807/H807)</f>
        <v/>
      </c>
      <c r="AJ807" s="76">
        <f>AI807-AH807</f>
        <v/>
      </c>
      <c r="AK807" s="75">
        <f>SUMIFS([1]инфо!$F$15:$F$28,[1]инфо!$A$15:$A$28,F807)</f>
        <v/>
      </c>
      <c r="AL807" s="64">
        <f>IF(H807=0,0,Y807/H807)</f>
        <v/>
      </c>
      <c r="AM807" s="76">
        <f>AL807-AK807</f>
        <v/>
      </c>
      <c r="AN807" s="75">
        <f>SUMIFS([1]инфо!$G$15:$G$28,[1]инфо!$A$15:$A$28,F807)</f>
        <v/>
      </c>
      <c r="AO807" s="64">
        <f>IF(H807=0,0,AA807/H807)</f>
        <v/>
      </c>
      <c r="AP807" s="76">
        <f>AO807-AN807</f>
        <v/>
      </c>
      <c r="AQ807" s="75">
        <f>SUMIFS([1]инфо!$H$15:$H$28,[1]инфо!$A$15:$A$28,F807)</f>
        <v/>
      </c>
      <c r="AR807" s="64">
        <f>IF(H806=0,0,AC807/H806)</f>
        <v/>
      </c>
      <c r="AS807" s="76">
        <f>AR807-AQ807</f>
        <v/>
      </c>
      <c r="AT807" s="75">
        <f>SUMIFS([1]инфо!$I$15:$I$28,[1]инфо!$A$15:$A$28,F807)</f>
        <v/>
      </c>
      <c r="AU807" s="62">
        <f>IF(H807=0,0,AD807/H807)</f>
        <v/>
      </c>
      <c r="AV807" s="76">
        <f>AU807-AT807</f>
        <v/>
      </c>
      <c r="AX807" s="70">
        <f>SUMIFS([1]инфо!$C$15:$C$28,[1]инфо!$A$15:$A$28,F807)*H806</f>
        <v/>
      </c>
    </row>
    <row r="808">
      <c r="A808" s="71">
        <f>A806+1</f>
        <v/>
      </c>
      <c r="B808" s="90" t="n"/>
      <c r="C808" s="52" t="n"/>
      <c r="D808" s="53" t="n"/>
      <c r="E808" s="91" t="n"/>
      <c r="F808" s="67" t="n"/>
      <c r="G808" s="58" t="n"/>
      <c r="H808" s="55" t="n"/>
      <c r="I808" s="55" t="n"/>
      <c r="J808" s="55" t="n"/>
      <c r="K808" s="55" t="n"/>
      <c r="L808" s="55" t="n"/>
      <c r="M808" s="55" t="n"/>
      <c r="N808" s="55" t="n"/>
      <c r="O808" s="58" t="n"/>
      <c r="P808" s="58" t="n"/>
      <c r="Q808" s="58" t="n"/>
      <c r="R808" s="58" t="n"/>
      <c r="S808" s="59">
        <f>SUM(O808:R808)</f>
        <v/>
      </c>
      <c r="T808" s="52" t="n"/>
      <c r="U808" s="53" t="n"/>
      <c r="V808" s="58" t="n"/>
      <c r="W808" s="68" t="n"/>
      <c r="X808" s="58" t="n"/>
      <c r="Y808" s="52" t="n"/>
      <c r="Z808" s="58" t="n"/>
      <c r="AA808" s="58" t="n"/>
      <c r="AB808" s="58" t="n"/>
      <c r="AC808" s="58" t="n"/>
      <c r="AD808" s="53" t="n"/>
      <c r="AE808" s="61">
        <f>SUMIFS([1]инфо!$D$15:$D$28,[1]инфо!$A$15:$A$28,F808)</f>
        <v/>
      </c>
      <c r="AF808" s="62">
        <f>IF(H808=0,0,N808/H808)</f>
        <v/>
      </c>
      <c r="AG808" s="63">
        <f>AF808-AE808</f>
        <v/>
      </c>
      <c r="AH808" s="61">
        <f>SUMIFS([1]инфо!$E$15:$E$28,[1]инфо!$A$15:$A$28,F808)</f>
        <v/>
      </c>
      <c r="AI808" s="64">
        <f>IF(H808=0,0,S808/H808)</f>
        <v/>
      </c>
      <c r="AJ808" s="63">
        <f>AI808-AH808</f>
        <v/>
      </c>
      <c r="AK808" s="61">
        <f>SUMIFS([1]инфо!$F$15:$F$28,[1]инфо!$A$15:$A$28,F808)</f>
        <v/>
      </c>
      <c r="AL808" s="64">
        <f>IF(H808=0,0,Y808/H808)</f>
        <v/>
      </c>
      <c r="AM808" s="63">
        <f>AL808-AK808</f>
        <v/>
      </c>
      <c r="AN808" s="61">
        <f>SUMIFS([1]инфо!$G$15:$G$28,[1]инфо!$A$15:$A$28,F808)</f>
        <v/>
      </c>
      <c r="AO808" s="64">
        <f>IF(H808=0,0,AA808/H808)</f>
        <v/>
      </c>
      <c r="AP808" s="63">
        <f>AO808-AN808</f>
        <v/>
      </c>
      <c r="AQ808" s="61">
        <f>SUMIFS([1]инфо!$H$15:$H$28,[1]инфо!$A$15:$A$28,F808)</f>
        <v/>
      </c>
      <c r="AR808" s="62">
        <f>IF(H807=0,0,AC808/H807)</f>
        <v/>
      </c>
      <c r="AS808" s="63">
        <f>AR808-AQ808</f>
        <v/>
      </c>
      <c r="AT808" s="61">
        <f>SUMIFS([1]инфо!$I$15:$I$28,[1]инфо!$A$15:$A$28,F808)</f>
        <v/>
      </c>
      <c r="AU808" s="62">
        <f>IF(H808=0,0,AD808/H808)</f>
        <v/>
      </c>
      <c r="AV808" s="63">
        <f>AU808-AT808</f>
        <v/>
      </c>
      <c r="AX808" s="59">
        <f>SUMIFS([1]инфо!$C$15:$C$28,[1]инфо!$A$15:$A$28,F808)*H807</f>
        <v/>
      </c>
    </row>
    <row r="809">
      <c r="A809" s="71">
        <f>A807+1</f>
        <v/>
      </c>
      <c r="B809" s="90" t="n"/>
      <c r="C809" s="52" t="n"/>
      <c r="D809" s="53" t="n"/>
      <c r="E809" s="91" t="n"/>
      <c r="F809" s="67" t="n"/>
      <c r="G809" s="58" t="n"/>
      <c r="H809" s="56" t="n"/>
      <c r="I809" s="55" t="n"/>
      <c r="J809" s="55" t="n"/>
      <c r="K809" s="55" t="n"/>
      <c r="L809" s="55" t="n"/>
      <c r="M809" s="55" t="n"/>
      <c r="N809" s="55" t="n"/>
      <c r="O809" s="58" t="n"/>
      <c r="P809" s="58" t="n"/>
      <c r="Q809" s="58" t="n"/>
      <c r="R809" s="58" t="n"/>
      <c r="S809" s="59">
        <f>SUM(O809:R809)</f>
        <v/>
      </c>
      <c r="T809" s="52" t="n"/>
      <c r="U809" s="53" t="n"/>
      <c r="V809" s="58" t="n"/>
      <c r="W809" s="68" t="n"/>
      <c r="X809" s="58" t="n"/>
      <c r="Y809" s="52" t="n"/>
      <c r="Z809" s="58" t="n"/>
      <c r="AA809" s="58" t="n"/>
      <c r="AB809" s="58" t="n"/>
      <c r="AC809" s="58" t="n"/>
      <c r="AD809" s="53" t="n"/>
      <c r="AE809" s="61">
        <f>SUMIFS([1]инфо!$D$15:$D$28,[1]инфо!$A$15:$A$28,F809)</f>
        <v/>
      </c>
      <c r="AF809" s="62">
        <f>IF(H809=0,0,N809/H809)</f>
        <v/>
      </c>
      <c r="AG809" s="63">
        <f>AF809-AE809</f>
        <v/>
      </c>
      <c r="AH809" s="61">
        <f>SUMIFS([1]инфо!$E$15:$E$28,[1]инфо!$A$15:$A$28,F809)</f>
        <v/>
      </c>
      <c r="AI809" s="64">
        <f>IF(H809=0,0,S809/H809)</f>
        <v/>
      </c>
      <c r="AJ809" s="63">
        <f>AI809-AH809</f>
        <v/>
      </c>
      <c r="AK809" s="61">
        <f>SUMIFS([1]инфо!$F$15:$F$28,[1]инфо!$A$15:$A$28,F809)</f>
        <v/>
      </c>
      <c r="AL809" s="64">
        <f>IF(H809=0,0,Y809/H809)</f>
        <v/>
      </c>
      <c r="AM809" s="63">
        <f>AL809-AK809</f>
        <v/>
      </c>
      <c r="AN809" s="61">
        <f>SUMIFS([1]инфо!$G$15:$G$28,[1]инфо!$A$15:$A$28,F809)</f>
        <v/>
      </c>
      <c r="AO809" s="64">
        <f>IF(H809=0,0,AA809/H809)</f>
        <v/>
      </c>
      <c r="AP809" s="63">
        <f>AO809-AN809</f>
        <v/>
      </c>
      <c r="AQ809" s="61">
        <f>SUMIFS([1]инфо!$H$15:$H$28,[1]инфо!$A$15:$A$28,F809)</f>
        <v/>
      </c>
      <c r="AR809" s="62">
        <f>IF(H808=0,0,AC809/H808)</f>
        <v/>
      </c>
      <c r="AS809" s="63">
        <f>AR809-AQ809</f>
        <v/>
      </c>
      <c r="AT809" s="61">
        <f>SUMIFS([1]инфо!$I$15:$I$28,[1]инфо!$A$15:$A$28,F809)</f>
        <v/>
      </c>
      <c r="AU809" s="62">
        <f>IF(H809=0,0,AD809/H809)</f>
        <v/>
      </c>
      <c r="AV809" s="63">
        <f>AU809-AT809</f>
        <v/>
      </c>
      <c r="AX809" s="59">
        <f>SUMIFS([1]инфо!$C$15:$C$28,[1]инфо!$A$15:$A$28,F809)*H808</f>
        <v/>
      </c>
    </row>
    <row r="810">
      <c r="A810" s="71">
        <f>A808+1</f>
        <v/>
      </c>
      <c r="B810" s="88" t="n"/>
      <c r="C810" s="77" t="n"/>
      <c r="D810" s="78" t="n"/>
      <c r="E810" s="91" t="n"/>
      <c r="F810" s="67" t="n"/>
      <c r="G810" s="79" t="n"/>
      <c r="H810" s="67" t="n"/>
      <c r="I810" s="55" t="n"/>
      <c r="J810" s="55" t="n"/>
      <c r="K810" s="55" t="n"/>
      <c r="L810" s="55" t="n"/>
      <c r="M810" s="55" t="n"/>
      <c r="N810" s="56" t="n"/>
      <c r="O810" s="79" t="n"/>
      <c r="P810" s="79" t="n"/>
      <c r="Q810" s="79" t="n"/>
      <c r="R810" s="79" t="n"/>
      <c r="S810" s="80">
        <f>SUM(O810:R810)</f>
        <v/>
      </c>
      <c r="T810" s="77" t="n"/>
      <c r="U810" s="78" t="n"/>
      <c r="V810" s="79" t="n"/>
      <c r="W810" s="68" t="n"/>
      <c r="X810" s="79" t="n"/>
      <c r="Y810" s="77" t="n"/>
      <c r="Z810" s="79" t="n"/>
      <c r="AA810" s="79" t="n"/>
      <c r="AB810" s="79" t="n"/>
      <c r="AC810" s="79" t="n"/>
      <c r="AD810" s="78" t="n"/>
      <c r="AE810" s="81">
        <f>SUMIFS([1]инфо!$D$15:$D$28,[1]инфо!$A$15:$A$28,F810)</f>
        <v/>
      </c>
      <c r="AF810" s="62">
        <f>IF(H810=0,0,N810/H810)</f>
        <v/>
      </c>
      <c r="AG810" s="82">
        <f>AF810-AE810</f>
        <v/>
      </c>
      <c r="AH810" s="81">
        <f>SUMIFS([1]инфо!$E$15:$E$28,[1]инфо!$A$15:$A$28,F810)</f>
        <v/>
      </c>
      <c r="AI810" s="64">
        <f>IF(H810=0,0,S810/H810)</f>
        <v/>
      </c>
      <c r="AJ810" s="82">
        <f>AI810-AH810</f>
        <v/>
      </c>
      <c r="AK810" s="81">
        <f>SUMIFS([1]инфо!$F$15:$F$28,[1]инфо!$A$15:$A$28,F810)</f>
        <v/>
      </c>
      <c r="AL810" s="64">
        <f>IF(H810=0,0,Y810/H810)</f>
        <v/>
      </c>
      <c r="AM810" s="82">
        <f>AL810-AK810</f>
        <v/>
      </c>
      <c r="AN810" s="81">
        <f>SUMIFS([1]инфо!$G$15:$G$28,[1]инфо!$A$15:$A$28,F810)</f>
        <v/>
      </c>
      <c r="AO810" s="64">
        <f>IF(H810=0,0,AA810/H810)</f>
        <v/>
      </c>
      <c r="AP810" s="82">
        <f>AO810-AN810</f>
        <v/>
      </c>
      <c r="AQ810" s="81">
        <f>SUMIFS([1]инфо!$H$15:$H$28,[1]инфо!$A$15:$A$28,F810)</f>
        <v/>
      </c>
      <c r="AR810" s="85">
        <f>IF(H809=0,0,AC810/H809)</f>
        <v/>
      </c>
      <c r="AS810" s="82">
        <f>AR810-AQ810</f>
        <v/>
      </c>
      <c r="AT810" s="81">
        <f>SUMIFS([1]инфо!$I$15:$I$28,[1]инфо!$A$15:$A$28,F810)</f>
        <v/>
      </c>
      <c r="AU810" s="62">
        <f>IF(H810=0,0,AD810/H810)</f>
        <v/>
      </c>
      <c r="AV810" s="82">
        <f>AU810-AT810</f>
        <v/>
      </c>
      <c r="AX810" s="80">
        <f>SUMIFS([1]инфо!$C$15:$C$28,[1]инфо!$A$15:$A$28,F810)*H809</f>
        <v/>
      </c>
    </row>
    <row r="811">
      <c r="A811" s="71">
        <f>A809+1</f>
        <v/>
      </c>
      <c r="B811" s="89" t="n"/>
      <c r="C811" s="72" t="n"/>
      <c r="D811" s="73" t="n"/>
      <c r="E811" s="91" t="n"/>
      <c r="F811" s="67" t="n"/>
      <c r="G811" s="74" t="n"/>
      <c r="H811" s="55" t="n"/>
      <c r="I811" s="55" t="n"/>
      <c r="J811" s="55" t="n"/>
      <c r="K811" s="55" t="n"/>
      <c r="L811" s="55" t="n"/>
      <c r="M811" s="55" t="n"/>
      <c r="N811" s="67" t="n"/>
      <c r="O811" s="74" t="n"/>
      <c r="P811" s="74" t="n"/>
      <c r="Q811" s="74" t="n"/>
      <c r="R811" s="74" t="n"/>
      <c r="S811" s="70">
        <f>SUM(O811:R811)</f>
        <v/>
      </c>
      <c r="T811" s="72" t="n"/>
      <c r="U811" s="73" t="n"/>
      <c r="V811" s="74" t="n"/>
      <c r="W811" s="68" t="n"/>
      <c r="X811" s="74" t="n"/>
      <c r="Y811" s="72" t="n"/>
      <c r="Z811" s="74" t="n"/>
      <c r="AA811" s="74" t="n"/>
      <c r="AB811" s="74" t="n"/>
      <c r="AC811" s="74" t="n"/>
      <c r="AD811" s="73" t="n"/>
      <c r="AE811" s="75">
        <f>SUMIFS([1]инфо!$D$15:$D$28,[1]инфо!$A$15:$A$28,F811)</f>
        <v/>
      </c>
      <c r="AF811" s="62">
        <f>IF(H811=0,0,N811/H811)</f>
        <v/>
      </c>
      <c r="AG811" s="76">
        <f>AF811-AE811</f>
        <v/>
      </c>
      <c r="AH811" s="75">
        <f>SUMIFS([1]инфо!$E$15:$E$28,[1]инфо!$A$15:$A$28,F811)</f>
        <v/>
      </c>
      <c r="AI811" s="64">
        <f>IF(H811=0,0,S811/H811)</f>
        <v/>
      </c>
      <c r="AJ811" s="76">
        <f>AI811-AH811</f>
        <v/>
      </c>
      <c r="AK811" s="75">
        <f>SUMIFS([1]инфо!$F$15:$F$28,[1]инфо!$A$15:$A$28,F811)</f>
        <v/>
      </c>
      <c r="AL811" s="64">
        <f>IF(H811=0,0,Y811/H811)</f>
        <v/>
      </c>
      <c r="AM811" s="76">
        <f>AL811-AK811</f>
        <v/>
      </c>
      <c r="AN811" s="75">
        <f>SUMIFS([1]инфо!$G$15:$G$28,[1]инфо!$A$15:$A$28,F811)</f>
        <v/>
      </c>
      <c r="AO811" s="64">
        <f>IF(H811=0,0,AA811/H811)</f>
        <v/>
      </c>
      <c r="AP811" s="76">
        <f>AO811-AN811</f>
        <v/>
      </c>
      <c r="AQ811" s="75">
        <f>SUMIFS([1]инфо!$H$15:$H$28,[1]инфо!$A$15:$A$28,F811)</f>
        <v/>
      </c>
      <c r="AR811" s="64">
        <f>IF(H810=0,0,AC811/H810)</f>
        <v/>
      </c>
      <c r="AS811" s="76">
        <f>AR811-AQ811</f>
        <v/>
      </c>
      <c r="AT811" s="75">
        <f>SUMIFS([1]инфо!$I$15:$I$28,[1]инфо!$A$15:$A$28,F811)</f>
        <v/>
      </c>
      <c r="AU811" s="62">
        <f>IF(H811=0,0,AD811/H811)</f>
        <v/>
      </c>
      <c r="AV811" s="76">
        <f>AU811-AT811</f>
        <v/>
      </c>
      <c r="AX811" s="70">
        <f>SUMIFS([1]инфо!$C$15:$C$28,[1]инфо!$A$15:$A$28,F811)*H810</f>
        <v/>
      </c>
    </row>
    <row r="812">
      <c r="A812" s="71">
        <f>A810+1</f>
        <v/>
      </c>
      <c r="B812" s="90" t="n"/>
      <c r="C812" s="52" t="n"/>
      <c r="D812" s="53" t="n"/>
      <c r="E812" s="91" t="n"/>
      <c r="F812" s="67" t="n"/>
      <c r="G812" s="58" t="n"/>
      <c r="H812" s="55" t="n"/>
      <c r="I812" s="55" t="n"/>
      <c r="J812" s="55" t="n"/>
      <c r="K812" s="55" t="n"/>
      <c r="L812" s="55" t="n"/>
      <c r="M812" s="55" t="n"/>
      <c r="N812" s="55" t="n"/>
      <c r="O812" s="58" t="n"/>
      <c r="P812" s="58" t="n"/>
      <c r="Q812" s="58" t="n"/>
      <c r="R812" s="58" t="n"/>
      <c r="S812" s="59">
        <f>SUM(O812:R812)</f>
        <v/>
      </c>
      <c r="T812" s="52" t="n"/>
      <c r="U812" s="53" t="n"/>
      <c r="V812" s="58" t="n"/>
      <c r="W812" s="68" t="n"/>
      <c r="X812" s="58" t="n"/>
      <c r="Y812" s="52" t="n"/>
      <c r="Z812" s="58" t="n"/>
      <c r="AA812" s="58" t="n"/>
      <c r="AB812" s="58" t="n"/>
      <c r="AC812" s="58" t="n"/>
      <c r="AD812" s="53" t="n"/>
      <c r="AE812" s="61">
        <f>SUMIFS([1]инфо!$D$15:$D$28,[1]инфо!$A$15:$A$28,F812)</f>
        <v/>
      </c>
      <c r="AF812" s="62">
        <f>IF(H812=0,0,N812/H812)</f>
        <v/>
      </c>
      <c r="AG812" s="63">
        <f>AF812-AE812</f>
        <v/>
      </c>
      <c r="AH812" s="61">
        <f>SUMIFS([1]инфо!$E$15:$E$28,[1]инфо!$A$15:$A$28,F812)</f>
        <v/>
      </c>
      <c r="AI812" s="64">
        <f>IF(H812=0,0,S812/H812)</f>
        <v/>
      </c>
      <c r="AJ812" s="63">
        <f>AI812-AH812</f>
        <v/>
      </c>
      <c r="AK812" s="61">
        <f>SUMIFS([1]инфо!$F$15:$F$28,[1]инфо!$A$15:$A$28,F812)</f>
        <v/>
      </c>
      <c r="AL812" s="64">
        <f>IF(H812=0,0,Y812/H812)</f>
        <v/>
      </c>
      <c r="AM812" s="63">
        <f>AL812-AK812</f>
        <v/>
      </c>
      <c r="AN812" s="61">
        <f>SUMIFS([1]инфо!$G$15:$G$28,[1]инфо!$A$15:$A$28,F812)</f>
        <v/>
      </c>
      <c r="AO812" s="64">
        <f>IF(H812=0,0,AA812/H812)</f>
        <v/>
      </c>
      <c r="AP812" s="63">
        <f>AO812-AN812</f>
        <v/>
      </c>
      <c r="AQ812" s="61">
        <f>SUMIFS([1]инфо!$H$15:$H$28,[1]инфо!$A$15:$A$28,F812)</f>
        <v/>
      </c>
      <c r="AR812" s="62">
        <f>IF(H811=0,0,AC812/H811)</f>
        <v/>
      </c>
      <c r="AS812" s="63">
        <f>AR812-AQ812</f>
        <v/>
      </c>
      <c r="AT812" s="61">
        <f>SUMIFS([1]инфо!$I$15:$I$28,[1]инфо!$A$15:$A$28,F812)</f>
        <v/>
      </c>
      <c r="AU812" s="62">
        <f>IF(H812=0,0,AD812/H812)</f>
        <v/>
      </c>
      <c r="AV812" s="63">
        <f>AU812-AT812</f>
        <v/>
      </c>
      <c r="AX812" s="59">
        <f>SUMIFS([1]инфо!$C$15:$C$28,[1]инфо!$A$15:$A$28,F812)*H811</f>
        <v/>
      </c>
    </row>
    <row r="813">
      <c r="A813" s="71">
        <f>A811+1</f>
        <v/>
      </c>
      <c r="B813" s="90" t="n"/>
      <c r="C813" s="52" t="n"/>
      <c r="D813" s="53" t="n"/>
      <c r="E813" s="91" t="n"/>
      <c r="F813" s="67" t="n"/>
      <c r="G813" s="58" t="n"/>
      <c r="H813" s="56" t="n"/>
      <c r="I813" s="55" t="n"/>
      <c r="J813" s="55" t="n"/>
      <c r="K813" s="55" t="n"/>
      <c r="L813" s="55" t="n"/>
      <c r="M813" s="55" t="n"/>
      <c r="N813" s="55" t="n"/>
      <c r="O813" s="58" t="n"/>
      <c r="P813" s="58" t="n"/>
      <c r="Q813" s="58" t="n"/>
      <c r="R813" s="58" t="n"/>
      <c r="S813" s="59">
        <f>SUM(O813:R813)</f>
        <v/>
      </c>
      <c r="T813" s="52" t="n"/>
      <c r="U813" s="53" t="n"/>
      <c r="V813" s="58" t="n"/>
      <c r="W813" s="68" t="n"/>
      <c r="X813" s="58" t="n"/>
      <c r="Y813" s="52" t="n"/>
      <c r="Z813" s="58" t="n"/>
      <c r="AA813" s="58" t="n"/>
      <c r="AB813" s="58" t="n"/>
      <c r="AC813" s="58" t="n"/>
      <c r="AD813" s="53" t="n"/>
      <c r="AE813" s="61">
        <f>SUMIFS([1]инфо!$D$15:$D$28,[1]инфо!$A$15:$A$28,F813)</f>
        <v/>
      </c>
      <c r="AF813" s="62">
        <f>IF(H813=0,0,N813/H813)</f>
        <v/>
      </c>
      <c r="AG813" s="63">
        <f>AF813-AE813</f>
        <v/>
      </c>
      <c r="AH813" s="61">
        <f>SUMIFS([1]инфо!$E$15:$E$28,[1]инфо!$A$15:$A$28,F813)</f>
        <v/>
      </c>
      <c r="AI813" s="64">
        <f>IF(H813=0,0,S813/H813)</f>
        <v/>
      </c>
      <c r="AJ813" s="63">
        <f>AI813-AH813</f>
        <v/>
      </c>
      <c r="AK813" s="61">
        <f>SUMIFS([1]инфо!$F$15:$F$28,[1]инфо!$A$15:$A$28,F813)</f>
        <v/>
      </c>
      <c r="AL813" s="64">
        <f>IF(H813=0,0,Y813/H813)</f>
        <v/>
      </c>
      <c r="AM813" s="63">
        <f>AL813-AK813</f>
        <v/>
      </c>
      <c r="AN813" s="61">
        <f>SUMIFS([1]инфо!$G$15:$G$28,[1]инфо!$A$15:$A$28,F813)</f>
        <v/>
      </c>
      <c r="AO813" s="64">
        <f>IF(H813=0,0,AA813/H813)</f>
        <v/>
      </c>
      <c r="AP813" s="63">
        <f>AO813-AN813</f>
        <v/>
      </c>
      <c r="AQ813" s="61">
        <f>SUMIFS([1]инфо!$H$15:$H$28,[1]инфо!$A$15:$A$28,F813)</f>
        <v/>
      </c>
      <c r="AR813" s="62">
        <f>IF(H812=0,0,AC813/H812)</f>
        <v/>
      </c>
      <c r="AS813" s="63">
        <f>AR813-AQ813</f>
        <v/>
      </c>
      <c r="AT813" s="61">
        <f>SUMIFS([1]инфо!$I$15:$I$28,[1]инфо!$A$15:$A$28,F813)</f>
        <v/>
      </c>
      <c r="AU813" s="62">
        <f>IF(H813=0,0,AD813/H813)</f>
        <v/>
      </c>
      <c r="AV813" s="63">
        <f>AU813-AT813</f>
        <v/>
      </c>
      <c r="AX813" s="59">
        <f>SUMIFS([1]инфо!$C$15:$C$28,[1]инфо!$A$15:$A$28,F813)*H812</f>
        <v/>
      </c>
    </row>
    <row r="814">
      <c r="A814" s="71">
        <f>A812+1</f>
        <v/>
      </c>
      <c r="B814" s="88" t="n"/>
      <c r="C814" s="77" t="n"/>
      <c r="D814" s="78" t="n"/>
      <c r="E814" s="91" t="n"/>
      <c r="F814" s="67" t="n"/>
      <c r="G814" s="79" t="n"/>
      <c r="H814" s="67" t="n"/>
      <c r="I814" s="55" t="n"/>
      <c r="J814" s="55" t="n"/>
      <c r="K814" s="55" t="n"/>
      <c r="L814" s="55" t="n"/>
      <c r="M814" s="55" t="n"/>
      <c r="N814" s="56" t="n"/>
      <c r="O814" s="79" t="n"/>
      <c r="P814" s="79" t="n"/>
      <c r="Q814" s="79" t="n"/>
      <c r="R814" s="79" t="n"/>
      <c r="S814" s="80">
        <f>SUM(O814:R814)</f>
        <v/>
      </c>
      <c r="T814" s="77" t="n"/>
      <c r="U814" s="78" t="n"/>
      <c r="V814" s="79" t="n"/>
      <c r="W814" s="68" t="n"/>
      <c r="X814" s="79" t="n"/>
      <c r="Y814" s="77" t="n"/>
      <c r="Z814" s="79" t="n"/>
      <c r="AA814" s="79" t="n"/>
      <c r="AB814" s="79" t="n"/>
      <c r="AC814" s="79" t="n"/>
      <c r="AD814" s="78" t="n"/>
      <c r="AE814" s="81">
        <f>SUMIFS([1]инфо!$D$15:$D$28,[1]инфо!$A$15:$A$28,F814)</f>
        <v/>
      </c>
      <c r="AF814" s="62">
        <f>IF(H814=0,0,N814/H814)</f>
        <v/>
      </c>
      <c r="AG814" s="82">
        <f>AF814-AE814</f>
        <v/>
      </c>
      <c r="AH814" s="81">
        <f>SUMIFS([1]инфо!$E$15:$E$28,[1]инфо!$A$15:$A$28,F814)</f>
        <v/>
      </c>
      <c r="AI814" s="64">
        <f>IF(H814=0,0,S814/H814)</f>
        <v/>
      </c>
      <c r="AJ814" s="82">
        <f>AI814-AH814</f>
        <v/>
      </c>
      <c r="AK814" s="81">
        <f>SUMIFS([1]инфо!$F$15:$F$28,[1]инфо!$A$15:$A$28,F814)</f>
        <v/>
      </c>
      <c r="AL814" s="64">
        <f>IF(H814=0,0,Y814/H814)</f>
        <v/>
      </c>
      <c r="AM814" s="82">
        <f>AL814-AK814</f>
        <v/>
      </c>
      <c r="AN814" s="81">
        <f>SUMIFS([1]инфо!$G$15:$G$28,[1]инфо!$A$15:$A$28,F814)</f>
        <v/>
      </c>
      <c r="AO814" s="64">
        <f>IF(H814=0,0,AA814/H814)</f>
        <v/>
      </c>
      <c r="AP814" s="82">
        <f>AO814-AN814</f>
        <v/>
      </c>
      <c r="AQ814" s="81">
        <f>SUMIFS([1]инфо!$H$15:$H$28,[1]инфо!$A$15:$A$28,F814)</f>
        <v/>
      </c>
      <c r="AR814" s="85">
        <f>IF(H813=0,0,AC814/H813)</f>
        <v/>
      </c>
      <c r="AS814" s="82">
        <f>AR814-AQ814</f>
        <v/>
      </c>
      <c r="AT814" s="81">
        <f>SUMIFS([1]инфо!$I$15:$I$28,[1]инфо!$A$15:$A$28,F814)</f>
        <v/>
      </c>
      <c r="AU814" s="62">
        <f>IF(H814=0,0,AD814/H814)</f>
        <v/>
      </c>
      <c r="AV814" s="82">
        <f>AU814-AT814</f>
        <v/>
      </c>
      <c r="AX814" s="80">
        <f>SUMIFS([1]инфо!$C$15:$C$28,[1]инфо!$A$15:$A$28,F814)*H813</f>
        <v/>
      </c>
    </row>
    <row r="815">
      <c r="A815" s="71">
        <f>A813+1</f>
        <v/>
      </c>
      <c r="B815" s="89" t="n"/>
      <c r="C815" s="72" t="n"/>
      <c r="D815" s="73" t="n"/>
      <c r="E815" s="91" t="n"/>
      <c r="F815" s="67" t="n"/>
      <c r="G815" s="74" t="n"/>
      <c r="H815" s="55" t="n"/>
      <c r="I815" s="55" t="n"/>
      <c r="J815" s="55" t="n"/>
      <c r="K815" s="55" t="n"/>
      <c r="L815" s="55" t="n"/>
      <c r="M815" s="55" t="n"/>
      <c r="N815" s="67" t="n"/>
      <c r="O815" s="74" t="n"/>
      <c r="P815" s="74" t="n"/>
      <c r="Q815" s="74" t="n"/>
      <c r="R815" s="74" t="n"/>
      <c r="S815" s="70">
        <f>SUM(O815:R815)</f>
        <v/>
      </c>
      <c r="T815" s="72" t="n"/>
      <c r="U815" s="73" t="n"/>
      <c r="V815" s="74" t="n"/>
      <c r="W815" s="68" t="n"/>
      <c r="X815" s="74" t="n"/>
      <c r="Y815" s="72" t="n"/>
      <c r="Z815" s="74" t="n"/>
      <c r="AA815" s="74" t="n"/>
      <c r="AB815" s="74" t="n"/>
      <c r="AC815" s="74" t="n"/>
      <c r="AD815" s="73" t="n"/>
      <c r="AE815" s="75">
        <f>SUMIFS([1]инфо!$D$15:$D$28,[1]инфо!$A$15:$A$28,F815)</f>
        <v/>
      </c>
      <c r="AF815" s="62">
        <f>IF(H815=0,0,N815/H815)</f>
        <v/>
      </c>
      <c r="AG815" s="76">
        <f>AF815-AE815</f>
        <v/>
      </c>
      <c r="AH815" s="75">
        <f>SUMIFS([1]инфо!$E$15:$E$28,[1]инфо!$A$15:$A$28,F815)</f>
        <v/>
      </c>
      <c r="AI815" s="64">
        <f>IF(H815=0,0,S815/H815)</f>
        <v/>
      </c>
      <c r="AJ815" s="76">
        <f>AI815-AH815</f>
        <v/>
      </c>
      <c r="AK815" s="75">
        <f>SUMIFS([1]инфо!$F$15:$F$28,[1]инфо!$A$15:$A$28,F815)</f>
        <v/>
      </c>
      <c r="AL815" s="64">
        <f>IF(H815=0,0,Y815/H815)</f>
        <v/>
      </c>
      <c r="AM815" s="76">
        <f>AL815-AK815</f>
        <v/>
      </c>
      <c r="AN815" s="75">
        <f>SUMIFS([1]инфо!$G$15:$G$28,[1]инфо!$A$15:$A$28,F815)</f>
        <v/>
      </c>
      <c r="AO815" s="64">
        <f>IF(H815=0,0,AA815/H815)</f>
        <v/>
      </c>
      <c r="AP815" s="76">
        <f>AO815-AN815</f>
        <v/>
      </c>
      <c r="AQ815" s="75">
        <f>SUMIFS([1]инфо!$H$15:$H$28,[1]инфо!$A$15:$A$28,F815)</f>
        <v/>
      </c>
      <c r="AR815" s="64">
        <f>IF(H814=0,0,AC815/H814)</f>
        <v/>
      </c>
      <c r="AS815" s="76">
        <f>AR815-AQ815</f>
        <v/>
      </c>
      <c r="AT815" s="75">
        <f>SUMIFS([1]инфо!$I$15:$I$28,[1]инфо!$A$15:$A$28,F815)</f>
        <v/>
      </c>
      <c r="AU815" s="62">
        <f>IF(H815=0,0,AD815/H815)</f>
        <v/>
      </c>
      <c r="AV815" s="76">
        <f>AU815-AT815</f>
        <v/>
      </c>
      <c r="AX815" s="70">
        <f>SUMIFS([1]инфо!$C$15:$C$28,[1]инфо!$A$15:$A$28,F815)*H814</f>
        <v/>
      </c>
    </row>
    <row r="816">
      <c r="A816" s="71">
        <f>A814+1</f>
        <v/>
      </c>
      <c r="B816" s="90" t="n"/>
      <c r="C816" s="52" t="n"/>
      <c r="D816" s="53" t="n"/>
      <c r="E816" s="91" t="n"/>
      <c r="F816" s="67" t="n"/>
      <c r="G816" s="58" t="n"/>
      <c r="H816" s="55" t="n"/>
      <c r="I816" s="55" t="n"/>
      <c r="J816" s="55" t="n"/>
      <c r="K816" s="55" t="n"/>
      <c r="L816" s="55" t="n"/>
      <c r="M816" s="55" t="n"/>
      <c r="N816" s="55" t="n"/>
      <c r="O816" s="58" t="n"/>
      <c r="P816" s="58" t="n"/>
      <c r="Q816" s="58" t="n"/>
      <c r="R816" s="58" t="n"/>
      <c r="S816" s="59">
        <f>SUM(O816:R816)</f>
        <v/>
      </c>
      <c r="T816" s="52" t="n"/>
      <c r="U816" s="53" t="n"/>
      <c r="V816" s="58" t="n"/>
      <c r="W816" s="68" t="n"/>
      <c r="X816" s="58" t="n"/>
      <c r="Y816" s="52" t="n"/>
      <c r="Z816" s="58" t="n"/>
      <c r="AA816" s="58" t="n"/>
      <c r="AB816" s="58" t="n"/>
      <c r="AC816" s="58" t="n"/>
      <c r="AD816" s="53" t="n"/>
      <c r="AE816" s="61">
        <f>SUMIFS([1]инфо!$D$15:$D$28,[1]инфо!$A$15:$A$28,F816)</f>
        <v/>
      </c>
      <c r="AF816" s="62">
        <f>IF(H816=0,0,N816/H816)</f>
        <v/>
      </c>
      <c r="AG816" s="63">
        <f>AF816-AE816</f>
        <v/>
      </c>
      <c r="AH816" s="61">
        <f>SUMIFS([1]инфо!$E$15:$E$28,[1]инфо!$A$15:$A$28,F816)</f>
        <v/>
      </c>
      <c r="AI816" s="64">
        <f>IF(H816=0,0,S816/H816)</f>
        <v/>
      </c>
      <c r="AJ816" s="63">
        <f>AI816-AH816</f>
        <v/>
      </c>
      <c r="AK816" s="61">
        <f>SUMIFS([1]инфо!$F$15:$F$28,[1]инфо!$A$15:$A$28,F816)</f>
        <v/>
      </c>
      <c r="AL816" s="64">
        <f>IF(H816=0,0,Y816/H816)</f>
        <v/>
      </c>
      <c r="AM816" s="63">
        <f>AL816-AK816</f>
        <v/>
      </c>
      <c r="AN816" s="61">
        <f>SUMIFS([1]инфо!$G$15:$G$28,[1]инфо!$A$15:$A$28,F816)</f>
        <v/>
      </c>
      <c r="AO816" s="64">
        <f>IF(H816=0,0,AA816/H816)</f>
        <v/>
      </c>
      <c r="AP816" s="63">
        <f>AO816-AN816</f>
        <v/>
      </c>
      <c r="AQ816" s="61">
        <f>SUMIFS([1]инфо!$H$15:$H$28,[1]инфо!$A$15:$A$28,F816)</f>
        <v/>
      </c>
      <c r="AR816" s="62">
        <f>IF(H815=0,0,AC816/H815)</f>
        <v/>
      </c>
      <c r="AS816" s="63">
        <f>AR816-AQ816</f>
        <v/>
      </c>
      <c r="AT816" s="61">
        <f>SUMIFS([1]инфо!$I$15:$I$28,[1]инфо!$A$15:$A$28,F816)</f>
        <v/>
      </c>
      <c r="AU816" s="62">
        <f>IF(H816=0,0,AD816/H816)</f>
        <v/>
      </c>
      <c r="AV816" s="63">
        <f>AU816-AT816</f>
        <v/>
      </c>
      <c r="AX816" s="59">
        <f>SUMIFS([1]инфо!$C$15:$C$28,[1]инфо!$A$15:$A$28,F816)*H815</f>
        <v/>
      </c>
    </row>
    <row r="817">
      <c r="A817" s="71">
        <f>A815+1</f>
        <v/>
      </c>
      <c r="B817" s="90" t="n"/>
      <c r="C817" s="52" t="n"/>
      <c r="D817" s="53" t="n"/>
      <c r="E817" s="91" t="n"/>
      <c r="F817" s="67" t="n"/>
      <c r="G817" s="58" t="n"/>
      <c r="H817" s="56" t="n"/>
      <c r="I817" s="55" t="n"/>
      <c r="J817" s="55" t="n"/>
      <c r="K817" s="55" t="n"/>
      <c r="L817" s="55" t="n"/>
      <c r="M817" s="55" t="n"/>
      <c r="N817" s="55" t="n"/>
      <c r="O817" s="58" t="n"/>
      <c r="P817" s="58" t="n"/>
      <c r="Q817" s="58" t="n"/>
      <c r="R817" s="58" t="n"/>
      <c r="S817" s="59">
        <f>SUM(O817:R817)</f>
        <v/>
      </c>
      <c r="T817" s="52" t="n"/>
      <c r="U817" s="53" t="n"/>
      <c r="V817" s="58" t="n"/>
      <c r="W817" s="68" t="n"/>
      <c r="X817" s="58" t="n"/>
      <c r="Y817" s="52" t="n"/>
      <c r="Z817" s="58" t="n"/>
      <c r="AA817" s="58" t="n"/>
      <c r="AB817" s="58" t="n"/>
      <c r="AC817" s="58" t="n"/>
      <c r="AD817" s="53" t="n"/>
      <c r="AE817" s="61">
        <f>SUMIFS([1]инфо!$D$15:$D$28,[1]инфо!$A$15:$A$28,F817)</f>
        <v/>
      </c>
      <c r="AF817" s="62">
        <f>IF(H817=0,0,N817/H817)</f>
        <v/>
      </c>
      <c r="AG817" s="63">
        <f>AF817-AE817</f>
        <v/>
      </c>
      <c r="AH817" s="61">
        <f>SUMIFS([1]инфо!$E$15:$E$28,[1]инфо!$A$15:$A$28,F817)</f>
        <v/>
      </c>
      <c r="AI817" s="64">
        <f>IF(H817=0,0,S817/H817)</f>
        <v/>
      </c>
      <c r="AJ817" s="63">
        <f>AI817-AH817</f>
        <v/>
      </c>
      <c r="AK817" s="61">
        <f>SUMIFS([1]инфо!$F$15:$F$28,[1]инфо!$A$15:$A$28,F817)</f>
        <v/>
      </c>
      <c r="AL817" s="64">
        <f>IF(H817=0,0,Y817/H817)</f>
        <v/>
      </c>
      <c r="AM817" s="63">
        <f>AL817-AK817</f>
        <v/>
      </c>
      <c r="AN817" s="61">
        <f>SUMIFS([1]инфо!$G$15:$G$28,[1]инфо!$A$15:$A$28,F817)</f>
        <v/>
      </c>
      <c r="AO817" s="64">
        <f>IF(H817=0,0,AA817/H817)</f>
        <v/>
      </c>
      <c r="AP817" s="63">
        <f>AO817-AN817</f>
        <v/>
      </c>
      <c r="AQ817" s="61">
        <f>SUMIFS([1]инфо!$H$15:$H$28,[1]инфо!$A$15:$A$28,F817)</f>
        <v/>
      </c>
      <c r="AR817" s="62">
        <f>IF(H816=0,0,AC817/H816)</f>
        <v/>
      </c>
      <c r="AS817" s="63">
        <f>AR817-AQ817</f>
        <v/>
      </c>
      <c r="AT817" s="61">
        <f>SUMIFS([1]инфо!$I$15:$I$28,[1]инфо!$A$15:$A$28,F817)</f>
        <v/>
      </c>
      <c r="AU817" s="62">
        <f>IF(H817=0,0,AD817/H817)</f>
        <v/>
      </c>
      <c r="AV817" s="63">
        <f>AU817-AT817</f>
        <v/>
      </c>
      <c r="AX817" s="59">
        <f>SUMIFS([1]инфо!$C$15:$C$28,[1]инфо!$A$15:$A$28,F817)*H816</f>
        <v/>
      </c>
    </row>
    <row r="818">
      <c r="A818" s="71">
        <f>A816+1</f>
        <v/>
      </c>
      <c r="B818" s="88" t="n"/>
      <c r="C818" s="77" t="n"/>
      <c r="D818" s="78" t="n"/>
      <c r="E818" s="91" t="n"/>
      <c r="F818" s="67" t="n"/>
      <c r="G818" s="79" t="n"/>
      <c r="H818" s="67" t="n"/>
      <c r="I818" s="55" t="n"/>
      <c r="J818" s="55" t="n"/>
      <c r="K818" s="55" t="n"/>
      <c r="L818" s="55" t="n"/>
      <c r="M818" s="55" t="n"/>
      <c r="N818" s="56" t="n"/>
      <c r="O818" s="79" t="n"/>
      <c r="P818" s="79" t="n"/>
      <c r="Q818" s="79" t="n"/>
      <c r="R818" s="79" t="n"/>
      <c r="S818" s="80">
        <f>SUM(O818:R818)</f>
        <v/>
      </c>
      <c r="T818" s="77" t="n"/>
      <c r="U818" s="78" t="n"/>
      <c r="V818" s="79" t="n"/>
      <c r="W818" s="68" t="n"/>
      <c r="X818" s="79" t="n"/>
      <c r="Y818" s="77" t="n"/>
      <c r="Z818" s="79" t="n"/>
      <c r="AA818" s="79" t="n"/>
      <c r="AB818" s="79" t="n"/>
      <c r="AC818" s="79" t="n"/>
      <c r="AD818" s="78" t="n"/>
      <c r="AE818" s="81">
        <f>SUMIFS([1]инфо!$D$15:$D$28,[1]инфо!$A$15:$A$28,F818)</f>
        <v/>
      </c>
      <c r="AF818" s="62">
        <f>IF(H818=0,0,N818/H818)</f>
        <v/>
      </c>
      <c r="AG818" s="82">
        <f>AF818-AE818</f>
        <v/>
      </c>
      <c r="AH818" s="81">
        <f>SUMIFS([1]инфо!$E$15:$E$28,[1]инфо!$A$15:$A$28,F818)</f>
        <v/>
      </c>
      <c r="AI818" s="64">
        <f>IF(H818=0,0,S818/H818)</f>
        <v/>
      </c>
      <c r="AJ818" s="82">
        <f>AI818-AH818</f>
        <v/>
      </c>
      <c r="AK818" s="81">
        <f>SUMIFS([1]инфо!$F$15:$F$28,[1]инфо!$A$15:$A$28,F818)</f>
        <v/>
      </c>
      <c r="AL818" s="64">
        <f>IF(H818=0,0,Y818/H818)</f>
        <v/>
      </c>
      <c r="AM818" s="82">
        <f>AL818-AK818</f>
        <v/>
      </c>
      <c r="AN818" s="81">
        <f>SUMIFS([1]инфо!$G$15:$G$28,[1]инфо!$A$15:$A$28,F818)</f>
        <v/>
      </c>
      <c r="AO818" s="64">
        <f>IF(H818=0,0,AA818/H818)</f>
        <v/>
      </c>
      <c r="AP818" s="82">
        <f>AO818-AN818</f>
        <v/>
      </c>
      <c r="AQ818" s="81">
        <f>SUMIFS([1]инфо!$H$15:$H$28,[1]инфо!$A$15:$A$28,F818)</f>
        <v/>
      </c>
      <c r="AR818" s="85">
        <f>IF(H817=0,0,AC818/H817)</f>
        <v/>
      </c>
      <c r="AS818" s="82">
        <f>AR818-AQ818</f>
        <v/>
      </c>
      <c r="AT818" s="81">
        <f>SUMIFS([1]инфо!$I$15:$I$28,[1]инфо!$A$15:$A$28,F818)</f>
        <v/>
      </c>
      <c r="AU818" s="62">
        <f>IF(H818=0,0,AD818/H818)</f>
        <v/>
      </c>
      <c r="AV818" s="82">
        <f>AU818-AT818</f>
        <v/>
      </c>
      <c r="AX818" s="80">
        <f>SUMIFS([1]инфо!$C$15:$C$28,[1]инфо!$A$15:$A$28,F818)*H817</f>
        <v/>
      </c>
    </row>
    <row r="819">
      <c r="A819" s="71">
        <f>A817+1</f>
        <v/>
      </c>
      <c r="B819" s="89" t="n"/>
      <c r="C819" s="72" t="n"/>
      <c r="D819" s="73" t="n"/>
      <c r="E819" s="91" t="n"/>
      <c r="F819" s="67" t="n"/>
      <c r="G819" s="74" t="n"/>
      <c r="H819" s="55" t="n"/>
      <c r="I819" s="55" t="n"/>
      <c r="J819" s="55" t="n"/>
      <c r="K819" s="55" t="n"/>
      <c r="L819" s="55" t="n"/>
      <c r="M819" s="55" t="n"/>
      <c r="N819" s="67" t="n"/>
      <c r="O819" s="74" t="n"/>
      <c r="P819" s="74" t="n"/>
      <c r="Q819" s="74" t="n"/>
      <c r="R819" s="74" t="n"/>
      <c r="S819" s="70">
        <f>SUM(O819:R819)</f>
        <v/>
      </c>
      <c r="T819" s="72" t="n"/>
      <c r="U819" s="73" t="n"/>
      <c r="V819" s="74" t="n"/>
      <c r="W819" s="68" t="n"/>
      <c r="X819" s="74" t="n"/>
      <c r="Y819" s="72" t="n"/>
      <c r="Z819" s="74" t="n"/>
      <c r="AA819" s="74" t="n"/>
      <c r="AB819" s="74" t="n"/>
      <c r="AC819" s="74" t="n"/>
      <c r="AD819" s="73" t="n"/>
      <c r="AE819" s="75">
        <f>SUMIFS([1]инфо!$D$15:$D$28,[1]инфо!$A$15:$A$28,F819)</f>
        <v/>
      </c>
      <c r="AF819" s="62">
        <f>IF(H819=0,0,N819/H819)</f>
        <v/>
      </c>
      <c r="AG819" s="76">
        <f>AF819-AE819</f>
        <v/>
      </c>
      <c r="AH819" s="75">
        <f>SUMIFS([1]инфо!$E$15:$E$28,[1]инфо!$A$15:$A$28,F819)</f>
        <v/>
      </c>
      <c r="AI819" s="64">
        <f>IF(H819=0,0,S819/H819)</f>
        <v/>
      </c>
      <c r="AJ819" s="76">
        <f>AI819-AH819</f>
        <v/>
      </c>
      <c r="AK819" s="75">
        <f>SUMIFS([1]инфо!$F$15:$F$28,[1]инфо!$A$15:$A$28,F819)</f>
        <v/>
      </c>
      <c r="AL819" s="64">
        <f>IF(H819=0,0,Y819/H819)</f>
        <v/>
      </c>
      <c r="AM819" s="76">
        <f>AL819-AK819</f>
        <v/>
      </c>
      <c r="AN819" s="75">
        <f>SUMIFS([1]инфо!$G$15:$G$28,[1]инфо!$A$15:$A$28,F819)</f>
        <v/>
      </c>
      <c r="AO819" s="64">
        <f>IF(H819=0,0,AA819/H819)</f>
        <v/>
      </c>
      <c r="AP819" s="76">
        <f>AO819-AN819</f>
        <v/>
      </c>
      <c r="AQ819" s="75">
        <f>SUMIFS([1]инфо!$H$15:$H$28,[1]инфо!$A$15:$A$28,F819)</f>
        <v/>
      </c>
      <c r="AR819" s="64">
        <f>IF(H818=0,0,AC819/H818)</f>
        <v/>
      </c>
      <c r="AS819" s="76">
        <f>AR819-AQ819</f>
        <v/>
      </c>
      <c r="AT819" s="75">
        <f>SUMIFS([1]инфо!$I$15:$I$28,[1]инфо!$A$15:$A$28,F819)</f>
        <v/>
      </c>
      <c r="AU819" s="62">
        <f>IF(H819=0,0,AD819/H819)</f>
        <v/>
      </c>
      <c r="AV819" s="76">
        <f>AU819-AT819</f>
        <v/>
      </c>
      <c r="AX819" s="70">
        <f>SUMIFS([1]инфо!$C$15:$C$28,[1]инфо!$A$15:$A$28,F819)*H818</f>
        <v/>
      </c>
    </row>
    <row r="820">
      <c r="A820" s="71">
        <f>A818+1</f>
        <v/>
      </c>
      <c r="B820" s="90" t="n"/>
      <c r="C820" s="52" t="n"/>
      <c r="D820" s="53" t="n"/>
      <c r="E820" s="91" t="n"/>
      <c r="F820" s="67" t="n"/>
      <c r="G820" s="58" t="n"/>
      <c r="H820" s="55" t="n"/>
      <c r="I820" s="55" t="n"/>
      <c r="J820" s="55" t="n"/>
      <c r="K820" s="55" t="n"/>
      <c r="L820" s="55" t="n"/>
      <c r="M820" s="55" t="n"/>
      <c r="N820" s="55" t="n"/>
      <c r="O820" s="58" t="n"/>
      <c r="P820" s="58" t="n"/>
      <c r="Q820" s="58" t="n"/>
      <c r="R820" s="58" t="n"/>
      <c r="S820" s="59">
        <f>SUM(O820:R820)</f>
        <v/>
      </c>
      <c r="T820" s="52" t="n"/>
      <c r="U820" s="53" t="n"/>
      <c r="V820" s="58" t="n"/>
      <c r="W820" s="68" t="n"/>
      <c r="X820" s="58" t="n"/>
      <c r="Y820" s="52" t="n"/>
      <c r="Z820" s="58" t="n"/>
      <c r="AA820" s="58" t="n"/>
      <c r="AB820" s="58" t="n"/>
      <c r="AC820" s="58" t="n"/>
      <c r="AD820" s="53" t="n"/>
      <c r="AE820" s="61">
        <f>SUMIFS([1]инфо!$D$15:$D$28,[1]инфо!$A$15:$A$28,F820)</f>
        <v/>
      </c>
      <c r="AF820" s="62">
        <f>IF(H820=0,0,N820/H820)</f>
        <v/>
      </c>
      <c r="AG820" s="63">
        <f>AF820-AE820</f>
        <v/>
      </c>
      <c r="AH820" s="61">
        <f>SUMIFS([1]инфо!$E$15:$E$28,[1]инфо!$A$15:$A$28,F820)</f>
        <v/>
      </c>
      <c r="AI820" s="64">
        <f>IF(H820=0,0,S820/H820)</f>
        <v/>
      </c>
      <c r="AJ820" s="63">
        <f>AI820-AH820</f>
        <v/>
      </c>
      <c r="AK820" s="61">
        <f>SUMIFS([1]инфо!$F$15:$F$28,[1]инфо!$A$15:$A$28,F820)</f>
        <v/>
      </c>
      <c r="AL820" s="64">
        <f>IF(H820=0,0,Y820/H820)</f>
        <v/>
      </c>
      <c r="AM820" s="63">
        <f>AL820-AK820</f>
        <v/>
      </c>
      <c r="AN820" s="61">
        <f>SUMIFS([1]инфо!$G$15:$G$28,[1]инфо!$A$15:$A$28,F820)</f>
        <v/>
      </c>
      <c r="AO820" s="64">
        <f>IF(H820=0,0,AA820/H820)</f>
        <v/>
      </c>
      <c r="AP820" s="63">
        <f>AO820-AN820</f>
        <v/>
      </c>
      <c r="AQ820" s="61">
        <f>SUMIFS([1]инфо!$H$15:$H$28,[1]инфо!$A$15:$A$28,F820)</f>
        <v/>
      </c>
      <c r="AR820" s="62">
        <f>IF(H819=0,0,AC820/H819)</f>
        <v/>
      </c>
      <c r="AS820" s="63">
        <f>AR820-AQ820</f>
        <v/>
      </c>
      <c r="AT820" s="61">
        <f>SUMIFS([1]инфо!$I$15:$I$28,[1]инфо!$A$15:$A$28,F820)</f>
        <v/>
      </c>
      <c r="AU820" s="62">
        <f>IF(H820=0,0,AD820/H820)</f>
        <v/>
      </c>
      <c r="AV820" s="63">
        <f>AU820-AT820</f>
        <v/>
      </c>
      <c r="AX820" s="59">
        <f>SUMIFS([1]инфо!$C$15:$C$28,[1]инфо!$A$15:$A$28,F820)*H819</f>
        <v/>
      </c>
    </row>
    <row r="821">
      <c r="A821" s="71">
        <f>A819+1</f>
        <v/>
      </c>
      <c r="B821" s="90" t="n"/>
      <c r="C821" s="52" t="n"/>
      <c r="D821" s="53" t="n"/>
      <c r="E821" s="91" t="n"/>
      <c r="F821" s="67" t="n"/>
      <c r="G821" s="58" t="n"/>
      <c r="H821" s="56" t="n"/>
      <c r="I821" s="55" t="n"/>
      <c r="J821" s="55" t="n"/>
      <c r="K821" s="55" t="n"/>
      <c r="L821" s="55" t="n"/>
      <c r="M821" s="55" t="n"/>
      <c r="N821" s="55" t="n"/>
      <c r="O821" s="58" t="n"/>
      <c r="P821" s="58" t="n"/>
      <c r="Q821" s="58" t="n"/>
      <c r="R821" s="58" t="n"/>
      <c r="S821" s="59">
        <f>SUM(O821:R821)</f>
        <v/>
      </c>
      <c r="T821" s="52" t="n"/>
      <c r="U821" s="53" t="n"/>
      <c r="V821" s="58" t="n"/>
      <c r="W821" s="68" t="n"/>
      <c r="X821" s="58" t="n"/>
      <c r="Y821" s="52" t="n"/>
      <c r="Z821" s="58" t="n"/>
      <c r="AA821" s="58" t="n"/>
      <c r="AB821" s="58" t="n"/>
      <c r="AC821" s="58" t="n"/>
      <c r="AD821" s="53" t="n"/>
      <c r="AE821" s="61">
        <f>SUMIFS([1]инфо!$D$15:$D$28,[1]инфо!$A$15:$A$28,F821)</f>
        <v/>
      </c>
      <c r="AF821" s="62">
        <f>IF(H821=0,0,N821/H821)</f>
        <v/>
      </c>
      <c r="AG821" s="63">
        <f>AF821-AE821</f>
        <v/>
      </c>
      <c r="AH821" s="61">
        <f>SUMIFS([1]инфо!$E$15:$E$28,[1]инфо!$A$15:$A$28,F821)</f>
        <v/>
      </c>
      <c r="AI821" s="64">
        <f>IF(H821=0,0,S821/H821)</f>
        <v/>
      </c>
      <c r="AJ821" s="63">
        <f>AI821-AH821</f>
        <v/>
      </c>
      <c r="AK821" s="61">
        <f>SUMIFS([1]инфо!$F$15:$F$28,[1]инфо!$A$15:$A$28,F821)</f>
        <v/>
      </c>
      <c r="AL821" s="64">
        <f>IF(H821=0,0,Y821/H821)</f>
        <v/>
      </c>
      <c r="AM821" s="63">
        <f>AL821-AK821</f>
        <v/>
      </c>
      <c r="AN821" s="61">
        <f>SUMIFS([1]инфо!$G$15:$G$28,[1]инфо!$A$15:$A$28,F821)</f>
        <v/>
      </c>
      <c r="AO821" s="64">
        <f>IF(H821=0,0,AA821/H821)</f>
        <v/>
      </c>
      <c r="AP821" s="63">
        <f>AO821-AN821</f>
        <v/>
      </c>
      <c r="AQ821" s="61">
        <f>SUMIFS([1]инфо!$H$15:$H$28,[1]инфо!$A$15:$A$28,F821)</f>
        <v/>
      </c>
      <c r="AR821" s="62">
        <f>IF(H820=0,0,AC821/H820)</f>
        <v/>
      </c>
      <c r="AS821" s="63">
        <f>AR821-AQ821</f>
        <v/>
      </c>
      <c r="AT821" s="61">
        <f>SUMIFS([1]инфо!$I$15:$I$28,[1]инфо!$A$15:$A$28,F821)</f>
        <v/>
      </c>
      <c r="AU821" s="62">
        <f>IF(H821=0,0,AD821/H821)</f>
        <v/>
      </c>
      <c r="AV821" s="63">
        <f>AU821-AT821</f>
        <v/>
      </c>
      <c r="AX821" s="59">
        <f>SUMIFS([1]инфо!$C$15:$C$28,[1]инфо!$A$15:$A$28,F821)*H820</f>
        <v/>
      </c>
    </row>
    <row r="822">
      <c r="A822" s="71">
        <f>A820+1</f>
        <v/>
      </c>
      <c r="B822" s="88" t="n"/>
      <c r="C822" s="77" t="n"/>
      <c r="D822" s="78" t="n"/>
      <c r="E822" s="91" t="n"/>
      <c r="F822" s="67" t="n"/>
      <c r="G822" s="79" t="n"/>
      <c r="H822" s="67" t="n"/>
      <c r="I822" s="55" t="n"/>
      <c r="J822" s="55" t="n"/>
      <c r="K822" s="55" t="n"/>
      <c r="L822" s="55" t="n"/>
      <c r="M822" s="55" t="n"/>
      <c r="N822" s="56" t="n"/>
      <c r="O822" s="79" t="n"/>
      <c r="P822" s="79" t="n"/>
      <c r="Q822" s="79" t="n"/>
      <c r="R822" s="79" t="n"/>
      <c r="S822" s="80">
        <f>SUM(O822:R822)</f>
        <v/>
      </c>
      <c r="T822" s="77" t="n"/>
      <c r="U822" s="78" t="n"/>
      <c r="V822" s="79" t="n"/>
      <c r="W822" s="68" t="n"/>
      <c r="X822" s="79" t="n"/>
      <c r="Y822" s="77" t="n"/>
      <c r="Z822" s="79" t="n"/>
      <c r="AA822" s="79" t="n"/>
      <c r="AB822" s="79" t="n"/>
      <c r="AC822" s="79" t="n"/>
      <c r="AD822" s="78" t="n"/>
      <c r="AE822" s="81">
        <f>SUMIFS([1]инфо!$D$15:$D$28,[1]инфо!$A$15:$A$28,F822)</f>
        <v/>
      </c>
      <c r="AF822" s="62">
        <f>IF(H822=0,0,N822/H822)</f>
        <v/>
      </c>
      <c r="AG822" s="82">
        <f>AF822-AE822</f>
        <v/>
      </c>
      <c r="AH822" s="81">
        <f>SUMIFS([1]инфо!$E$15:$E$28,[1]инфо!$A$15:$A$28,F822)</f>
        <v/>
      </c>
      <c r="AI822" s="64">
        <f>IF(H822=0,0,S822/H822)</f>
        <v/>
      </c>
      <c r="AJ822" s="82">
        <f>AI822-AH822</f>
        <v/>
      </c>
      <c r="AK822" s="81">
        <f>SUMIFS([1]инфо!$F$15:$F$28,[1]инфо!$A$15:$A$28,F822)</f>
        <v/>
      </c>
      <c r="AL822" s="64">
        <f>IF(H822=0,0,Y822/H822)</f>
        <v/>
      </c>
      <c r="AM822" s="82">
        <f>AL822-AK822</f>
        <v/>
      </c>
      <c r="AN822" s="81">
        <f>SUMIFS([1]инфо!$G$15:$G$28,[1]инфо!$A$15:$A$28,F822)</f>
        <v/>
      </c>
      <c r="AO822" s="64">
        <f>IF(H822=0,0,AA822/H822)</f>
        <v/>
      </c>
      <c r="AP822" s="82">
        <f>AO822-AN822</f>
        <v/>
      </c>
      <c r="AQ822" s="81">
        <f>SUMIFS([1]инфо!$H$15:$H$28,[1]инфо!$A$15:$A$28,F822)</f>
        <v/>
      </c>
      <c r="AR822" s="85">
        <f>IF(H821=0,0,AC822/H821)</f>
        <v/>
      </c>
      <c r="AS822" s="82">
        <f>AR822-AQ822</f>
        <v/>
      </c>
      <c r="AT822" s="81">
        <f>SUMIFS([1]инфо!$I$15:$I$28,[1]инфо!$A$15:$A$28,F822)</f>
        <v/>
      </c>
      <c r="AU822" s="62">
        <f>IF(H822=0,0,AD822/H822)</f>
        <v/>
      </c>
      <c r="AV822" s="82">
        <f>AU822-AT822</f>
        <v/>
      </c>
      <c r="AX822" s="80">
        <f>SUMIFS([1]инфо!$C$15:$C$28,[1]инфо!$A$15:$A$28,F822)*H821</f>
        <v/>
      </c>
    </row>
    <row r="823">
      <c r="A823" s="71">
        <f>A821+1</f>
        <v/>
      </c>
      <c r="B823" s="89" t="n"/>
      <c r="C823" s="72" t="n"/>
      <c r="D823" s="73" t="n"/>
      <c r="E823" s="91" t="n"/>
      <c r="F823" s="67" t="n"/>
      <c r="G823" s="74" t="n"/>
      <c r="H823" s="55" t="n"/>
      <c r="I823" s="55" t="n"/>
      <c r="J823" s="55" t="n"/>
      <c r="K823" s="55" t="n"/>
      <c r="L823" s="55" t="n"/>
      <c r="M823" s="55" t="n"/>
      <c r="N823" s="67" t="n"/>
      <c r="O823" s="74" t="n"/>
      <c r="P823" s="74" t="n"/>
      <c r="Q823" s="74" t="n"/>
      <c r="R823" s="74" t="n"/>
      <c r="S823" s="70">
        <f>SUM(O823:R823)</f>
        <v/>
      </c>
      <c r="T823" s="72" t="n"/>
      <c r="U823" s="73" t="n"/>
      <c r="V823" s="74" t="n"/>
      <c r="W823" s="68" t="n"/>
      <c r="X823" s="74" t="n"/>
      <c r="Y823" s="72" t="n"/>
      <c r="Z823" s="74" t="n"/>
      <c r="AA823" s="74" t="n"/>
      <c r="AB823" s="74" t="n"/>
      <c r="AC823" s="74" t="n"/>
      <c r="AD823" s="73" t="n"/>
      <c r="AE823" s="75">
        <f>SUMIFS([1]инфо!$D$15:$D$28,[1]инфо!$A$15:$A$28,F823)</f>
        <v/>
      </c>
      <c r="AF823" s="62">
        <f>IF(H823=0,0,N823/H823)</f>
        <v/>
      </c>
      <c r="AG823" s="76">
        <f>AF823-AE823</f>
        <v/>
      </c>
      <c r="AH823" s="75">
        <f>SUMIFS([1]инфо!$E$15:$E$28,[1]инфо!$A$15:$A$28,F823)</f>
        <v/>
      </c>
      <c r="AI823" s="64">
        <f>IF(H823=0,0,S823/H823)</f>
        <v/>
      </c>
      <c r="AJ823" s="76">
        <f>AI823-AH823</f>
        <v/>
      </c>
      <c r="AK823" s="75">
        <f>SUMIFS([1]инфо!$F$15:$F$28,[1]инфо!$A$15:$A$28,F823)</f>
        <v/>
      </c>
      <c r="AL823" s="64">
        <f>IF(H823=0,0,Y823/H823)</f>
        <v/>
      </c>
      <c r="AM823" s="76">
        <f>AL823-AK823</f>
        <v/>
      </c>
      <c r="AN823" s="75">
        <f>SUMIFS([1]инфо!$G$15:$G$28,[1]инфо!$A$15:$A$28,F823)</f>
        <v/>
      </c>
      <c r="AO823" s="64">
        <f>IF(H823=0,0,AA823/H823)</f>
        <v/>
      </c>
      <c r="AP823" s="76">
        <f>AO823-AN823</f>
        <v/>
      </c>
      <c r="AQ823" s="75">
        <f>SUMIFS([1]инфо!$H$15:$H$28,[1]инфо!$A$15:$A$28,F823)</f>
        <v/>
      </c>
      <c r="AR823" s="64">
        <f>IF(H822=0,0,AC823/H822)</f>
        <v/>
      </c>
      <c r="AS823" s="76">
        <f>AR823-AQ823</f>
        <v/>
      </c>
      <c r="AT823" s="75">
        <f>SUMIFS([1]инфо!$I$15:$I$28,[1]инфо!$A$15:$A$28,F823)</f>
        <v/>
      </c>
      <c r="AU823" s="62">
        <f>IF(H823=0,0,AD823/H823)</f>
        <v/>
      </c>
      <c r="AV823" s="76">
        <f>AU823-AT823</f>
        <v/>
      </c>
      <c r="AX823" s="70">
        <f>SUMIFS([1]инфо!$C$15:$C$28,[1]инфо!$A$15:$A$28,F823)*H822</f>
        <v/>
      </c>
    </row>
    <row r="824">
      <c r="A824" s="71">
        <f>A822+1</f>
        <v/>
      </c>
      <c r="B824" s="90" t="n"/>
      <c r="C824" s="52" t="n"/>
      <c r="D824" s="53" t="n"/>
      <c r="E824" s="91" t="n"/>
      <c r="F824" s="67" t="n"/>
      <c r="G824" s="58" t="n"/>
      <c r="H824" s="55" t="n"/>
      <c r="I824" s="55" t="n"/>
      <c r="J824" s="55" t="n"/>
      <c r="K824" s="55" t="n"/>
      <c r="L824" s="55" t="n"/>
      <c r="M824" s="55" t="n"/>
      <c r="N824" s="55" t="n"/>
      <c r="O824" s="58" t="n"/>
      <c r="P824" s="58" t="n"/>
      <c r="Q824" s="58" t="n"/>
      <c r="R824" s="58" t="n"/>
      <c r="S824" s="59">
        <f>SUM(O824:R824)</f>
        <v/>
      </c>
      <c r="T824" s="52" t="n"/>
      <c r="U824" s="53" t="n"/>
      <c r="V824" s="58" t="n"/>
      <c r="W824" s="68" t="n"/>
      <c r="X824" s="58" t="n"/>
      <c r="Y824" s="52" t="n"/>
      <c r="Z824" s="58" t="n"/>
      <c r="AA824" s="58" t="n"/>
      <c r="AB824" s="58" t="n"/>
      <c r="AC824" s="58" t="n"/>
      <c r="AD824" s="53" t="n"/>
      <c r="AE824" s="61">
        <f>SUMIFS([1]инфо!$D$15:$D$28,[1]инфо!$A$15:$A$28,F824)</f>
        <v/>
      </c>
      <c r="AF824" s="62">
        <f>IF(H824=0,0,N824/H824)</f>
        <v/>
      </c>
      <c r="AG824" s="63">
        <f>AF824-AE824</f>
        <v/>
      </c>
      <c r="AH824" s="61">
        <f>SUMIFS([1]инфо!$E$15:$E$28,[1]инфо!$A$15:$A$28,F824)</f>
        <v/>
      </c>
      <c r="AI824" s="64">
        <f>IF(H824=0,0,S824/H824)</f>
        <v/>
      </c>
      <c r="AJ824" s="63">
        <f>AI824-AH824</f>
        <v/>
      </c>
      <c r="AK824" s="61">
        <f>SUMIFS([1]инфо!$F$15:$F$28,[1]инфо!$A$15:$A$28,F824)</f>
        <v/>
      </c>
      <c r="AL824" s="64">
        <f>IF(H824=0,0,Y824/H824)</f>
        <v/>
      </c>
      <c r="AM824" s="63">
        <f>AL824-AK824</f>
        <v/>
      </c>
      <c r="AN824" s="61">
        <f>SUMIFS([1]инфо!$G$15:$G$28,[1]инфо!$A$15:$A$28,F824)</f>
        <v/>
      </c>
      <c r="AO824" s="64">
        <f>IF(H824=0,0,AA824/H824)</f>
        <v/>
      </c>
      <c r="AP824" s="63">
        <f>AO824-AN824</f>
        <v/>
      </c>
      <c r="AQ824" s="61">
        <f>SUMIFS([1]инфо!$H$15:$H$28,[1]инфо!$A$15:$A$28,F824)</f>
        <v/>
      </c>
      <c r="AR824" s="62">
        <f>IF(H823=0,0,AC824/H823)</f>
        <v/>
      </c>
      <c r="AS824" s="63">
        <f>AR824-AQ824</f>
        <v/>
      </c>
      <c r="AT824" s="61">
        <f>SUMIFS([1]инфо!$I$15:$I$28,[1]инфо!$A$15:$A$28,F824)</f>
        <v/>
      </c>
      <c r="AU824" s="62">
        <f>IF(H824=0,0,AD824/H824)</f>
        <v/>
      </c>
      <c r="AV824" s="63">
        <f>AU824-AT824</f>
        <v/>
      </c>
      <c r="AX824" s="59">
        <f>SUMIFS([1]инфо!$C$15:$C$28,[1]инфо!$A$15:$A$28,F824)*H823</f>
        <v/>
      </c>
    </row>
    <row r="825">
      <c r="A825" s="71">
        <f>A823+1</f>
        <v/>
      </c>
      <c r="B825" s="90" t="n"/>
      <c r="C825" s="52" t="n"/>
      <c r="D825" s="53" t="n"/>
      <c r="E825" s="91" t="n"/>
      <c r="F825" s="67" t="n"/>
      <c r="G825" s="58" t="n"/>
      <c r="H825" s="56" t="n"/>
      <c r="I825" s="55" t="n"/>
      <c r="J825" s="55" t="n"/>
      <c r="K825" s="55" t="n"/>
      <c r="L825" s="55" t="n"/>
      <c r="M825" s="55" t="n"/>
      <c r="N825" s="55" t="n"/>
      <c r="O825" s="58" t="n"/>
      <c r="P825" s="58" t="n"/>
      <c r="Q825" s="58" t="n"/>
      <c r="R825" s="58" t="n"/>
      <c r="S825" s="59">
        <f>SUM(O825:R825)</f>
        <v/>
      </c>
      <c r="T825" s="52" t="n"/>
      <c r="U825" s="53" t="n"/>
      <c r="V825" s="58" t="n"/>
      <c r="W825" s="68" t="n"/>
      <c r="X825" s="58" t="n"/>
      <c r="Y825" s="52" t="n"/>
      <c r="Z825" s="58" t="n"/>
      <c r="AA825" s="58" t="n"/>
      <c r="AB825" s="58" t="n"/>
      <c r="AC825" s="58" t="n"/>
      <c r="AD825" s="53" t="n"/>
      <c r="AE825" s="61">
        <f>SUMIFS([1]инфо!$D$15:$D$28,[1]инфо!$A$15:$A$28,F825)</f>
        <v/>
      </c>
      <c r="AF825" s="62">
        <f>IF(H825=0,0,N825/H825)</f>
        <v/>
      </c>
      <c r="AG825" s="63">
        <f>AF825-AE825</f>
        <v/>
      </c>
      <c r="AH825" s="61">
        <f>SUMIFS([1]инфо!$E$15:$E$28,[1]инфо!$A$15:$A$28,F825)</f>
        <v/>
      </c>
      <c r="AI825" s="64">
        <f>IF(H825=0,0,S825/H825)</f>
        <v/>
      </c>
      <c r="AJ825" s="63">
        <f>AI825-AH825</f>
        <v/>
      </c>
      <c r="AK825" s="61">
        <f>SUMIFS([1]инфо!$F$15:$F$28,[1]инфо!$A$15:$A$28,F825)</f>
        <v/>
      </c>
      <c r="AL825" s="64">
        <f>IF(H825=0,0,Y825/H825)</f>
        <v/>
      </c>
      <c r="AM825" s="63">
        <f>AL825-AK825</f>
        <v/>
      </c>
      <c r="AN825" s="61">
        <f>SUMIFS([1]инфо!$G$15:$G$28,[1]инфо!$A$15:$A$28,F825)</f>
        <v/>
      </c>
      <c r="AO825" s="64">
        <f>IF(H825=0,0,AA825/H825)</f>
        <v/>
      </c>
      <c r="AP825" s="63">
        <f>AO825-AN825</f>
        <v/>
      </c>
      <c r="AQ825" s="61">
        <f>SUMIFS([1]инфо!$H$15:$H$28,[1]инфо!$A$15:$A$28,F825)</f>
        <v/>
      </c>
      <c r="AR825" s="62">
        <f>IF(H824=0,0,AC825/H824)</f>
        <v/>
      </c>
      <c r="AS825" s="63">
        <f>AR825-AQ825</f>
        <v/>
      </c>
      <c r="AT825" s="61">
        <f>SUMIFS([1]инфо!$I$15:$I$28,[1]инфо!$A$15:$A$28,F825)</f>
        <v/>
      </c>
      <c r="AU825" s="62">
        <f>IF(H825=0,0,AD825/H825)</f>
        <v/>
      </c>
      <c r="AV825" s="63">
        <f>AU825-AT825</f>
        <v/>
      </c>
      <c r="AX825" s="59">
        <f>SUMIFS([1]инфо!$C$15:$C$28,[1]инфо!$A$15:$A$28,F825)*H824</f>
        <v/>
      </c>
    </row>
    <row r="826">
      <c r="A826" s="71">
        <f>A824+1</f>
        <v/>
      </c>
      <c r="B826" s="88" t="n"/>
      <c r="C826" s="77" t="n"/>
      <c r="D826" s="78" t="n"/>
      <c r="E826" s="91" t="n"/>
      <c r="F826" s="67" t="n"/>
      <c r="G826" s="79" t="n"/>
      <c r="H826" s="67" t="n"/>
      <c r="I826" s="55" t="n"/>
      <c r="J826" s="55" t="n"/>
      <c r="K826" s="55" t="n"/>
      <c r="L826" s="55" t="n"/>
      <c r="M826" s="55" t="n"/>
      <c r="N826" s="56" t="n"/>
      <c r="O826" s="79" t="n"/>
      <c r="P826" s="79" t="n"/>
      <c r="Q826" s="79" t="n"/>
      <c r="R826" s="79" t="n"/>
      <c r="S826" s="80">
        <f>SUM(O826:R826)</f>
        <v/>
      </c>
      <c r="T826" s="77" t="n"/>
      <c r="U826" s="78" t="n"/>
      <c r="V826" s="79" t="n"/>
      <c r="W826" s="68" t="n"/>
      <c r="X826" s="79" t="n"/>
      <c r="Y826" s="77" t="n"/>
      <c r="Z826" s="79" t="n"/>
      <c r="AA826" s="79" t="n"/>
      <c r="AB826" s="79" t="n"/>
      <c r="AC826" s="79" t="n"/>
      <c r="AD826" s="78" t="n"/>
      <c r="AE826" s="81">
        <f>SUMIFS([1]инфо!$D$15:$D$28,[1]инфо!$A$15:$A$28,F826)</f>
        <v/>
      </c>
      <c r="AF826" s="62">
        <f>IF(H826=0,0,N826/H826)</f>
        <v/>
      </c>
      <c r="AG826" s="82">
        <f>AF826-AE826</f>
        <v/>
      </c>
      <c r="AH826" s="81">
        <f>SUMIFS([1]инфо!$E$15:$E$28,[1]инфо!$A$15:$A$28,F826)</f>
        <v/>
      </c>
      <c r="AI826" s="64">
        <f>IF(H826=0,0,S826/H826)</f>
        <v/>
      </c>
      <c r="AJ826" s="82">
        <f>AI826-AH826</f>
        <v/>
      </c>
      <c r="AK826" s="81">
        <f>SUMIFS([1]инфо!$F$15:$F$28,[1]инфо!$A$15:$A$28,F826)</f>
        <v/>
      </c>
      <c r="AL826" s="64">
        <f>IF(H826=0,0,Y826/H826)</f>
        <v/>
      </c>
      <c r="AM826" s="82">
        <f>AL826-AK826</f>
        <v/>
      </c>
      <c r="AN826" s="81">
        <f>SUMIFS([1]инфо!$G$15:$G$28,[1]инфо!$A$15:$A$28,F826)</f>
        <v/>
      </c>
      <c r="AO826" s="64">
        <f>IF(H826=0,0,AA826/H826)</f>
        <v/>
      </c>
      <c r="AP826" s="82">
        <f>AO826-AN826</f>
        <v/>
      </c>
      <c r="AQ826" s="81">
        <f>SUMIFS([1]инфо!$H$15:$H$28,[1]инфо!$A$15:$A$28,F826)</f>
        <v/>
      </c>
      <c r="AR826" s="85">
        <f>IF(H825=0,0,AC826/H825)</f>
        <v/>
      </c>
      <c r="AS826" s="82">
        <f>AR826-AQ826</f>
        <v/>
      </c>
      <c r="AT826" s="81">
        <f>SUMIFS([1]инфо!$I$15:$I$28,[1]инфо!$A$15:$A$28,F826)</f>
        <v/>
      </c>
      <c r="AU826" s="62">
        <f>IF(H826=0,0,AD826/H826)</f>
        <v/>
      </c>
      <c r="AV826" s="82">
        <f>AU826-AT826</f>
        <v/>
      </c>
      <c r="AX826" s="80">
        <f>SUMIFS([1]инфо!$C$15:$C$28,[1]инфо!$A$15:$A$28,F826)*H825</f>
        <v/>
      </c>
    </row>
    <row r="827">
      <c r="A827" s="71">
        <f>A825+1</f>
        <v/>
      </c>
      <c r="B827" s="89" t="n"/>
      <c r="C827" s="72" t="n"/>
      <c r="D827" s="73" t="n"/>
      <c r="E827" s="91" t="n"/>
      <c r="F827" s="67" t="n"/>
      <c r="G827" s="74" t="n"/>
      <c r="H827" s="55" t="n"/>
      <c r="I827" s="55" t="n"/>
      <c r="J827" s="55" t="n"/>
      <c r="K827" s="55" t="n"/>
      <c r="L827" s="55" t="n"/>
      <c r="M827" s="55" t="n"/>
      <c r="N827" s="67" t="n"/>
      <c r="O827" s="74" t="n"/>
      <c r="P827" s="74" t="n"/>
      <c r="Q827" s="74" t="n"/>
      <c r="R827" s="74" t="n"/>
      <c r="S827" s="70">
        <f>SUM(O827:R827)</f>
        <v/>
      </c>
      <c r="T827" s="72" t="n"/>
      <c r="U827" s="73" t="n"/>
      <c r="V827" s="74" t="n"/>
      <c r="W827" s="68" t="n"/>
      <c r="X827" s="74" t="n"/>
      <c r="Y827" s="72" t="n"/>
      <c r="Z827" s="74" t="n"/>
      <c r="AA827" s="74" t="n"/>
      <c r="AB827" s="74" t="n"/>
      <c r="AC827" s="74" t="n"/>
      <c r="AD827" s="73" t="n"/>
      <c r="AE827" s="75">
        <f>SUMIFS([1]инфо!$D$15:$D$28,[1]инфо!$A$15:$A$28,F827)</f>
        <v/>
      </c>
      <c r="AF827" s="62">
        <f>IF(H827=0,0,N827/H827)</f>
        <v/>
      </c>
      <c r="AG827" s="76">
        <f>AF827-AE827</f>
        <v/>
      </c>
      <c r="AH827" s="75">
        <f>SUMIFS([1]инфо!$E$15:$E$28,[1]инфо!$A$15:$A$28,F827)</f>
        <v/>
      </c>
      <c r="AI827" s="64">
        <f>IF(H827=0,0,S827/H827)</f>
        <v/>
      </c>
      <c r="AJ827" s="76">
        <f>AI827-AH827</f>
        <v/>
      </c>
      <c r="AK827" s="75">
        <f>SUMIFS([1]инфо!$F$15:$F$28,[1]инфо!$A$15:$A$28,F827)</f>
        <v/>
      </c>
      <c r="AL827" s="64">
        <f>IF(H827=0,0,Y827/H827)</f>
        <v/>
      </c>
      <c r="AM827" s="76">
        <f>AL827-AK827</f>
        <v/>
      </c>
      <c r="AN827" s="75">
        <f>SUMIFS([1]инфо!$G$15:$G$28,[1]инфо!$A$15:$A$28,F827)</f>
        <v/>
      </c>
      <c r="AO827" s="64">
        <f>IF(H827=0,0,AA827/H827)</f>
        <v/>
      </c>
      <c r="AP827" s="76">
        <f>AO827-AN827</f>
        <v/>
      </c>
      <c r="AQ827" s="75">
        <f>SUMIFS([1]инфо!$H$15:$H$28,[1]инфо!$A$15:$A$28,F827)</f>
        <v/>
      </c>
      <c r="AR827" s="64">
        <f>IF(H826=0,0,AC827/H826)</f>
        <v/>
      </c>
      <c r="AS827" s="76">
        <f>AR827-AQ827</f>
        <v/>
      </c>
      <c r="AT827" s="75">
        <f>SUMIFS([1]инфо!$I$15:$I$28,[1]инфо!$A$15:$A$28,F827)</f>
        <v/>
      </c>
      <c r="AU827" s="62">
        <f>IF(H827=0,0,AD827/H827)</f>
        <v/>
      </c>
      <c r="AV827" s="76">
        <f>AU827-AT827</f>
        <v/>
      </c>
      <c r="AX827" s="70">
        <f>SUMIFS([1]инфо!$C$15:$C$28,[1]инфо!$A$15:$A$28,F827)*H826</f>
        <v/>
      </c>
    </row>
    <row r="828">
      <c r="A828" s="71">
        <f>A826+1</f>
        <v/>
      </c>
      <c r="B828" s="90" t="n"/>
      <c r="C828" s="52" t="n"/>
      <c r="D828" s="53" t="n"/>
      <c r="E828" s="91" t="n"/>
      <c r="F828" s="67" t="n"/>
      <c r="G828" s="58" t="n"/>
      <c r="H828" s="55" t="n"/>
      <c r="I828" s="55" t="n"/>
      <c r="J828" s="55" t="n"/>
      <c r="K828" s="55" t="n"/>
      <c r="L828" s="55" t="n"/>
      <c r="M828" s="55" t="n"/>
      <c r="N828" s="55" t="n"/>
      <c r="O828" s="58" t="n"/>
      <c r="P828" s="58" t="n"/>
      <c r="Q828" s="58" t="n"/>
      <c r="R828" s="58" t="n"/>
      <c r="S828" s="59">
        <f>SUM(O828:R828)</f>
        <v/>
      </c>
      <c r="T828" s="52" t="n"/>
      <c r="U828" s="53" t="n"/>
      <c r="V828" s="58" t="n"/>
      <c r="W828" s="68" t="n"/>
      <c r="X828" s="58" t="n"/>
      <c r="Y828" s="52" t="n"/>
      <c r="Z828" s="58" t="n"/>
      <c r="AA828" s="58" t="n"/>
      <c r="AB828" s="58" t="n"/>
      <c r="AC828" s="58" t="n"/>
      <c r="AD828" s="53" t="n"/>
      <c r="AE828" s="61">
        <f>SUMIFS([1]инфо!$D$15:$D$28,[1]инфо!$A$15:$A$28,F828)</f>
        <v/>
      </c>
      <c r="AF828" s="62">
        <f>IF(H828=0,0,N828/H828)</f>
        <v/>
      </c>
      <c r="AG828" s="63">
        <f>AF828-AE828</f>
        <v/>
      </c>
      <c r="AH828" s="61">
        <f>SUMIFS([1]инфо!$E$15:$E$28,[1]инфо!$A$15:$A$28,F828)</f>
        <v/>
      </c>
      <c r="AI828" s="64">
        <f>IF(H828=0,0,S828/H828)</f>
        <v/>
      </c>
      <c r="AJ828" s="63">
        <f>AI828-AH828</f>
        <v/>
      </c>
      <c r="AK828" s="61">
        <f>SUMIFS([1]инфо!$F$15:$F$28,[1]инфо!$A$15:$A$28,F828)</f>
        <v/>
      </c>
      <c r="AL828" s="64">
        <f>IF(H828=0,0,Y828/H828)</f>
        <v/>
      </c>
      <c r="AM828" s="63">
        <f>AL828-AK828</f>
        <v/>
      </c>
      <c r="AN828" s="61">
        <f>SUMIFS([1]инфо!$G$15:$G$28,[1]инфо!$A$15:$A$28,F828)</f>
        <v/>
      </c>
      <c r="AO828" s="64">
        <f>IF(H828=0,0,AA828/H828)</f>
        <v/>
      </c>
      <c r="AP828" s="63">
        <f>AO828-AN828</f>
        <v/>
      </c>
      <c r="AQ828" s="61">
        <f>SUMIFS([1]инфо!$H$15:$H$28,[1]инфо!$A$15:$A$28,F828)</f>
        <v/>
      </c>
      <c r="AR828" s="62">
        <f>IF(H827=0,0,AC828/H827)</f>
        <v/>
      </c>
      <c r="AS828" s="63">
        <f>AR828-AQ828</f>
        <v/>
      </c>
      <c r="AT828" s="61">
        <f>SUMIFS([1]инфо!$I$15:$I$28,[1]инфо!$A$15:$A$28,F828)</f>
        <v/>
      </c>
      <c r="AU828" s="62">
        <f>IF(H828=0,0,AD828/H828)</f>
        <v/>
      </c>
      <c r="AV828" s="63">
        <f>AU828-AT828</f>
        <v/>
      </c>
      <c r="AX828" s="59">
        <f>SUMIFS([1]инфо!$C$15:$C$28,[1]инфо!$A$15:$A$28,F828)*H827</f>
        <v/>
      </c>
    </row>
    <row r="829">
      <c r="A829" s="71">
        <f>A827+1</f>
        <v/>
      </c>
      <c r="B829" s="90" t="n"/>
      <c r="C829" s="52" t="n"/>
      <c r="D829" s="53" t="n"/>
      <c r="E829" s="91" t="n"/>
      <c r="F829" s="67" t="n"/>
      <c r="G829" s="58" t="n"/>
      <c r="H829" s="56" t="n"/>
      <c r="I829" s="55" t="n"/>
      <c r="J829" s="55" t="n"/>
      <c r="K829" s="55" t="n"/>
      <c r="L829" s="55" t="n"/>
      <c r="M829" s="55" t="n"/>
      <c r="N829" s="55" t="n"/>
      <c r="O829" s="58" t="n"/>
      <c r="P829" s="58" t="n"/>
      <c r="Q829" s="58" t="n"/>
      <c r="R829" s="58" t="n"/>
      <c r="S829" s="59">
        <f>SUM(O829:R829)</f>
        <v/>
      </c>
      <c r="T829" s="52" t="n"/>
      <c r="U829" s="53" t="n"/>
      <c r="V829" s="58" t="n"/>
      <c r="W829" s="68" t="n"/>
      <c r="X829" s="58" t="n"/>
      <c r="Y829" s="52" t="n"/>
      <c r="Z829" s="58" t="n"/>
      <c r="AA829" s="58" t="n"/>
      <c r="AB829" s="58" t="n"/>
      <c r="AC829" s="58" t="n"/>
      <c r="AD829" s="53" t="n"/>
      <c r="AE829" s="61">
        <f>SUMIFS([1]инфо!$D$15:$D$28,[1]инфо!$A$15:$A$28,F829)</f>
        <v/>
      </c>
      <c r="AF829" s="62">
        <f>IF(H829=0,0,N829/H829)</f>
        <v/>
      </c>
      <c r="AG829" s="63">
        <f>AF829-AE829</f>
        <v/>
      </c>
      <c r="AH829" s="61">
        <f>SUMIFS([1]инфо!$E$15:$E$28,[1]инфо!$A$15:$A$28,F829)</f>
        <v/>
      </c>
      <c r="AI829" s="64">
        <f>IF(H829=0,0,S829/H829)</f>
        <v/>
      </c>
      <c r="AJ829" s="63">
        <f>AI829-AH829</f>
        <v/>
      </c>
      <c r="AK829" s="61">
        <f>SUMIFS([1]инфо!$F$15:$F$28,[1]инфо!$A$15:$A$28,F829)</f>
        <v/>
      </c>
      <c r="AL829" s="64">
        <f>IF(H829=0,0,Y829/H829)</f>
        <v/>
      </c>
      <c r="AM829" s="63">
        <f>AL829-AK829</f>
        <v/>
      </c>
      <c r="AN829" s="61">
        <f>SUMIFS([1]инфо!$G$15:$G$28,[1]инфо!$A$15:$A$28,F829)</f>
        <v/>
      </c>
      <c r="AO829" s="64">
        <f>IF(H829=0,0,AA829/H829)</f>
        <v/>
      </c>
      <c r="AP829" s="63">
        <f>AO829-AN829</f>
        <v/>
      </c>
      <c r="AQ829" s="61">
        <f>SUMIFS([1]инфо!$H$15:$H$28,[1]инфо!$A$15:$A$28,F829)</f>
        <v/>
      </c>
      <c r="AR829" s="62">
        <f>IF(H828=0,0,AC829/H828)</f>
        <v/>
      </c>
      <c r="AS829" s="63">
        <f>AR829-AQ829</f>
        <v/>
      </c>
      <c r="AT829" s="61">
        <f>SUMIFS([1]инфо!$I$15:$I$28,[1]инфо!$A$15:$A$28,F829)</f>
        <v/>
      </c>
      <c r="AU829" s="62">
        <f>IF(H829=0,0,AD829/H829)</f>
        <v/>
      </c>
      <c r="AV829" s="63">
        <f>AU829-AT829</f>
        <v/>
      </c>
      <c r="AX829" s="59">
        <f>SUMIFS([1]инфо!$C$15:$C$28,[1]инфо!$A$15:$A$28,F829)*H828</f>
        <v/>
      </c>
    </row>
    <row r="830">
      <c r="A830" s="71">
        <f>A828+1</f>
        <v/>
      </c>
      <c r="B830" s="88" t="n"/>
      <c r="C830" s="77" t="n"/>
      <c r="D830" s="78" t="n"/>
      <c r="E830" s="91" t="n"/>
      <c r="F830" s="67" t="n"/>
      <c r="G830" s="79" t="n"/>
      <c r="H830" s="67" t="n"/>
      <c r="I830" s="55" t="n"/>
      <c r="J830" s="55" t="n"/>
      <c r="K830" s="55" t="n"/>
      <c r="L830" s="55" t="n"/>
      <c r="M830" s="55" t="n"/>
      <c r="N830" s="56" t="n"/>
      <c r="O830" s="79" t="n"/>
      <c r="P830" s="79" t="n"/>
      <c r="Q830" s="79" t="n"/>
      <c r="R830" s="79" t="n"/>
      <c r="S830" s="80">
        <f>SUM(O830:R830)</f>
        <v/>
      </c>
      <c r="T830" s="77" t="n"/>
      <c r="U830" s="78" t="n"/>
      <c r="V830" s="79" t="n"/>
      <c r="W830" s="68" t="n"/>
      <c r="X830" s="79" t="n"/>
      <c r="Y830" s="77" t="n"/>
      <c r="Z830" s="79" t="n"/>
      <c r="AA830" s="79" t="n"/>
      <c r="AB830" s="79" t="n"/>
      <c r="AC830" s="79" t="n"/>
      <c r="AD830" s="78" t="n"/>
      <c r="AE830" s="81">
        <f>SUMIFS([1]инфо!$D$15:$D$28,[1]инфо!$A$15:$A$28,F830)</f>
        <v/>
      </c>
      <c r="AF830" s="62">
        <f>IF(H830=0,0,N830/H830)</f>
        <v/>
      </c>
      <c r="AG830" s="82">
        <f>AF830-AE830</f>
        <v/>
      </c>
      <c r="AH830" s="81">
        <f>SUMIFS([1]инфо!$E$15:$E$28,[1]инфо!$A$15:$A$28,F830)</f>
        <v/>
      </c>
      <c r="AI830" s="64">
        <f>IF(H830=0,0,S830/H830)</f>
        <v/>
      </c>
      <c r="AJ830" s="82">
        <f>AI830-AH830</f>
        <v/>
      </c>
      <c r="AK830" s="81">
        <f>SUMIFS([1]инфо!$F$15:$F$28,[1]инфо!$A$15:$A$28,F830)</f>
        <v/>
      </c>
      <c r="AL830" s="64">
        <f>IF(H830=0,0,Y830/H830)</f>
        <v/>
      </c>
      <c r="AM830" s="82">
        <f>AL830-AK830</f>
        <v/>
      </c>
      <c r="AN830" s="81">
        <f>SUMIFS([1]инфо!$G$15:$G$28,[1]инфо!$A$15:$A$28,F830)</f>
        <v/>
      </c>
      <c r="AO830" s="64">
        <f>IF(H830=0,0,AA830/H830)</f>
        <v/>
      </c>
      <c r="AP830" s="82">
        <f>AO830-AN830</f>
        <v/>
      </c>
      <c r="AQ830" s="81">
        <f>SUMIFS([1]инфо!$H$15:$H$28,[1]инфо!$A$15:$A$28,F830)</f>
        <v/>
      </c>
      <c r="AR830" s="85">
        <f>IF(H829=0,0,AC830/H829)</f>
        <v/>
      </c>
      <c r="AS830" s="82">
        <f>AR830-AQ830</f>
        <v/>
      </c>
      <c r="AT830" s="81">
        <f>SUMIFS([1]инфо!$I$15:$I$28,[1]инфо!$A$15:$A$28,F830)</f>
        <v/>
      </c>
      <c r="AU830" s="62">
        <f>IF(H830=0,0,AD830/H830)</f>
        <v/>
      </c>
      <c r="AV830" s="82">
        <f>AU830-AT830</f>
        <v/>
      </c>
      <c r="AX830" s="80">
        <f>SUMIFS([1]инфо!$C$15:$C$28,[1]инфо!$A$15:$A$28,F830)*H829</f>
        <v/>
      </c>
    </row>
    <row r="831">
      <c r="A831" s="71">
        <f>A829+1</f>
        <v/>
      </c>
      <c r="B831" s="89" t="n"/>
      <c r="C831" s="72" t="n"/>
      <c r="D831" s="73" t="n"/>
      <c r="E831" s="91" t="n"/>
      <c r="F831" s="67" t="n"/>
      <c r="G831" s="74" t="n"/>
      <c r="H831" s="55" t="n"/>
      <c r="I831" s="55" t="n"/>
      <c r="J831" s="55" t="n"/>
      <c r="K831" s="55" t="n"/>
      <c r="L831" s="55" t="n"/>
      <c r="M831" s="55" t="n"/>
      <c r="N831" s="67" t="n"/>
      <c r="O831" s="74" t="n"/>
      <c r="P831" s="74" t="n"/>
      <c r="Q831" s="74" t="n"/>
      <c r="R831" s="74" t="n"/>
      <c r="S831" s="70">
        <f>SUM(O831:R831)</f>
        <v/>
      </c>
      <c r="T831" s="72" t="n"/>
      <c r="U831" s="73" t="n"/>
      <c r="V831" s="74" t="n"/>
      <c r="W831" s="68" t="n"/>
      <c r="X831" s="74" t="n"/>
      <c r="Y831" s="72" t="n"/>
      <c r="Z831" s="74" t="n"/>
      <c r="AA831" s="74" t="n"/>
      <c r="AB831" s="74" t="n"/>
      <c r="AC831" s="74" t="n"/>
      <c r="AD831" s="73" t="n"/>
      <c r="AE831" s="75">
        <f>SUMIFS([1]инфо!$D$15:$D$28,[1]инфо!$A$15:$A$28,F831)</f>
        <v/>
      </c>
      <c r="AF831" s="62">
        <f>IF(H831=0,0,N831/H831)</f>
        <v/>
      </c>
      <c r="AG831" s="76">
        <f>AF831-AE831</f>
        <v/>
      </c>
      <c r="AH831" s="75">
        <f>SUMIFS([1]инфо!$E$15:$E$28,[1]инфо!$A$15:$A$28,F831)</f>
        <v/>
      </c>
      <c r="AI831" s="64">
        <f>IF(H831=0,0,S831/H831)</f>
        <v/>
      </c>
      <c r="AJ831" s="76">
        <f>AI831-AH831</f>
        <v/>
      </c>
      <c r="AK831" s="75">
        <f>SUMIFS([1]инфо!$F$15:$F$28,[1]инфо!$A$15:$A$28,F831)</f>
        <v/>
      </c>
      <c r="AL831" s="64">
        <f>IF(H831=0,0,Y831/H831)</f>
        <v/>
      </c>
      <c r="AM831" s="76">
        <f>AL831-AK831</f>
        <v/>
      </c>
      <c r="AN831" s="75">
        <f>SUMIFS([1]инфо!$G$15:$G$28,[1]инфо!$A$15:$A$28,F831)</f>
        <v/>
      </c>
      <c r="AO831" s="64">
        <f>IF(H831=0,0,AA831/H831)</f>
        <v/>
      </c>
      <c r="AP831" s="76">
        <f>AO831-AN831</f>
        <v/>
      </c>
      <c r="AQ831" s="75">
        <f>SUMIFS([1]инфо!$H$15:$H$28,[1]инфо!$A$15:$A$28,F831)</f>
        <v/>
      </c>
      <c r="AR831" s="64">
        <f>IF(H830=0,0,AC831/H830)</f>
        <v/>
      </c>
      <c r="AS831" s="76">
        <f>AR831-AQ831</f>
        <v/>
      </c>
      <c r="AT831" s="75">
        <f>SUMIFS([1]инфо!$I$15:$I$28,[1]инфо!$A$15:$A$28,F831)</f>
        <v/>
      </c>
      <c r="AU831" s="62">
        <f>IF(H831=0,0,AD831/H831)</f>
        <v/>
      </c>
      <c r="AV831" s="76">
        <f>AU831-AT831</f>
        <v/>
      </c>
      <c r="AX831" s="70">
        <f>SUMIFS([1]инфо!$C$15:$C$28,[1]инфо!$A$15:$A$28,F831)*H830</f>
        <v/>
      </c>
    </row>
    <row r="832">
      <c r="A832" s="71">
        <f>A830+1</f>
        <v/>
      </c>
      <c r="B832" s="90" t="n"/>
      <c r="C832" s="52" t="n"/>
      <c r="D832" s="53" t="n"/>
      <c r="E832" s="91" t="n"/>
      <c r="F832" s="67" t="n"/>
      <c r="G832" s="58" t="n"/>
      <c r="H832" s="55" t="n"/>
      <c r="I832" s="55" t="n"/>
      <c r="J832" s="55" t="n"/>
      <c r="K832" s="55" t="n"/>
      <c r="L832" s="55" t="n"/>
      <c r="M832" s="55" t="n"/>
      <c r="N832" s="55" t="n"/>
      <c r="O832" s="58" t="n"/>
      <c r="P832" s="58" t="n"/>
      <c r="Q832" s="58" t="n"/>
      <c r="R832" s="58" t="n"/>
      <c r="S832" s="59">
        <f>SUM(O832:R832)</f>
        <v/>
      </c>
      <c r="T832" s="52" t="n"/>
      <c r="U832" s="53" t="n"/>
      <c r="V832" s="58" t="n"/>
      <c r="W832" s="68" t="n"/>
      <c r="X832" s="58" t="n"/>
      <c r="Y832" s="52" t="n"/>
      <c r="Z832" s="58" t="n"/>
      <c r="AA832" s="58" t="n"/>
      <c r="AB832" s="58" t="n"/>
      <c r="AC832" s="58" t="n"/>
      <c r="AD832" s="53" t="n"/>
      <c r="AE832" s="61">
        <f>SUMIFS([1]инфо!$D$15:$D$28,[1]инфо!$A$15:$A$28,F832)</f>
        <v/>
      </c>
      <c r="AF832" s="62">
        <f>IF(H832=0,0,N832/H832)</f>
        <v/>
      </c>
      <c r="AG832" s="63">
        <f>AF832-AE832</f>
        <v/>
      </c>
      <c r="AH832" s="61">
        <f>SUMIFS([1]инфо!$E$15:$E$28,[1]инфо!$A$15:$A$28,F832)</f>
        <v/>
      </c>
      <c r="AI832" s="64">
        <f>IF(H832=0,0,S832/H832)</f>
        <v/>
      </c>
      <c r="AJ832" s="63">
        <f>AI832-AH832</f>
        <v/>
      </c>
      <c r="AK832" s="61">
        <f>SUMIFS([1]инфо!$F$15:$F$28,[1]инфо!$A$15:$A$28,F832)</f>
        <v/>
      </c>
      <c r="AL832" s="64">
        <f>IF(H832=0,0,Y832/H832)</f>
        <v/>
      </c>
      <c r="AM832" s="63">
        <f>AL832-AK832</f>
        <v/>
      </c>
      <c r="AN832" s="61">
        <f>SUMIFS([1]инфо!$G$15:$G$28,[1]инфо!$A$15:$A$28,F832)</f>
        <v/>
      </c>
      <c r="AO832" s="64">
        <f>IF(H832=0,0,AA832/H832)</f>
        <v/>
      </c>
      <c r="AP832" s="63">
        <f>AO832-AN832</f>
        <v/>
      </c>
      <c r="AQ832" s="61">
        <f>SUMIFS([1]инфо!$H$15:$H$28,[1]инфо!$A$15:$A$28,F832)</f>
        <v/>
      </c>
      <c r="AR832" s="62">
        <f>IF(H831=0,0,AC832/H831)</f>
        <v/>
      </c>
      <c r="AS832" s="63">
        <f>AR832-AQ832</f>
        <v/>
      </c>
      <c r="AT832" s="61">
        <f>SUMIFS([1]инфо!$I$15:$I$28,[1]инфо!$A$15:$A$28,F832)</f>
        <v/>
      </c>
      <c r="AU832" s="62">
        <f>IF(H832=0,0,AD832/H832)</f>
        <v/>
      </c>
      <c r="AV832" s="63">
        <f>AU832-AT832</f>
        <v/>
      </c>
      <c r="AX832" s="59">
        <f>SUMIFS([1]инфо!$C$15:$C$28,[1]инфо!$A$15:$A$28,F832)*H831</f>
        <v/>
      </c>
    </row>
    <row r="833">
      <c r="A833" s="71">
        <f>A831+1</f>
        <v/>
      </c>
      <c r="B833" s="90" t="n"/>
      <c r="C833" s="52" t="n"/>
      <c r="D833" s="53" t="n"/>
      <c r="E833" s="91" t="n"/>
      <c r="F833" s="67" t="n"/>
      <c r="G833" s="58" t="n"/>
      <c r="H833" s="56" t="n"/>
      <c r="I833" s="55" t="n"/>
      <c r="J833" s="55" t="n"/>
      <c r="K833" s="55" t="n"/>
      <c r="L833" s="55" t="n"/>
      <c r="M833" s="55" t="n"/>
      <c r="N833" s="55" t="n"/>
      <c r="O833" s="58" t="n"/>
      <c r="P833" s="58" t="n"/>
      <c r="Q833" s="58" t="n"/>
      <c r="R833" s="58" t="n"/>
      <c r="S833" s="59">
        <f>SUM(O833:R833)</f>
        <v/>
      </c>
      <c r="T833" s="52" t="n"/>
      <c r="U833" s="53" t="n"/>
      <c r="V833" s="58" t="n"/>
      <c r="W833" s="68" t="n"/>
      <c r="X833" s="58" t="n"/>
      <c r="Y833" s="52" t="n"/>
      <c r="Z833" s="58" t="n"/>
      <c r="AA833" s="58" t="n"/>
      <c r="AB833" s="58" t="n"/>
      <c r="AC833" s="58" t="n"/>
      <c r="AD833" s="53" t="n"/>
      <c r="AE833" s="61">
        <f>SUMIFS([1]инфо!$D$15:$D$28,[1]инфо!$A$15:$A$28,F833)</f>
        <v/>
      </c>
      <c r="AF833" s="62">
        <f>IF(H833=0,0,N833/H833)</f>
        <v/>
      </c>
      <c r="AG833" s="63">
        <f>AF833-AE833</f>
        <v/>
      </c>
      <c r="AH833" s="61">
        <f>SUMIFS([1]инфо!$E$15:$E$28,[1]инфо!$A$15:$A$28,F833)</f>
        <v/>
      </c>
      <c r="AI833" s="64">
        <f>IF(H833=0,0,S833/H833)</f>
        <v/>
      </c>
      <c r="AJ833" s="63">
        <f>AI833-AH833</f>
        <v/>
      </c>
      <c r="AK833" s="61">
        <f>SUMIFS([1]инфо!$F$15:$F$28,[1]инфо!$A$15:$A$28,F833)</f>
        <v/>
      </c>
      <c r="AL833" s="64">
        <f>IF(H833=0,0,Y833/H833)</f>
        <v/>
      </c>
      <c r="AM833" s="63">
        <f>AL833-AK833</f>
        <v/>
      </c>
      <c r="AN833" s="61">
        <f>SUMIFS([1]инфо!$G$15:$G$28,[1]инфо!$A$15:$A$28,F833)</f>
        <v/>
      </c>
      <c r="AO833" s="64">
        <f>IF(H833=0,0,AA833/H833)</f>
        <v/>
      </c>
      <c r="AP833" s="63">
        <f>AO833-AN833</f>
        <v/>
      </c>
      <c r="AQ833" s="61">
        <f>SUMIFS([1]инфо!$H$15:$H$28,[1]инфо!$A$15:$A$28,F833)</f>
        <v/>
      </c>
      <c r="AR833" s="62">
        <f>IF(H832=0,0,AC833/H832)</f>
        <v/>
      </c>
      <c r="AS833" s="63">
        <f>AR833-AQ833</f>
        <v/>
      </c>
      <c r="AT833" s="61">
        <f>SUMIFS([1]инфо!$I$15:$I$28,[1]инфо!$A$15:$A$28,F833)</f>
        <v/>
      </c>
      <c r="AU833" s="62">
        <f>IF(H833=0,0,AD833/H833)</f>
        <v/>
      </c>
      <c r="AV833" s="63">
        <f>AU833-AT833</f>
        <v/>
      </c>
      <c r="AX833" s="59">
        <f>SUMIFS([1]инфо!$C$15:$C$28,[1]инфо!$A$15:$A$28,F833)*H832</f>
        <v/>
      </c>
    </row>
    <row r="834">
      <c r="A834" s="71">
        <f>A832+1</f>
        <v/>
      </c>
      <c r="B834" s="88" t="n"/>
      <c r="C834" s="77" t="n"/>
      <c r="D834" s="78" t="n"/>
      <c r="E834" s="91" t="n"/>
      <c r="F834" s="67" t="n"/>
      <c r="G834" s="79" t="n"/>
      <c r="H834" s="67" t="n"/>
      <c r="I834" s="55" t="n"/>
      <c r="J834" s="55" t="n"/>
      <c r="K834" s="55" t="n"/>
      <c r="L834" s="55" t="n"/>
      <c r="M834" s="55" t="n"/>
      <c r="N834" s="56" t="n"/>
      <c r="O834" s="79" t="n"/>
      <c r="P834" s="79" t="n"/>
      <c r="Q834" s="79" t="n"/>
      <c r="R834" s="79" t="n"/>
      <c r="S834" s="80">
        <f>SUM(O834:R834)</f>
        <v/>
      </c>
      <c r="T834" s="77" t="n"/>
      <c r="U834" s="78" t="n"/>
      <c r="V834" s="79" t="n"/>
      <c r="W834" s="68" t="n"/>
      <c r="X834" s="79" t="n"/>
      <c r="Y834" s="77" t="n"/>
      <c r="Z834" s="79" t="n"/>
      <c r="AA834" s="79" t="n"/>
      <c r="AB834" s="79" t="n"/>
      <c r="AC834" s="79" t="n"/>
      <c r="AD834" s="78" t="n"/>
      <c r="AE834" s="81">
        <f>SUMIFS([1]инфо!$D$15:$D$28,[1]инфо!$A$15:$A$28,F834)</f>
        <v/>
      </c>
      <c r="AF834" s="62">
        <f>IF(H834=0,0,N834/H834)</f>
        <v/>
      </c>
      <c r="AG834" s="82">
        <f>AF834-AE834</f>
        <v/>
      </c>
      <c r="AH834" s="81">
        <f>SUMIFS([1]инфо!$E$15:$E$28,[1]инфо!$A$15:$A$28,F834)</f>
        <v/>
      </c>
      <c r="AI834" s="64">
        <f>IF(H834=0,0,S834/H834)</f>
        <v/>
      </c>
      <c r="AJ834" s="82">
        <f>AI834-AH834</f>
        <v/>
      </c>
      <c r="AK834" s="81">
        <f>SUMIFS([1]инфо!$F$15:$F$28,[1]инфо!$A$15:$A$28,F834)</f>
        <v/>
      </c>
      <c r="AL834" s="64">
        <f>IF(H834=0,0,Y834/H834)</f>
        <v/>
      </c>
      <c r="AM834" s="82">
        <f>AL834-AK834</f>
        <v/>
      </c>
      <c r="AN834" s="81">
        <f>SUMIFS([1]инфо!$G$15:$G$28,[1]инфо!$A$15:$A$28,F834)</f>
        <v/>
      </c>
      <c r="AO834" s="64">
        <f>IF(H834=0,0,AA834/H834)</f>
        <v/>
      </c>
      <c r="AP834" s="82">
        <f>AO834-AN834</f>
        <v/>
      </c>
      <c r="AQ834" s="81">
        <f>SUMIFS([1]инфо!$H$15:$H$28,[1]инфо!$A$15:$A$28,F834)</f>
        <v/>
      </c>
      <c r="AR834" s="85">
        <f>IF(H833=0,0,AC834/H833)</f>
        <v/>
      </c>
      <c r="AS834" s="82">
        <f>AR834-AQ834</f>
        <v/>
      </c>
      <c r="AT834" s="81">
        <f>SUMIFS([1]инфо!$I$15:$I$28,[1]инфо!$A$15:$A$28,F834)</f>
        <v/>
      </c>
      <c r="AU834" s="62">
        <f>IF(H834=0,0,AD834/H834)</f>
        <v/>
      </c>
      <c r="AV834" s="82">
        <f>AU834-AT834</f>
        <v/>
      </c>
      <c r="AX834" s="80">
        <f>SUMIFS([1]инфо!$C$15:$C$28,[1]инфо!$A$15:$A$28,F834)*H833</f>
        <v/>
      </c>
    </row>
    <row r="835">
      <c r="A835" s="71">
        <f>A833+1</f>
        <v/>
      </c>
      <c r="B835" s="89" t="n"/>
      <c r="C835" s="72" t="n"/>
      <c r="D835" s="73" t="n"/>
      <c r="E835" s="91" t="n"/>
      <c r="F835" s="67" t="n"/>
      <c r="G835" s="74" t="n"/>
      <c r="H835" s="55" t="n"/>
      <c r="I835" s="55" t="n"/>
      <c r="J835" s="55" t="n"/>
      <c r="K835" s="55" t="n"/>
      <c r="L835" s="55" t="n"/>
      <c r="M835" s="55" t="n"/>
      <c r="N835" s="67" t="n"/>
      <c r="O835" s="74" t="n"/>
      <c r="P835" s="74" t="n"/>
      <c r="Q835" s="74" t="n"/>
      <c r="R835" s="74" t="n"/>
      <c r="S835" s="70">
        <f>SUM(O835:R835)</f>
        <v/>
      </c>
      <c r="T835" s="72" t="n"/>
      <c r="U835" s="73" t="n"/>
      <c r="V835" s="74" t="n"/>
      <c r="W835" s="68" t="n"/>
      <c r="X835" s="74" t="n"/>
      <c r="Y835" s="72" t="n"/>
      <c r="Z835" s="74" t="n"/>
      <c r="AA835" s="74" t="n"/>
      <c r="AB835" s="74" t="n"/>
      <c r="AC835" s="74" t="n"/>
      <c r="AD835" s="73" t="n"/>
      <c r="AE835" s="75">
        <f>SUMIFS([1]инфо!$D$15:$D$28,[1]инфо!$A$15:$A$28,F835)</f>
        <v/>
      </c>
      <c r="AF835" s="62">
        <f>IF(H835=0,0,N835/H835)</f>
        <v/>
      </c>
      <c r="AG835" s="76">
        <f>AF835-AE835</f>
        <v/>
      </c>
      <c r="AH835" s="75">
        <f>SUMIFS([1]инфо!$E$15:$E$28,[1]инфо!$A$15:$A$28,F835)</f>
        <v/>
      </c>
      <c r="AI835" s="64">
        <f>IF(H835=0,0,S835/H835)</f>
        <v/>
      </c>
      <c r="AJ835" s="76">
        <f>AI835-AH835</f>
        <v/>
      </c>
      <c r="AK835" s="75">
        <f>SUMIFS([1]инфо!$F$15:$F$28,[1]инфо!$A$15:$A$28,F835)</f>
        <v/>
      </c>
      <c r="AL835" s="64">
        <f>IF(H835=0,0,Y835/H835)</f>
        <v/>
      </c>
      <c r="AM835" s="76">
        <f>AL835-AK835</f>
        <v/>
      </c>
      <c r="AN835" s="75">
        <f>SUMIFS([1]инфо!$G$15:$G$28,[1]инфо!$A$15:$A$28,F835)</f>
        <v/>
      </c>
      <c r="AO835" s="64">
        <f>IF(H835=0,0,AA835/H835)</f>
        <v/>
      </c>
      <c r="AP835" s="76">
        <f>AO835-AN835</f>
        <v/>
      </c>
      <c r="AQ835" s="75">
        <f>SUMIFS([1]инфо!$H$15:$H$28,[1]инфо!$A$15:$A$28,F835)</f>
        <v/>
      </c>
      <c r="AR835" s="64">
        <f>IF(H834=0,0,AC835/H834)</f>
        <v/>
      </c>
      <c r="AS835" s="76">
        <f>AR835-AQ835</f>
        <v/>
      </c>
      <c r="AT835" s="75">
        <f>SUMIFS([1]инфо!$I$15:$I$28,[1]инфо!$A$15:$A$28,F835)</f>
        <v/>
      </c>
      <c r="AU835" s="62">
        <f>IF(H835=0,0,AD835/H835)</f>
        <v/>
      </c>
      <c r="AV835" s="76">
        <f>AU835-AT835</f>
        <v/>
      </c>
      <c r="AX835" s="70">
        <f>SUMIFS([1]инфо!$C$15:$C$28,[1]инфо!$A$15:$A$28,F835)*H834</f>
        <v/>
      </c>
    </row>
    <row r="836">
      <c r="A836" s="71">
        <f>A834+1</f>
        <v/>
      </c>
      <c r="B836" s="90" t="n"/>
      <c r="C836" s="52" t="n"/>
      <c r="D836" s="53" t="n"/>
      <c r="E836" s="91" t="n"/>
      <c r="F836" s="67" t="n"/>
      <c r="G836" s="58" t="n"/>
      <c r="H836" s="55" t="n"/>
      <c r="I836" s="55" t="n"/>
      <c r="J836" s="55" t="n"/>
      <c r="K836" s="55" t="n"/>
      <c r="L836" s="55" t="n"/>
      <c r="M836" s="55" t="n"/>
      <c r="N836" s="55" t="n"/>
      <c r="O836" s="58" t="n"/>
      <c r="P836" s="58" t="n"/>
      <c r="Q836" s="58" t="n"/>
      <c r="R836" s="58" t="n"/>
      <c r="S836" s="59">
        <f>SUM(O836:R836)</f>
        <v/>
      </c>
      <c r="T836" s="52" t="n"/>
      <c r="U836" s="53" t="n"/>
      <c r="V836" s="58" t="n"/>
      <c r="W836" s="68" t="n"/>
      <c r="X836" s="58" t="n"/>
      <c r="Y836" s="52" t="n"/>
      <c r="Z836" s="58" t="n"/>
      <c r="AA836" s="58" t="n"/>
      <c r="AB836" s="58" t="n"/>
      <c r="AC836" s="58" t="n"/>
      <c r="AD836" s="53" t="n"/>
      <c r="AE836" s="61">
        <f>SUMIFS([1]инфо!$D$15:$D$28,[1]инфо!$A$15:$A$28,F836)</f>
        <v/>
      </c>
      <c r="AF836" s="62">
        <f>IF(H836=0,0,N836/H836)</f>
        <v/>
      </c>
      <c r="AG836" s="63">
        <f>AF836-AE836</f>
        <v/>
      </c>
      <c r="AH836" s="61">
        <f>SUMIFS([1]инфо!$E$15:$E$28,[1]инфо!$A$15:$A$28,F836)</f>
        <v/>
      </c>
      <c r="AI836" s="64">
        <f>IF(H836=0,0,S836/H836)</f>
        <v/>
      </c>
      <c r="AJ836" s="63">
        <f>AI836-AH836</f>
        <v/>
      </c>
      <c r="AK836" s="61">
        <f>SUMIFS([1]инфо!$F$15:$F$28,[1]инфо!$A$15:$A$28,F836)</f>
        <v/>
      </c>
      <c r="AL836" s="64">
        <f>IF(H836=0,0,Y836/H836)</f>
        <v/>
      </c>
      <c r="AM836" s="63">
        <f>AL836-AK836</f>
        <v/>
      </c>
      <c r="AN836" s="61">
        <f>SUMIFS([1]инфо!$G$15:$G$28,[1]инфо!$A$15:$A$28,F836)</f>
        <v/>
      </c>
      <c r="AO836" s="64">
        <f>IF(H836=0,0,AA836/H836)</f>
        <v/>
      </c>
      <c r="AP836" s="63">
        <f>AO836-AN836</f>
        <v/>
      </c>
      <c r="AQ836" s="61">
        <f>SUMIFS([1]инфо!$H$15:$H$28,[1]инфо!$A$15:$A$28,F836)</f>
        <v/>
      </c>
      <c r="AR836" s="62">
        <f>IF(H835=0,0,AC836/H835)</f>
        <v/>
      </c>
      <c r="AS836" s="63">
        <f>AR836-AQ836</f>
        <v/>
      </c>
      <c r="AT836" s="61">
        <f>SUMIFS([1]инфо!$I$15:$I$28,[1]инфо!$A$15:$A$28,F836)</f>
        <v/>
      </c>
      <c r="AU836" s="62">
        <f>IF(H836=0,0,AD836/H836)</f>
        <v/>
      </c>
      <c r="AV836" s="63">
        <f>AU836-AT836</f>
        <v/>
      </c>
      <c r="AX836" s="59">
        <f>SUMIFS([1]инфо!$C$15:$C$28,[1]инфо!$A$15:$A$28,F836)*H835</f>
        <v/>
      </c>
    </row>
    <row r="837">
      <c r="A837" s="71">
        <f>A835+1</f>
        <v/>
      </c>
      <c r="B837" s="90" t="n"/>
      <c r="C837" s="52" t="n"/>
      <c r="D837" s="53" t="n"/>
      <c r="E837" s="91" t="n"/>
      <c r="F837" s="67" t="n"/>
      <c r="G837" s="58" t="n"/>
      <c r="H837" s="56" t="n"/>
      <c r="I837" s="55" t="n"/>
      <c r="J837" s="55" t="n"/>
      <c r="K837" s="55" t="n"/>
      <c r="L837" s="55" t="n"/>
      <c r="M837" s="55" t="n"/>
      <c r="N837" s="55" t="n"/>
      <c r="O837" s="58" t="n"/>
      <c r="P837" s="58" t="n"/>
      <c r="Q837" s="58" t="n"/>
      <c r="R837" s="58" t="n"/>
      <c r="S837" s="59">
        <f>SUM(O837:R837)</f>
        <v/>
      </c>
      <c r="T837" s="52" t="n"/>
      <c r="U837" s="53" t="n"/>
      <c r="V837" s="58" t="n"/>
      <c r="W837" s="68" t="n"/>
      <c r="X837" s="58" t="n"/>
      <c r="Y837" s="52" t="n"/>
      <c r="Z837" s="58" t="n"/>
      <c r="AA837" s="58" t="n"/>
      <c r="AB837" s="58" t="n"/>
      <c r="AC837" s="58" t="n"/>
      <c r="AD837" s="53" t="n"/>
      <c r="AE837" s="61">
        <f>SUMIFS([1]инфо!$D$15:$D$28,[1]инфо!$A$15:$A$28,F837)</f>
        <v/>
      </c>
      <c r="AF837" s="62">
        <f>IF(H837=0,0,N837/H837)</f>
        <v/>
      </c>
      <c r="AG837" s="63">
        <f>AF837-AE837</f>
        <v/>
      </c>
      <c r="AH837" s="61">
        <f>SUMIFS([1]инфо!$E$15:$E$28,[1]инфо!$A$15:$A$28,F837)</f>
        <v/>
      </c>
      <c r="AI837" s="64">
        <f>IF(H837=0,0,S837/H837)</f>
        <v/>
      </c>
      <c r="AJ837" s="63">
        <f>AI837-AH837</f>
        <v/>
      </c>
      <c r="AK837" s="61">
        <f>SUMIFS([1]инфо!$F$15:$F$28,[1]инфо!$A$15:$A$28,F837)</f>
        <v/>
      </c>
      <c r="AL837" s="64">
        <f>IF(H837=0,0,Y837/H837)</f>
        <v/>
      </c>
      <c r="AM837" s="63">
        <f>AL837-AK837</f>
        <v/>
      </c>
      <c r="AN837" s="61">
        <f>SUMIFS([1]инфо!$G$15:$G$28,[1]инфо!$A$15:$A$28,F837)</f>
        <v/>
      </c>
      <c r="AO837" s="64">
        <f>IF(H837=0,0,AA837/H837)</f>
        <v/>
      </c>
      <c r="AP837" s="63">
        <f>AO837-AN837</f>
        <v/>
      </c>
      <c r="AQ837" s="61">
        <f>SUMIFS([1]инфо!$H$15:$H$28,[1]инфо!$A$15:$A$28,F837)</f>
        <v/>
      </c>
      <c r="AR837" s="62">
        <f>IF(H836=0,0,AC837/H836)</f>
        <v/>
      </c>
      <c r="AS837" s="63">
        <f>AR837-AQ837</f>
        <v/>
      </c>
      <c r="AT837" s="61">
        <f>SUMIFS([1]инфо!$I$15:$I$28,[1]инфо!$A$15:$A$28,F837)</f>
        <v/>
      </c>
      <c r="AU837" s="62">
        <f>IF(H837=0,0,AD837/H837)</f>
        <v/>
      </c>
      <c r="AV837" s="63">
        <f>AU837-AT837</f>
        <v/>
      </c>
      <c r="AX837" s="59">
        <f>SUMIFS([1]инфо!$C$15:$C$28,[1]инфо!$A$15:$A$28,F837)*H836</f>
        <v/>
      </c>
    </row>
    <row r="838">
      <c r="A838" s="71">
        <f>A836+1</f>
        <v/>
      </c>
      <c r="B838" s="88" t="n"/>
      <c r="C838" s="77" t="n"/>
      <c r="D838" s="78" t="n"/>
      <c r="E838" s="91" t="n"/>
      <c r="F838" s="67" t="n"/>
      <c r="G838" s="79" t="n"/>
      <c r="H838" s="67" t="n"/>
      <c r="I838" s="55" t="n"/>
      <c r="J838" s="55" t="n"/>
      <c r="K838" s="55" t="n"/>
      <c r="L838" s="55" t="n"/>
      <c r="M838" s="55" t="n"/>
      <c r="N838" s="56" t="n"/>
      <c r="O838" s="79" t="n"/>
      <c r="P838" s="79" t="n"/>
      <c r="Q838" s="79" t="n"/>
      <c r="R838" s="79" t="n"/>
      <c r="S838" s="80">
        <f>SUM(O838:R838)</f>
        <v/>
      </c>
      <c r="T838" s="77" t="n"/>
      <c r="U838" s="78" t="n"/>
      <c r="V838" s="79" t="n"/>
      <c r="W838" s="68" t="n"/>
      <c r="X838" s="79" t="n"/>
      <c r="Y838" s="77" t="n"/>
      <c r="Z838" s="79" t="n"/>
      <c r="AA838" s="79" t="n"/>
      <c r="AB838" s="79" t="n"/>
      <c r="AC838" s="79" t="n"/>
      <c r="AD838" s="78" t="n"/>
      <c r="AE838" s="81">
        <f>SUMIFS([1]инфо!$D$15:$D$28,[1]инфо!$A$15:$A$28,F838)</f>
        <v/>
      </c>
      <c r="AF838" s="62">
        <f>IF(H838=0,0,N838/H838)</f>
        <v/>
      </c>
      <c r="AG838" s="82">
        <f>AF838-AE838</f>
        <v/>
      </c>
      <c r="AH838" s="81">
        <f>SUMIFS([1]инфо!$E$15:$E$28,[1]инфо!$A$15:$A$28,F838)</f>
        <v/>
      </c>
      <c r="AI838" s="64">
        <f>IF(H838=0,0,S838/H838)</f>
        <v/>
      </c>
      <c r="AJ838" s="82">
        <f>AI838-AH838</f>
        <v/>
      </c>
      <c r="AK838" s="81">
        <f>SUMIFS([1]инфо!$F$15:$F$28,[1]инфо!$A$15:$A$28,F838)</f>
        <v/>
      </c>
      <c r="AL838" s="64">
        <f>IF(H838=0,0,Y838/H838)</f>
        <v/>
      </c>
      <c r="AM838" s="82">
        <f>AL838-AK838</f>
        <v/>
      </c>
      <c r="AN838" s="81">
        <f>SUMIFS([1]инфо!$G$15:$G$28,[1]инфо!$A$15:$A$28,F838)</f>
        <v/>
      </c>
      <c r="AO838" s="64">
        <f>IF(H838=0,0,AA838/H838)</f>
        <v/>
      </c>
      <c r="AP838" s="82">
        <f>AO838-AN838</f>
        <v/>
      </c>
      <c r="AQ838" s="81">
        <f>SUMIFS([1]инфо!$H$15:$H$28,[1]инфо!$A$15:$A$28,F838)</f>
        <v/>
      </c>
      <c r="AR838" s="85">
        <f>IF(H837=0,0,AC838/H837)</f>
        <v/>
      </c>
      <c r="AS838" s="82">
        <f>AR838-AQ838</f>
        <v/>
      </c>
      <c r="AT838" s="81">
        <f>SUMIFS([1]инфо!$I$15:$I$28,[1]инфо!$A$15:$A$28,F838)</f>
        <v/>
      </c>
      <c r="AU838" s="62">
        <f>IF(H838=0,0,AD838/H838)</f>
        <v/>
      </c>
      <c r="AV838" s="82">
        <f>AU838-AT838</f>
        <v/>
      </c>
      <c r="AX838" s="80">
        <f>SUMIFS([1]инфо!$C$15:$C$28,[1]инфо!$A$15:$A$28,F838)*H837</f>
        <v/>
      </c>
    </row>
    <row r="839">
      <c r="A839" s="71">
        <f>A837+1</f>
        <v/>
      </c>
      <c r="B839" s="89" t="n"/>
      <c r="C839" s="72" t="n"/>
      <c r="D839" s="73" t="n"/>
      <c r="E839" s="91" t="n"/>
      <c r="F839" s="67" t="n"/>
      <c r="G839" s="74" t="n"/>
      <c r="H839" s="55" t="n"/>
      <c r="I839" s="55" t="n"/>
      <c r="J839" s="55" t="n"/>
      <c r="K839" s="55" t="n"/>
      <c r="L839" s="55" t="n"/>
      <c r="M839" s="55" t="n"/>
      <c r="N839" s="67" t="n"/>
      <c r="O839" s="74" t="n"/>
      <c r="P839" s="74" t="n"/>
      <c r="Q839" s="74" t="n"/>
      <c r="R839" s="74" t="n"/>
      <c r="S839" s="70">
        <f>SUM(O839:R839)</f>
        <v/>
      </c>
      <c r="T839" s="72" t="n"/>
      <c r="U839" s="73" t="n"/>
      <c r="V839" s="74" t="n"/>
      <c r="W839" s="68" t="n"/>
      <c r="X839" s="74" t="n"/>
      <c r="Y839" s="72" t="n"/>
      <c r="Z839" s="74" t="n"/>
      <c r="AA839" s="74" t="n"/>
      <c r="AB839" s="74" t="n"/>
      <c r="AC839" s="74" t="n"/>
      <c r="AD839" s="73" t="n"/>
      <c r="AE839" s="75">
        <f>SUMIFS([1]инфо!$D$15:$D$28,[1]инфо!$A$15:$A$28,F839)</f>
        <v/>
      </c>
      <c r="AF839" s="62">
        <f>IF(H839=0,0,N839/H839)</f>
        <v/>
      </c>
      <c r="AG839" s="76">
        <f>AF839-AE839</f>
        <v/>
      </c>
      <c r="AH839" s="75">
        <f>SUMIFS([1]инфо!$E$15:$E$28,[1]инфо!$A$15:$A$28,F839)</f>
        <v/>
      </c>
      <c r="AI839" s="64">
        <f>IF(H839=0,0,S839/H839)</f>
        <v/>
      </c>
      <c r="AJ839" s="76">
        <f>AI839-AH839</f>
        <v/>
      </c>
      <c r="AK839" s="75">
        <f>SUMIFS([1]инфо!$F$15:$F$28,[1]инфо!$A$15:$A$28,F839)</f>
        <v/>
      </c>
      <c r="AL839" s="64">
        <f>IF(H839=0,0,Y839/H839)</f>
        <v/>
      </c>
      <c r="AM839" s="76">
        <f>AL839-AK839</f>
        <v/>
      </c>
      <c r="AN839" s="75">
        <f>SUMIFS([1]инфо!$G$15:$G$28,[1]инфо!$A$15:$A$28,F839)</f>
        <v/>
      </c>
      <c r="AO839" s="64">
        <f>IF(H839=0,0,AA839/H839)</f>
        <v/>
      </c>
      <c r="AP839" s="76">
        <f>AO839-AN839</f>
        <v/>
      </c>
      <c r="AQ839" s="75">
        <f>SUMIFS([1]инфо!$H$15:$H$28,[1]инфо!$A$15:$A$28,F839)</f>
        <v/>
      </c>
      <c r="AR839" s="64">
        <f>IF(H838=0,0,AC839/H838)</f>
        <v/>
      </c>
      <c r="AS839" s="76">
        <f>AR839-AQ839</f>
        <v/>
      </c>
      <c r="AT839" s="75">
        <f>SUMIFS([1]инфо!$I$15:$I$28,[1]инфо!$A$15:$A$28,F839)</f>
        <v/>
      </c>
      <c r="AU839" s="62">
        <f>IF(H839=0,0,AD839/H839)</f>
        <v/>
      </c>
      <c r="AV839" s="76">
        <f>AU839-AT839</f>
        <v/>
      </c>
      <c r="AX839" s="70">
        <f>SUMIFS([1]инфо!$C$15:$C$28,[1]инфо!$A$15:$A$28,F839)*H838</f>
        <v/>
      </c>
    </row>
    <row r="840">
      <c r="A840" s="71">
        <f>A838+1</f>
        <v/>
      </c>
      <c r="B840" s="90" t="n"/>
      <c r="C840" s="52" t="n"/>
      <c r="D840" s="53" t="n"/>
      <c r="E840" s="91" t="n"/>
      <c r="F840" s="67" t="n"/>
      <c r="G840" s="58" t="n"/>
      <c r="H840" s="55" t="n"/>
      <c r="I840" s="55" t="n"/>
      <c r="J840" s="55" t="n"/>
      <c r="K840" s="55" t="n"/>
      <c r="L840" s="55" t="n"/>
      <c r="M840" s="55" t="n"/>
      <c r="N840" s="55" t="n"/>
      <c r="O840" s="58" t="n"/>
      <c r="P840" s="58" t="n"/>
      <c r="Q840" s="58" t="n"/>
      <c r="R840" s="58" t="n"/>
      <c r="S840" s="59">
        <f>SUM(O840:R840)</f>
        <v/>
      </c>
      <c r="T840" s="52" t="n"/>
      <c r="U840" s="53" t="n"/>
      <c r="V840" s="58" t="n"/>
      <c r="W840" s="68" t="n"/>
      <c r="X840" s="58" t="n"/>
      <c r="Y840" s="52" t="n"/>
      <c r="Z840" s="58" t="n"/>
      <c r="AA840" s="58" t="n"/>
      <c r="AB840" s="58" t="n"/>
      <c r="AC840" s="58" t="n"/>
      <c r="AD840" s="53" t="n"/>
      <c r="AE840" s="61">
        <f>SUMIFS([1]инфо!$D$15:$D$28,[1]инфо!$A$15:$A$28,F840)</f>
        <v/>
      </c>
      <c r="AF840" s="62">
        <f>IF(H840=0,0,N840/H840)</f>
        <v/>
      </c>
      <c r="AG840" s="63">
        <f>AF840-AE840</f>
        <v/>
      </c>
      <c r="AH840" s="61">
        <f>SUMIFS([1]инфо!$E$15:$E$28,[1]инфо!$A$15:$A$28,F840)</f>
        <v/>
      </c>
      <c r="AI840" s="64">
        <f>IF(H840=0,0,S840/H840)</f>
        <v/>
      </c>
      <c r="AJ840" s="63">
        <f>AI840-AH840</f>
        <v/>
      </c>
      <c r="AK840" s="61">
        <f>SUMIFS([1]инфо!$F$15:$F$28,[1]инфо!$A$15:$A$28,F840)</f>
        <v/>
      </c>
      <c r="AL840" s="64">
        <f>IF(H840=0,0,Y840/H840)</f>
        <v/>
      </c>
      <c r="AM840" s="63">
        <f>AL840-AK840</f>
        <v/>
      </c>
      <c r="AN840" s="61">
        <f>SUMIFS([1]инфо!$G$15:$G$28,[1]инфо!$A$15:$A$28,F840)</f>
        <v/>
      </c>
      <c r="AO840" s="64">
        <f>IF(H840=0,0,AA840/H840)</f>
        <v/>
      </c>
      <c r="AP840" s="63">
        <f>AO840-AN840</f>
        <v/>
      </c>
      <c r="AQ840" s="61">
        <f>SUMIFS([1]инфо!$H$15:$H$28,[1]инфо!$A$15:$A$28,F840)</f>
        <v/>
      </c>
      <c r="AR840" s="62">
        <f>IF(H839=0,0,AC840/H839)</f>
        <v/>
      </c>
      <c r="AS840" s="63">
        <f>AR840-AQ840</f>
        <v/>
      </c>
      <c r="AT840" s="61">
        <f>SUMIFS([1]инфо!$I$15:$I$28,[1]инфо!$A$15:$A$28,F840)</f>
        <v/>
      </c>
      <c r="AU840" s="62">
        <f>IF(H840=0,0,AD840/H840)</f>
        <v/>
      </c>
      <c r="AV840" s="63">
        <f>AU840-AT840</f>
        <v/>
      </c>
      <c r="AX840" s="59">
        <f>SUMIFS([1]инфо!$C$15:$C$28,[1]инфо!$A$15:$A$28,F840)*H839</f>
        <v/>
      </c>
    </row>
    <row r="841">
      <c r="A841" s="71">
        <f>A839+1</f>
        <v/>
      </c>
      <c r="B841" s="90" t="n"/>
      <c r="C841" s="52" t="n"/>
      <c r="D841" s="53" t="n"/>
      <c r="E841" s="91" t="n"/>
      <c r="F841" s="67" t="n"/>
      <c r="G841" s="58" t="n"/>
      <c r="H841" s="56" t="n"/>
      <c r="I841" s="55" t="n"/>
      <c r="J841" s="55" t="n"/>
      <c r="K841" s="55" t="n"/>
      <c r="L841" s="55" t="n"/>
      <c r="M841" s="55" t="n"/>
      <c r="N841" s="55" t="n"/>
      <c r="O841" s="58" t="n"/>
      <c r="P841" s="58" t="n"/>
      <c r="Q841" s="58" t="n"/>
      <c r="R841" s="58" t="n"/>
      <c r="S841" s="59">
        <f>SUM(O841:R841)</f>
        <v/>
      </c>
      <c r="T841" s="52" t="n"/>
      <c r="U841" s="53" t="n"/>
      <c r="V841" s="58" t="n"/>
      <c r="W841" s="68" t="n"/>
      <c r="X841" s="58" t="n"/>
      <c r="Y841" s="52" t="n"/>
      <c r="Z841" s="58" t="n"/>
      <c r="AA841" s="58" t="n"/>
      <c r="AB841" s="58" t="n"/>
      <c r="AC841" s="58" t="n"/>
      <c r="AD841" s="53" t="n"/>
      <c r="AE841" s="61">
        <f>SUMIFS([1]инфо!$D$15:$D$28,[1]инфо!$A$15:$A$28,F841)</f>
        <v/>
      </c>
      <c r="AF841" s="62">
        <f>IF(H841=0,0,N841/H841)</f>
        <v/>
      </c>
      <c r="AG841" s="63">
        <f>AF841-AE841</f>
        <v/>
      </c>
      <c r="AH841" s="61">
        <f>SUMIFS([1]инфо!$E$15:$E$28,[1]инфо!$A$15:$A$28,F841)</f>
        <v/>
      </c>
      <c r="AI841" s="64">
        <f>IF(H841=0,0,S841/H841)</f>
        <v/>
      </c>
      <c r="AJ841" s="63">
        <f>AI841-AH841</f>
        <v/>
      </c>
      <c r="AK841" s="61">
        <f>SUMIFS([1]инфо!$F$15:$F$28,[1]инфо!$A$15:$A$28,F841)</f>
        <v/>
      </c>
      <c r="AL841" s="64">
        <f>IF(H841=0,0,Y841/H841)</f>
        <v/>
      </c>
      <c r="AM841" s="63">
        <f>AL841-AK841</f>
        <v/>
      </c>
      <c r="AN841" s="61">
        <f>SUMIFS([1]инфо!$G$15:$G$28,[1]инфо!$A$15:$A$28,F841)</f>
        <v/>
      </c>
      <c r="AO841" s="64">
        <f>IF(H841=0,0,AA841/H841)</f>
        <v/>
      </c>
      <c r="AP841" s="63">
        <f>AO841-AN841</f>
        <v/>
      </c>
      <c r="AQ841" s="61">
        <f>SUMIFS([1]инфо!$H$15:$H$28,[1]инфо!$A$15:$A$28,F841)</f>
        <v/>
      </c>
      <c r="AR841" s="62">
        <f>IF(H840=0,0,AC841/H840)</f>
        <v/>
      </c>
      <c r="AS841" s="63">
        <f>AR841-AQ841</f>
        <v/>
      </c>
      <c r="AT841" s="61">
        <f>SUMIFS([1]инфо!$I$15:$I$28,[1]инфо!$A$15:$A$28,F841)</f>
        <v/>
      </c>
      <c r="AU841" s="62">
        <f>IF(H841=0,0,AD841/H841)</f>
        <v/>
      </c>
      <c r="AV841" s="63">
        <f>AU841-AT841</f>
        <v/>
      </c>
      <c r="AX841" s="59">
        <f>SUMIFS([1]инфо!$C$15:$C$28,[1]инфо!$A$15:$A$28,F841)*H840</f>
        <v/>
      </c>
    </row>
    <row r="842">
      <c r="A842" s="71">
        <f>A840+1</f>
        <v/>
      </c>
      <c r="B842" s="88" t="n"/>
      <c r="C842" s="77" t="n"/>
      <c r="D842" s="78" t="n"/>
      <c r="E842" s="91" t="n"/>
      <c r="F842" s="67" t="n"/>
      <c r="G842" s="79" t="n"/>
      <c r="H842" s="67" t="n"/>
      <c r="I842" s="55" t="n"/>
      <c r="J842" s="55" t="n"/>
      <c r="K842" s="55" t="n"/>
      <c r="L842" s="55" t="n"/>
      <c r="M842" s="55" t="n"/>
      <c r="N842" s="56" t="n"/>
      <c r="O842" s="79" t="n"/>
      <c r="P842" s="79" t="n"/>
      <c r="Q842" s="79" t="n"/>
      <c r="R842" s="79" t="n"/>
      <c r="S842" s="80">
        <f>SUM(O842:R842)</f>
        <v/>
      </c>
      <c r="T842" s="77" t="n"/>
      <c r="U842" s="78" t="n"/>
      <c r="V842" s="79" t="n"/>
      <c r="W842" s="68" t="n"/>
      <c r="X842" s="79" t="n"/>
      <c r="Y842" s="77" t="n"/>
      <c r="Z842" s="79" t="n"/>
      <c r="AA842" s="79" t="n"/>
      <c r="AB842" s="79" t="n"/>
      <c r="AC842" s="79" t="n"/>
      <c r="AD842" s="78" t="n"/>
      <c r="AE842" s="81">
        <f>SUMIFS([1]инфо!$D$15:$D$28,[1]инфо!$A$15:$A$28,F842)</f>
        <v/>
      </c>
      <c r="AF842" s="62">
        <f>IF(H842=0,0,N842/H842)</f>
        <v/>
      </c>
      <c r="AG842" s="82">
        <f>AF842-AE842</f>
        <v/>
      </c>
      <c r="AH842" s="81">
        <f>SUMIFS([1]инфо!$E$15:$E$28,[1]инфо!$A$15:$A$28,F842)</f>
        <v/>
      </c>
      <c r="AI842" s="64">
        <f>IF(H842=0,0,S842/H842)</f>
        <v/>
      </c>
      <c r="AJ842" s="82">
        <f>AI842-AH842</f>
        <v/>
      </c>
      <c r="AK842" s="81">
        <f>SUMIFS([1]инфо!$F$15:$F$28,[1]инфо!$A$15:$A$28,F842)</f>
        <v/>
      </c>
      <c r="AL842" s="64">
        <f>IF(H842=0,0,Y842/H842)</f>
        <v/>
      </c>
      <c r="AM842" s="82">
        <f>AL842-AK842</f>
        <v/>
      </c>
      <c r="AN842" s="81">
        <f>SUMIFS([1]инфо!$G$15:$G$28,[1]инфо!$A$15:$A$28,F842)</f>
        <v/>
      </c>
      <c r="AO842" s="64">
        <f>IF(H842=0,0,AA842/H842)</f>
        <v/>
      </c>
      <c r="AP842" s="82">
        <f>AO842-AN842</f>
        <v/>
      </c>
      <c r="AQ842" s="81">
        <f>SUMIFS([1]инфо!$H$15:$H$28,[1]инфо!$A$15:$A$28,F842)</f>
        <v/>
      </c>
      <c r="AR842" s="85">
        <f>IF(H841=0,0,AC842/H841)</f>
        <v/>
      </c>
      <c r="AS842" s="82">
        <f>AR842-AQ842</f>
        <v/>
      </c>
      <c r="AT842" s="81">
        <f>SUMIFS([1]инфо!$I$15:$I$28,[1]инфо!$A$15:$A$28,F842)</f>
        <v/>
      </c>
      <c r="AU842" s="62">
        <f>IF(H842=0,0,AD842/H842)</f>
        <v/>
      </c>
      <c r="AV842" s="82">
        <f>AU842-AT842</f>
        <v/>
      </c>
      <c r="AX842" s="80">
        <f>SUMIFS([1]инфо!$C$15:$C$28,[1]инфо!$A$15:$A$28,F842)*H841</f>
        <v/>
      </c>
    </row>
    <row r="843">
      <c r="A843" s="71">
        <f>A841+1</f>
        <v/>
      </c>
      <c r="B843" s="89" t="n"/>
      <c r="C843" s="72" t="n"/>
      <c r="D843" s="73" t="n"/>
      <c r="E843" s="91" t="n"/>
      <c r="F843" s="67" t="n"/>
      <c r="G843" s="74" t="n"/>
      <c r="H843" s="55" t="n"/>
      <c r="I843" s="55" t="n"/>
      <c r="J843" s="55" t="n"/>
      <c r="K843" s="55" t="n"/>
      <c r="L843" s="55" t="n"/>
      <c r="M843" s="55" t="n"/>
      <c r="N843" s="67" t="n"/>
      <c r="O843" s="74" t="n"/>
      <c r="P843" s="74" t="n"/>
      <c r="Q843" s="74" t="n"/>
      <c r="R843" s="74" t="n"/>
      <c r="S843" s="70">
        <f>SUM(O843:R843)</f>
        <v/>
      </c>
      <c r="T843" s="72" t="n"/>
      <c r="U843" s="73" t="n"/>
      <c r="V843" s="74" t="n"/>
      <c r="W843" s="68" t="n"/>
      <c r="X843" s="74" t="n"/>
      <c r="Y843" s="72" t="n"/>
      <c r="Z843" s="74" t="n"/>
      <c r="AA843" s="74" t="n"/>
      <c r="AB843" s="74" t="n"/>
      <c r="AC843" s="74" t="n"/>
      <c r="AD843" s="73" t="n"/>
      <c r="AE843" s="75">
        <f>SUMIFS([1]инфо!$D$15:$D$28,[1]инфо!$A$15:$A$28,F843)</f>
        <v/>
      </c>
      <c r="AF843" s="62">
        <f>IF(H843=0,0,N843/H843)</f>
        <v/>
      </c>
      <c r="AG843" s="76">
        <f>AF843-AE843</f>
        <v/>
      </c>
      <c r="AH843" s="75">
        <f>SUMIFS([1]инфо!$E$15:$E$28,[1]инфо!$A$15:$A$28,F843)</f>
        <v/>
      </c>
      <c r="AI843" s="64">
        <f>IF(H843=0,0,S843/H843)</f>
        <v/>
      </c>
      <c r="AJ843" s="76">
        <f>AI843-AH843</f>
        <v/>
      </c>
      <c r="AK843" s="75">
        <f>SUMIFS([1]инфо!$F$15:$F$28,[1]инфо!$A$15:$A$28,F843)</f>
        <v/>
      </c>
      <c r="AL843" s="64">
        <f>IF(H843=0,0,Y843/H843)</f>
        <v/>
      </c>
      <c r="AM843" s="76">
        <f>AL843-AK843</f>
        <v/>
      </c>
      <c r="AN843" s="75">
        <f>SUMIFS([1]инфо!$G$15:$G$28,[1]инфо!$A$15:$A$28,F843)</f>
        <v/>
      </c>
      <c r="AO843" s="64">
        <f>IF(H843=0,0,AA843/H843)</f>
        <v/>
      </c>
      <c r="AP843" s="76">
        <f>AO843-AN843</f>
        <v/>
      </c>
      <c r="AQ843" s="75">
        <f>SUMIFS([1]инфо!$H$15:$H$28,[1]инфо!$A$15:$A$28,F843)</f>
        <v/>
      </c>
      <c r="AR843" s="64">
        <f>IF(H842=0,0,AC843/H842)</f>
        <v/>
      </c>
      <c r="AS843" s="76">
        <f>AR843-AQ843</f>
        <v/>
      </c>
      <c r="AT843" s="75">
        <f>SUMIFS([1]инфо!$I$15:$I$28,[1]инфо!$A$15:$A$28,F843)</f>
        <v/>
      </c>
      <c r="AU843" s="62">
        <f>IF(H843=0,0,AD843/H843)</f>
        <v/>
      </c>
      <c r="AV843" s="76">
        <f>AU843-AT843</f>
        <v/>
      </c>
      <c r="AX843" s="70">
        <f>SUMIFS([1]инфо!$C$15:$C$28,[1]инфо!$A$15:$A$28,F843)*H842</f>
        <v/>
      </c>
    </row>
    <row r="844">
      <c r="A844" s="71">
        <f>A842+1</f>
        <v/>
      </c>
      <c r="B844" s="90" t="n"/>
      <c r="C844" s="52" t="n"/>
      <c r="D844" s="53" t="n"/>
      <c r="E844" s="91" t="n"/>
      <c r="F844" s="67" t="n"/>
      <c r="G844" s="58" t="n"/>
      <c r="H844" s="55" t="n"/>
      <c r="I844" s="55" t="n"/>
      <c r="J844" s="55" t="n"/>
      <c r="K844" s="55" t="n"/>
      <c r="L844" s="55" t="n"/>
      <c r="M844" s="55" t="n"/>
      <c r="N844" s="55" t="n"/>
      <c r="O844" s="58" t="n"/>
      <c r="P844" s="58" t="n"/>
      <c r="Q844" s="58" t="n"/>
      <c r="R844" s="58" t="n"/>
      <c r="S844" s="59">
        <f>SUM(O844:R844)</f>
        <v/>
      </c>
      <c r="T844" s="52" t="n"/>
      <c r="U844" s="53" t="n"/>
      <c r="V844" s="58" t="n"/>
      <c r="W844" s="68" t="n"/>
      <c r="X844" s="58" t="n"/>
      <c r="Y844" s="52" t="n"/>
      <c r="Z844" s="58" t="n"/>
      <c r="AA844" s="58" t="n"/>
      <c r="AB844" s="58" t="n"/>
      <c r="AC844" s="58" t="n"/>
      <c r="AD844" s="53" t="n"/>
      <c r="AE844" s="61">
        <f>SUMIFS([1]инфо!$D$15:$D$28,[1]инфо!$A$15:$A$28,F844)</f>
        <v/>
      </c>
      <c r="AF844" s="62">
        <f>IF(H844=0,0,N844/H844)</f>
        <v/>
      </c>
      <c r="AG844" s="63">
        <f>AF844-AE844</f>
        <v/>
      </c>
      <c r="AH844" s="61">
        <f>SUMIFS([1]инфо!$E$15:$E$28,[1]инфо!$A$15:$A$28,F844)</f>
        <v/>
      </c>
      <c r="AI844" s="64">
        <f>IF(H844=0,0,S844/H844)</f>
        <v/>
      </c>
      <c r="AJ844" s="63">
        <f>AI844-AH844</f>
        <v/>
      </c>
      <c r="AK844" s="61">
        <f>SUMIFS([1]инфо!$F$15:$F$28,[1]инфо!$A$15:$A$28,F844)</f>
        <v/>
      </c>
      <c r="AL844" s="64">
        <f>IF(H844=0,0,Y844/H844)</f>
        <v/>
      </c>
      <c r="AM844" s="63">
        <f>AL844-AK844</f>
        <v/>
      </c>
      <c r="AN844" s="61">
        <f>SUMIFS([1]инфо!$G$15:$G$28,[1]инфо!$A$15:$A$28,F844)</f>
        <v/>
      </c>
      <c r="AO844" s="64">
        <f>IF(H844=0,0,AA844/H844)</f>
        <v/>
      </c>
      <c r="AP844" s="63">
        <f>AO844-AN844</f>
        <v/>
      </c>
      <c r="AQ844" s="61">
        <f>SUMIFS([1]инфо!$H$15:$H$28,[1]инфо!$A$15:$A$28,F844)</f>
        <v/>
      </c>
      <c r="AR844" s="62">
        <f>IF(H843=0,0,AC844/H843)</f>
        <v/>
      </c>
      <c r="AS844" s="63">
        <f>AR844-AQ844</f>
        <v/>
      </c>
      <c r="AT844" s="61">
        <f>SUMIFS([1]инфо!$I$15:$I$28,[1]инфо!$A$15:$A$28,F844)</f>
        <v/>
      </c>
      <c r="AU844" s="62">
        <f>IF(H844=0,0,AD844/H844)</f>
        <v/>
      </c>
      <c r="AV844" s="63">
        <f>AU844-AT844</f>
        <v/>
      </c>
      <c r="AX844" s="59">
        <f>SUMIFS([1]инфо!$C$15:$C$28,[1]инфо!$A$15:$A$28,F844)*H843</f>
        <v/>
      </c>
    </row>
    <row r="845">
      <c r="A845" s="71">
        <f>A843+1</f>
        <v/>
      </c>
      <c r="B845" s="90" t="n"/>
      <c r="C845" s="52" t="n"/>
      <c r="D845" s="53" t="n"/>
      <c r="E845" s="91" t="n"/>
      <c r="F845" s="67" t="n"/>
      <c r="G845" s="58" t="n"/>
      <c r="H845" s="56" t="n"/>
      <c r="I845" s="55" t="n"/>
      <c r="J845" s="55" t="n"/>
      <c r="K845" s="55" t="n"/>
      <c r="L845" s="55" t="n"/>
      <c r="M845" s="55" t="n"/>
      <c r="N845" s="55" t="n"/>
      <c r="O845" s="58" t="n"/>
      <c r="P845" s="58" t="n"/>
      <c r="Q845" s="58" t="n"/>
      <c r="R845" s="58" t="n"/>
      <c r="S845" s="59">
        <f>SUM(O845:R845)</f>
        <v/>
      </c>
      <c r="T845" s="52" t="n"/>
      <c r="U845" s="53" t="n"/>
      <c r="V845" s="58" t="n"/>
      <c r="W845" s="68" t="n"/>
      <c r="X845" s="58" t="n"/>
      <c r="Y845" s="52" t="n"/>
      <c r="Z845" s="58" t="n"/>
      <c r="AA845" s="58" t="n"/>
      <c r="AB845" s="58" t="n"/>
      <c r="AC845" s="58" t="n"/>
      <c r="AD845" s="53" t="n"/>
      <c r="AE845" s="61">
        <f>SUMIFS([1]инфо!$D$15:$D$28,[1]инфо!$A$15:$A$28,F845)</f>
        <v/>
      </c>
      <c r="AF845" s="62">
        <f>IF(H845=0,0,N845/H845)</f>
        <v/>
      </c>
      <c r="AG845" s="63">
        <f>AF845-AE845</f>
        <v/>
      </c>
      <c r="AH845" s="61">
        <f>SUMIFS([1]инфо!$E$15:$E$28,[1]инфо!$A$15:$A$28,F845)</f>
        <v/>
      </c>
      <c r="AI845" s="64">
        <f>IF(H845=0,0,S845/H845)</f>
        <v/>
      </c>
      <c r="AJ845" s="63">
        <f>AI845-AH845</f>
        <v/>
      </c>
      <c r="AK845" s="61">
        <f>SUMIFS([1]инфо!$F$15:$F$28,[1]инфо!$A$15:$A$28,F845)</f>
        <v/>
      </c>
      <c r="AL845" s="64">
        <f>IF(H845=0,0,Y845/H845)</f>
        <v/>
      </c>
      <c r="AM845" s="63">
        <f>AL845-AK845</f>
        <v/>
      </c>
      <c r="AN845" s="61">
        <f>SUMIFS([1]инфо!$G$15:$G$28,[1]инфо!$A$15:$A$28,F845)</f>
        <v/>
      </c>
      <c r="AO845" s="64">
        <f>IF(H845=0,0,AA845/H845)</f>
        <v/>
      </c>
      <c r="AP845" s="63">
        <f>AO845-AN845</f>
        <v/>
      </c>
      <c r="AQ845" s="61">
        <f>SUMIFS([1]инфо!$H$15:$H$28,[1]инфо!$A$15:$A$28,F845)</f>
        <v/>
      </c>
      <c r="AR845" s="62">
        <f>IF(H844=0,0,AC845/H844)</f>
        <v/>
      </c>
      <c r="AS845" s="63">
        <f>AR845-AQ845</f>
        <v/>
      </c>
      <c r="AT845" s="61">
        <f>SUMIFS([1]инфо!$I$15:$I$28,[1]инфо!$A$15:$A$28,F845)</f>
        <v/>
      </c>
      <c r="AU845" s="62">
        <f>IF(H845=0,0,AD845/H845)</f>
        <v/>
      </c>
      <c r="AV845" s="63">
        <f>AU845-AT845</f>
        <v/>
      </c>
      <c r="AX845" s="59">
        <f>SUMIFS([1]инфо!$C$15:$C$28,[1]инфо!$A$15:$A$28,F845)*H844</f>
        <v/>
      </c>
    </row>
    <row r="846">
      <c r="A846" s="71">
        <f>A844+1</f>
        <v/>
      </c>
      <c r="B846" s="88" t="n"/>
      <c r="C846" s="77" t="n"/>
      <c r="D846" s="78" t="n"/>
      <c r="E846" s="91" t="n"/>
      <c r="F846" s="67" t="n"/>
      <c r="G846" s="79" t="n"/>
      <c r="H846" s="67" t="n"/>
      <c r="I846" s="55" t="n"/>
      <c r="J846" s="55" t="n"/>
      <c r="K846" s="55" t="n"/>
      <c r="L846" s="55" t="n"/>
      <c r="M846" s="55" t="n"/>
      <c r="N846" s="56" t="n"/>
      <c r="O846" s="79" t="n"/>
      <c r="P846" s="79" t="n"/>
      <c r="Q846" s="79" t="n"/>
      <c r="R846" s="79" t="n"/>
      <c r="S846" s="80">
        <f>SUM(O846:R846)</f>
        <v/>
      </c>
      <c r="T846" s="77" t="n"/>
      <c r="U846" s="78" t="n"/>
      <c r="V846" s="79" t="n"/>
      <c r="W846" s="68" t="n"/>
      <c r="X846" s="79" t="n"/>
      <c r="Y846" s="77" t="n"/>
      <c r="Z846" s="79" t="n"/>
      <c r="AA846" s="79" t="n"/>
      <c r="AB846" s="79" t="n"/>
      <c r="AC846" s="79" t="n"/>
      <c r="AD846" s="78" t="n"/>
      <c r="AE846" s="81">
        <f>SUMIFS([1]инфо!$D$15:$D$28,[1]инфо!$A$15:$A$28,F846)</f>
        <v/>
      </c>
      <c r="AF846" s="62">
        <f>IF(H846=0,0,N846/H846)</f>
        <v/>
      </c>
      <c r="AG846" s="82">
        <f>AF846-AE846</f>
        <v/>
      </c>
      <c r="AH846" s="81">
        <f>SUMIFS([1]инфо!$E$15:$E$28,[1]инфо!$A$15:$A$28,F846)</f>
        <v/>
      </c>
      <c r="AI846" s="64">
        <f>IF(H846=0,0,S846/H846)</f>
        <v/>
      </c>
      <c r="AJ846" s="82">
        <f>AI846-AH846</f>
        <v/>
      </c>
      <c r="AK846" s="81">
        <f>SUMIFS([1]инфо!$F$15:$F$28,[1]инфо!$A$15:$A$28,F846)</f>
        <v/>
      </c>
      <c r="AL846" s="64">
        <f>IF(H846=0,0,Y846/H846)</f>
        <v/>
      </c>
      <c r="AM846" s="82">
        <f>AL846-AK846</f>
        <v/>
      </c>
      <c r="AN846" s="81">
        <f>SUMIFS([1]инфо!$G$15:$G$28,[1]инфо!$A$15:$A$28,F846)</f>
        <v/>
      </c>
      <c r="AO846" s="64">
        <f>IF(H846=0,0,AA846/H846)</f>
        <v/>
      </c>
      <c r="AP846" s="82">
        <f>AO846-AN846</f>
        <v/>
      </c>
      <c r="AQ846" s="81">
        <f>SUMIFS([1]инфо!$H$15:$H$28,[1]инфо!$A$15:$A$28,F846)</f>
        <v/>
      </c>
      <c r="AR846" s="85">
        <f>IF(H845=0,0,AC846/H845)</f>
        <v/>
      </c>
      <c r="AS846" s="82">
        <f>AR846-AQ846</f>
        <v/>
      </c>
      <c r="AT846" s="81">
        <f>SUMIFS([1]инфо!$I$15:$I$28,[1]инфо!$A$15:$A$28,F846)</f>
        <v/>
      </c>
      <c r="AU846" s="62">
        <f>IF(H846=0,0,AD846/H846)</f>
        <v/>
      </c>
      <c r="AV846" s="82">
        <f>AU846-AT846</f>
        <v/>
      </c>
      <c r="AX846" s="80">
        <f>SUMIFS([1]инфо!$C$15:$C$28,[1]инфо!$A$15:$A$28,F846)*H845</f>
        <v/>
      </c>
    </row>
    <row r="847">
      <c r="A847" s="71">
        <f>A845+1</f>
        <v/>
      </c>
      <c r="B847" s="89" t="n"/>
      <c r="C847" s="72" t="n"/>
      <c r="D847" s="73" t="n"/>
      <c r="E847" s="91" t="n"/>
      <c r="F847" s="67" t="n"/>
      <c r="G847" s="74" t="n"/>
      <c r="H847" s="55" t="n"/>
      <c r="I847" s="55" t="n"/>
      <c r="J847" s="55" t="n"/>
      <c r="K847" s="55" t="n"/>
      <c r="L847" s="55" t="n"/>
      <c r="M847" s="55" t="n"/>
      <c r="N847" s="67" t="n"/>
      <c r="O847" s="74" t="n"/>
      <c r="P847" s="74" t="n"/>
      <c r="Q847" s="74" t="n"/>
      <c r="R847" s="74" t="n"/>
      <c r="S847" s="70">
        <f>SUM(O847:R847)</f>
        <v/>
      </c>
      <c r="T847" s="72" t="n"/>
      <c r="U847" s="73" t="n"/>
      <c r="V847" s="74" t="n"/>
      <c r="W847" s="68" t="n"/>
      <c r="X847" s="74" t="n"/>
      <c r="Y847" s="72" t="n"/>
      <c r="Z847" s="74" t="n"/>
      <c r="AA847" s="74" t="n"/>
      <c r="AB847" s="74" t="n"/>
      <c r="AC847" s="74" t="n"/>
      <c r="AD847" s="73" t="n"/>
      <c r="AE847" s="75">
        <f>SUMIFS([1]инфо!$D$15:$D$28,[1]инфо!$A$15:$A$28,F847)</f>
        <v/>
      </c>
      <c r="AF847" s="62">
        <f>IF(H847=0,0,N847/H847)</f>
        <v/>
      </c>
      <c r="AG847" s="76">
        <f>AF847-AE847</f>
        <v/>
      </c>
      <c r="AH847" s="75">
        <f>SUMIFS([1]инфо!$E$15:$E$28,[1]инфо!$A$15:$A$28,F847)</f>
        <v/>
      </c>
      <c r="AI847" s="64">
        <f>IF(H847=0,0,S847/H847)</f>
        <v/>
      </c>
      <c r="AJ847" s="76">
        <f>AI847-AH847</f>
        <v/>
      </c>
      <c r="AK847" s="75">
        <f>SUMIFS([1]инфо!$F$15:$F$28,[1]инфо!$A$15:$A$28,F847)</f>
        <v/>
      </c>
      <c r="AL847" s="64">
        <f>IF(H847=0,0,Y847/H847)</f>
        <v/>
      </c>
      <c r="AM847" s="76">
        <f>AL847-AK847</f>
        <v/>
      </c>
      <c r="AN847" s="75">
        <f>SUMIFS([1]инфо!$G$15:$G$28,[1]инфо!$A$15:$A$28,F847)</f>
        <v/>
      </c>
      <c r="AO847" s="64">
        <f>IF(H847=0,0,AA847/H847)</f>
        <v/>
      </c>
      <c r="AP847" s="76">
        <f>AO847-AN847</f>
        <v/>
      </c>
      <c r="AQ847" s="75">
        <f>SUMIFS([1]инфо!$H$15:$H$28,[1]инфо!$A$15:$A$28,F847)</f>
        <v/>
      </c>
      <c r="AR847" s="64">
        <f>IF(H846=0,0,AC847/H846)</f>
        <v/>
      </c>
      <c r="AS847" s="76">
        <f>AR847-AQ847</f>
        <v/>
      </c>
      <c r="AT847" s="75">
        <f>SUMIFS([1]инфо!$I$15:$I$28,[1]инфо!$A$15:$A$28,F847)</f>
        <v/>
      </c>
      <c r="AU847" s="62">
        <f>IF(H847=0,0,AD847/H847)</f>
        <v/>
      </c>
      <c r="AV847" s="76">
        <f>AU847-AT847</f>
        <v/>
      </c>
      <c r="AX847" s="70">
        <f>SUMIFS([1]инфо!$C$15:$C$28,[1]инфо!$A$15:$A$28,F847)*H846</f>
        <v/>
      </c>
    </row>
    <row r="848">
      <c r="A848" s="71">
        <f>A846+1</f>
        <v/>
      </c>
      <c r="B848" s="90" t="n"/>
      <c r="C848" s="52" t="n"/>
      <c r="D848" s="53" t="n"/>
      <c r="E848" s="91" t="n"/>
      <c r="F848" s="67" t="n"/>
      <c r="G848" s="58" t="n"/>
      <c r="H848" s="55" t="n"/>
      <c r="I848" s="55" t="n"/>
      <c r="J848" s="55" t="n"/>
      <c r="K848" s="55" t="n"/>
      <c r="L848" s="55" t="n"/>
      <c r="M848" s="55" t="n"/>
      <c r="N848" s="55" t="n"/>
      <c r="O848" s="58" t="n"/>
      <c r="P848" s="58" t="n"/>
      <c r="Q848" s="58" t="n"/>
      <c r="R848" s="58" t="n"/>
      <c r="S848" s="59">
        <f>SUM(O848:R848)</f>
        <v/>
      </c>
      <c r="T848" s="52" t="n"/>
      <c r="U848" s="53" t="n"/>
      <c r="V848" s="58" t="n"/>
      <c r="W848" s="68" t="n"/>
      <c r="X848" s="58" t="n"/>
      <c r="Y848" s="52" t="n"/>
      <c r="Z848" s="58" t="n"/>
      <c r="AA848" s="58" t="n"/>
      <c r="AB848" s="58" t="n"/>
      <c r="AC848" s="58" t="n"/>
      <c r="AD848" s="53" t="n"/>
      <c r="AE848" s="61">
        <f>SUMIFS([1]инфо!$D$15:$D$28,[1]инфо!$A$15:$A$28,F848)</f>
        <v/>
      </c>
      <c r="AF848" s="62">
        <f>IF(H848=0,0,N848/H848)</f>
        <v/>
      </c>
      <c r="AG848" s="63">
        <f>AF848-AE848</f>
        <v/>
      </c>
      <c r="AH848" s="61">
        <f>SUMIFS([1]инфо!$E$15:$E$28,[1]инфо!$A$15:$A$28,F848)</f>
        <v/>
      </c>
      <c r="AI848" s="64">
        <f>IF(H848=0,0,S848/H848)</f>
        <v/>
      </c>
      <c r="AJ848" s="63">
        <f>AI848-AH848</f>
        <v/>
      </c>
      <c r="AK848" s="61">
        <f>SUMIFS([1]инфо!$F$15:$F$28,[1]инфо!$A$15:$A$28,F848)</f>
        <v/>
      </c>
      <c r="AL848" s="64">
        <f>IF(H848=0,0,Y848/H848)</f>
        <v/>
      </c>
      <c r="AM848" s="63">
        <f>AL848-AK848</f>
        <v/>
      </c>
      <c r="AN848" s="61">
        <f>SUMIFS([1]инфо!$G$15:$G$28,[1]инфо!$A$15:$A$28,F848)</f>
        <v/>
      </c>
      <c r="AO848" s="64">
        <f>IF(H848=0,0,AA848/H848)</f>
        <v/>
      </c>
      <c r="AP848" s="63">
        <f>AO848-AN848</f>
        <v/>
      </c>
      <c r="AQ848" s="61">
        <f>SUMIFS([1]инфо!$H$15:$H$28,[1]инфо!$A$15:$A$28,F848)</f>
        <v/>
      </c>
      <c r="AR848" s="62">
        <f>IF(H847=0,0,AC848/H847)</f>
        <v/>
      </c>
      <c r="AS848" s="63">
        <f>AR848-AQ848</f>
        <v/>
      </c>
      <c r="AT848" s="61">
        <f>SUMIFS([1]инфо!$I$15:$I$28,[1]инфо!$A$15:$A$28,F848)</f>
        <v/>
      </c>
      <c r="AU848" s="62">
        <f>IF(H848=0,0,AD848/H848)</f>
        <v/>
      </c>
      <c r="AV848" s="63">
        <f>AU848-AT848</f>
        <v/>
      </c>
      <c r="AX848" s="59">
        <f>SUMIFS([1]инфо!$C$15:$C$28,[1]инфо!$A$15:$A$28,F848)*H847</f>
        <v/>
      </c>
    </row>
    <row r="849">
      <c r="A849" s="71">
        <f>A847+1</f>
        <v/>
      </c>
      <c r="B849" s="90" t="n"/>
      <c r="C849" s="52" t="n"/>
      <c r="D849" s="53" t="n"/>
      <c r="E849" s="91" t="n"/>
      <c r="F849" s="67" t="n"/>
      <c r="G849" s="58" t="n"/>
      <c r="H849" s="56" t="n"/>
      <c r="I849" s="55" t="n"/>
      <c r="J849" s="55" t="n"/>
      <c r="K849" s="55" t="n"/>
      <c r="L849" s="55" t="n"/>
      <c r="M849" s="55" t="n"/>
      <c r="N849" s="55" t="n"/>
      <c r="O849" s="58" t="n"/>
      <c r="P849" s="58" t="n"/>
      <c r="Q849" s="58" t="n"/>
      <c r="R849" s="58" t="n"/>
      <c r="S849" s="59">
        <f>SUM(O849:R849)</f>
        <v/>
      </c>
      <c r="T849" s="52" t="n"/>
      <c r="U849" s="53" t="n"/>
      <c r="V849" s="58" t="n"/>
      <c r="W849" s="68" t="n"/>
      <c r="X849" s="58" t="n"/>
      <c r="Y849" s="52" t="n"/>
      <c r="Z849" s="58" t="n"/>
      <c r="AA849" s="58" t="n"/>
      <c r="AB849" s="58" t="n"/>
      <c r="AC849" s="58" t="n"/>
      <c r="AD849" s="53" t="n"/>
      <c r="AE849" s="61">
        <f>SUMIFS([1]инфо!$D$15:$D$28,[1]инфо!$A$15:$A$28,F849)</f>
        <v/>
      </c>
      <c r="AF849" s="62">
        <f>IF(H849=0,0,N849/H849)</f>
        <v/>
      </c>
      <c r="AG849" s="63">
        <f>AF849-AE849</f>
        <v/>
      </c>
      <c r="AH849" s="61">
        <f>SUMIFS([1]инфо!$E$15:$E$28,[1]инфо!$A$15:$A$28,F849)</f>
        <v/>
      </c>
      <c r="AI849" s="64">
        <f>IF(H849=0,0,S849/H849)</f>
        <v/>
      </c>
      <c r="AJ849" s="63">
        <f>AI849-AH849</f>
        <v/>
      </c>
      <c r="AK849" s="61">
        <f>SUMIFS([1]инфо!$F$15:$F$28,[1]инфо!$A$15:$A$28,F849)</f>
        <v/>
      </c>
      <c r="AL849" s="64">
        <f>IF(H849=0,0,Y849/H849)</f>
        <v/>
      </c>
      <c r="AM849" s="63">
        <f>AL849-AK849</f>
        <v/>
      </c>
      <c r="AN849" s="61">
        <f>SUMIFS([1]инфо!$G$15:$G$28,[1]инфо!$A$15:$A$28,F849)</f>
        <v/>
      </c>
      <c r="AO849" s="64">
        <f>IF(H849=0,0,AA849/H849)</f>
        <v/>
      </c>
      <c r="AP849" s="63">
        <f>AO849-AN849</f>
        <v/>
      </c>
      <c r="AQ849" s="61">
        <f>SUMIFS([1]инфо!$H$15:$H$28,[1]инфо!$A$15:$A$28,F849)</f>
        <v/>
      </c>
      <c r="AR849" s="62">
        <f>IF(H848=0,0,AC849/H848)</f>
        <v/>
      </c>
      <c r="AS849" s="63">
        <f>AR849-AQ849</f>
        <v/>
      </c>
      <c r="AT849" s="61">
        <f>SUMIFS([1]инфо!$I$15:$I$28,[1]инфо!$A$15:$A$28,F849)</f>
        <v/>
      </c>
      <c r="AU849" s="62">
        <f>IF(H849=0,0,AD849/H849)</f>
        <v/>
      </c>
      <c r="AV849" s="63">
        <f>AU849-AT849</f>
        <v/>
      </c>
      <c r="AX849" s="59">
        <f>SUMIFS([1]инфо!$C$15:$C$28,[1]инфо!$A$15:$A$28,F849)*H848</f>
        <v/>
      </c>
    </row>
    <row r="850">
      <c r="A850" s="71">
        <f>A848+1</f>
        <v/>
      </c>
      <c r="B850" s="88" t="n"/>
      <c r="C850" s="77" t="n"/>
      <c r="D850" s="78" t="n"/>
      <c r="E850" s="91" t="n"/>
      <c r="F850" s="67" t="n"/>
      <c r="G850" s="79" t="n"/>
      <c r="H850" s="67" t="n"/>
      <c r="I850" s="55" t="n"/>
      <c r="J850" s="55" t="n"/>
      <c r="K850" s="55" t="n"/>
      <c r="L850" s="55" t="n"/>
      <c r="M850" s="55" t="n"/>
      <c r="N850" s="56" t="n"/>
      <c r="O850" s="79" t="n"/>
      <c r="P850" s="79" t="n"/>
      <c r="Q850" s="79" t="n"/>
      <c r="R850" s="79" t="n"/>
      <c r="S850" s="80">
        <f>SUM(O850:R850)</f>
        <v/>
      </c>
      <c r="T850" s="77" t="n"/>
      <c r="U850" s="78" t="n"/>
      <c r="V850" s="79" t="n"/>
      <c r="W850" s="68" t="n"/>
      <c r="X850" s="79" t="n"/>
      <c r="Y850" s="77" t="n"/>
      <c r="Z850" s="79" t="n"/>
      <c r="AA850" s="79" t="n"/>
      <c r="AB850" s="79" t="n"/>
      <c r="AC850" s="79" t="n"/>
      <c r="AD850" s="78" t="n"/>
      <c r="AE850" s="81">
        <f>SUMIFS([1]инфо!$D$15:$D$28,[1]инфо!$A$15:$A$28,F850)</f>
        <v/>
      </c>
      <c r="AF850" s="62">
        <f>IF(H850=0,0,N850/H850)</f>
        <v/>
      </c>
      <c r="AG850" s="82">
        <f>AF850-AE850</f>
        <v/>
      </c>
      <c r="AH850" s="81">
        <f>SUMIFS([1]инфо!$E$15:$E$28,[1]инфо!$A$15:$A$28,F850)</f>
        <v/>
      </c>
      <c r="AI850" s="64">
        <f>IF(H850=0,0,S850/H850)</f>
        <v/>
      </c>
      <c r="AJ850" s="82">
        <f>AI850-AH850</f>
        <v/>
      </c>
      <c r="AK850" s="81">
        <f>SUMIFS([1]инфо!$F$15:$F$28,[1]инфо!$A$15:$A$28,F850)</f>
        <v/>
      </c>
      <c r="AL850" s="64">
        <f>IF(H850=0,0,Y850/H850)</f>
        <v/>
      </c>
      <c r="AM850" s="82">
        <f>AL850-AK850</f>
        <v/>
      </c>
      <c r="AN850" s="81">
        <f>SUMIFS([1]инфо!$G$15:$G$28,[1]инфо!$A$15:$A$28,F850)</f>
        <v/>
      </c>
      <c r="AO850" s="64">
        <f>IF(H850=0,0,AA850/H850)</f>
        <v/>
      </c>
      <c r="AP850" s="82">
        <f>AO850-AN850</f>
        <v/>
      </c>
      <c r="AQ850" s="81">
        <f>SUMIFS([1]инфо!$H$15:$H$28,[1]инфо!$A$15:$A$28,F850)</f>
        <v/>
      </c>
      <c r="AR850" s="85">
        <f>IF(H849=0,0,AC850/H849)</f>
        <v/>
      </c>
      <c r="AS850" s="82">
        <f>AR850-AQ850</f>
        <v/>
      </c>
      <c r="AT850" s="81">
        <f>SUMIFS([1]инфо!$I$15:$I$28,[1]инфо!$A$15:$A$28,F850)</f>
        <v/>
      </c>
      <c r="AU850" s="62">
        <f>IF(H850=0,0,AD850/H850)</f>
        <v/>
      </c>
      <c r="AV850" s="82">
        <f>AU850-AT850</f>
        <v/>
      </c>
      <c r="AX850" s="80">
        <f>SUMIFS([1]инфо!$C$15:$C$28,[1]инфо!$A$15:$A$28,F850)*H849</f>
        <v/>
      </c>
    </row>
    <row r="851">
      <c r="A851" s="71">
        <f>A849+1</f>
        <v/>
      </c>
      <c r="B851" s="89" t="n"/>
      <c r="C851" s="72" t="n"/>
      <c r="D851" s="73" t="n"/>
      <c r="E851" s="91" t="n"/>
      <c r="F851" s="67" t="n"/>
      <c r="G851" s="74" t="n"/>
      <c r="H851" s="55" t="n"/>
      <c r="I851" s="55" t="n"/>
      <c r="J851" s="55" t="n"/>
      <c r="K851" s="55" t="n"/>
      <c r="L851" s="55" t="n"/>
      <c r="M851" s="55" t="n"/>
      <c r="N851" s="67" t="n"/>
      <c r="O851" s="74" t="n"/>
      <c r="P851" s="74" t="n"/>
      <c r="Q851" s="74" t="n"/>
      <c r="R851" s="74" t="n"/>
      <c r="S851" s="70">
        <f>SUM(O851:R851)</f>
        <v/>
      </c>
      <c r="T851" s="72" t="n"/>
      <c r="U851" s="73" t="n"/>
      <c r="V851" s="74" t="n"/>
      <c r="W851" s="68" t="n"/>
      <c r="X851" s="74" t="n"/>
      <c r="Y851" s="72" t="n"/>
      <c r="Z851" s="74" t="n"/>
      <c r="AA851" s="74" t="n"/>
      <c r="AB851" s="74" t="n"/>
      <c r="AC851" s="74" t="n"/>
      <c r="AD851" s="73" t="n"/>
      <c r="AE851" s="75">
        <f>SUMIFS([1]инфо!$D$15:$D$28,[1]инфо!$A$15:$A$28,F851)</f>
        <v/>
      </c>
      <c r="AF851" s="62">
        <f>IF(H851=0,0,N851/H851)</f>
        <v/>
      </c>
      <c r="AG851" s="76">
        <f>AF851-AE851</f>
        <v/>
      </c>
      <c r="AH851" s="75">
        <f>SUMIFS([1]инфо!$E$15:$E$28,[1]инфо!$A$15:$A$28,F851)</f>
        <v/>
      </c>
      <c r="AI851" s="64">
        <f>IF(H851=0,0,S851/H851)</f>
        <v/>
      </c>
      <c r="AJ851" s="76">
        <f>AI851-AH851</f>
        <v/>
      </c>
      <c r="AK851" s="75">
        <f>SUMIFS([1]инфо!$F$15:$F$28,[1]инфо!$A$15:$A$28,F851)</f>
        <v/>
      </c>
      <c r="AL851" s="64">
        <f>IF(H851=0,0,Y851/H851)</f>
        <v/>
      </c>
      <c r="AM851" s="76">
        <f>AL851-AK851</f>
        <v/>
      </c>
      <c r="AN851" s="75">
        <f>SUMIFS([1]инфо!$G$15:$G$28,[1]инфо!$A$15:$A$28,F851)</f>
        <v/>
      </c>
      <c r="AO851" s="64">
        <f>IF(H851=0,0,AA851/H851)</f>
        <v/>
      </c>
      <c r="AP851" s="76">
        <f>AO851-AN851</f>
        <v/>
      </c>
      <c r="AQ851" s="75">
        <f>SUMIFS([1]инфо!$H$15:$H$28,[1]инфо!$A$15:$A$28,F851)</f>
        <v/>
      </c>
      <c r="AR851" s="64">
        <f>IF(H850=0,0,AC851/H850)</f>
        <v/>
      </c>
      <c r="AS851" s="76">
        <f>AR851-AQ851</f>
        <v/>
      </c>
      <c r="AT851" s="75">
        <f>SUMIFS([1]инфо!$I$15:$I$28,[1]инфо!$A$15:$A$28,F851)</f>
        <v/>
      </c>
      <c r="AU851" s="62">
        <f>IF(H851=0,0,AD851/H851)</f>
        <v/>
      </c>
      <c r="AV851" s="76">
        <f>AU851-AT851</f>
        <v/>
      </c>
      <c r="AX851" s="70">
        <f>SUMIFS([1]инфо!$C$15:$C$28,[1]инфо!$A$15:$A$28,F851)*H850</f>
        <v/>
      </c>
    </row>
    <row r="852">
      <c r="A852" s="71">
        <f>A850+1</f>
        <v/>
      </c>
      <c r="B852" s="90" t="n"/>
      <c r="C852" s="52" t="n"/>
      <c r="D852" s="53" t="n"/>
      <c r="E852" s="91" t="n"/>
      <c r="F852" s="67" t="n"/>
      <c r="G852" s="58" t="n"/>
      <c r="H852" s="55" t="n"/>
      <c r="I852" s="55" t="n"/>
      <c r="J852" s="55" t="n"/>
      <c r="K852" s="55" t="n"/>
      <c r="L852" s="55" t="n"/>
      <c r="M852" s="55" t="n"/>
      <c r="N852" s="55" t="n"/>
      <c r="O852" s="58" t="n"/>
      <c r="P852" s="58" t="n"/>
      <c r="Q852" s="58" t="n"/>
      <c r="R852" s="58" t="n"/>
      <c r="S852" s="59">
        <f>SUM(O852:R852)</f>
        <v/>
      </c>
      <c r="T852" s="52" t="n"/>
      <c r="U852" s="53" t="n"/>
      <c r="V852" s="58" t="n"/>
      <c r="W852" s="68" t="n"/>
      <c r="X852" s="58" t="n"/>
      <c r="Y852" s="52" t="n"/>
      <c r="Z852" s="58" t="n"/>
      <c r="AA852" s="58" t="n"/>
      <c r="AB852" s="58" t="n"/>
      <c r="AC852" s="58" t="n"/>
      <c r="AD852" s="53" t="n"/>
      <c r="AE852" s="61">
        <f>SUMIFS([1]инфо!$D$15:$D$28,[1]инфо!$A$15:$A$28,F852)</f>
        <v/>
      </c>
      <c r="AF852" s="62">
        <f>IF(H852=0,0,N852/H852)</f>
        <v/>
      </c>
      <c r="AG852" s="63">
        <f>AF852-AE852</f>
        <v/>
      </c>
      <c r="AH852" s="61">
        <f>SUMIFS([1]инфо!$E$15:$E$28,[1]инфо!$A$15:$A$28,F852)</f>
        <v/>
      </c>
      <c r="AI852" s="64">
        <f>IF(H852=0,0,S852/H852)</f>
        <v/>
      </c>
      <c r="AJ852" s="63">
        <f>AI852-AH852</f>
        <v/>
      </c>
      <c r="AK852" s="61">
        <f>SUMIFS([1]инфо!$F$15:$F$28,[1]инфо!$A$15:$A$28,F852)</f>
        <v/>
      </c>
      <c r="AL852" s="64">
        <f>IF(H852=0,0,Y852/H852)</f>
        <v/>
      </c>
      <c r="AM852" s="63">
        <f>AL852-AK852</f>
        <v/>
      </c>
      <c r="AN852" s="61">
        <f>SUMIFS([1]инфо!$G$15:$G$28,[1]инфо!$A$15:$A$28,F852)</f>
        <v/>
      </c>
      <c r="AO852" s="64">
        <f>IF(H852=0,0,AA852/H852)</f>
        <v/>
      </c>
      <c r="AP852" s="63">
        <f>AO852-AN852</f>
        <v/>
      </c>
      <c r="AQ852" s="61">
        <f>SUMIFS([1]инфо!$H$15:$H$28,[1]инфо!$A$15:$A$28,F852)</f>
        <v/>
      </c>
      <c r="AR852" s="62">
        <f>IF(H851=0,0,AC852/H851)</f>
        <v/>
      </c>
      <c r="AS852" s="63">
        <f>AR852-AQ852</f>
        <v/>
      </c>
      <c r="AT852" s="61">
        <f>SUMIFS([1]инфо!$I$15:$I$28,[1]инфо!$A$15:$A$28,F852)</f>
        <v/>
      </c>
      <c r="AU852" s="62">
        <f>IF(H852=0,0,AD852/H852)</f>
        <v/>
      </c>
      <c r="AV852" s="63">
        <f>AU852-AT852</f>
        <v/>
      </c>
      <c r="AX852" s="59">
        <f>SUMIFS([1]инфо!$C$15:$C$28,[1]инфо!$A$15:$A$28,F852)*H851</f>
        <v/>
      </c>
    </row>
    <row r="853">
      <c r="A853" s="71">
        <f>A851+1</f>
        <v/>
      </c>
      <c r="B853" s="90" t="n"/>
      <c r="C853" s="52" t="n"/>
      <c r="D853" s="53" t="n"/>
      <c r="E853" s="91" t="n"/>
      <c r="F853" s="67" t="n"/>
      <c r="G853" s="58" t="n"/>
      <c r="H853" s="56" t="n"/>
      <c r="I853" s="55" t="n"/>
      <c r="J853" s="55" t="n"/>
      <c r="K853" s="55" t="n"/>
      <c r="L853" s="55" t="n"/>
      <c r="M853" s="55" t="n"/>
      <c r="N853" s="55" t="n"/>
      <c r="O853" s="58" t="n"/>
      <c r="P853" s="58" t="n"/>
      <c r="Q853" s="58" t="n"/>
      <c r="R853" s="58" t="n"/>
      <c r="S853" s="59">
        <f>SUM(O853:R853)</f>
        <v/>
      </c>
      <c r="T853" s="52" t="n"/>
      <c r="U853" s="53" t="n"/>
      <c r="V853" s="58" t="n"/>
      <c r="W853" s="68" t="n"/>
      <c r="X853" s="58" t="n"/>
      <c r="Y853" s="52" t="n"/>
      <c r="Z853" s="58" t="n"/>
      <c r="AA853" s="58" t="n"/>
      <c r="AB853" s="58" t="n"/>
      <c r="AC853" s="58" t="n"/>
      <c r="AD853" s="53" t="n"/>
      <c r="AE853" s="61">
        <f>SUMIFS([1]инфо!$D$15:$D$28,[1]инфо!$A$15:$A$28,F853)</f>
        <v/>
      </c>
      <c r="AF853" s="62">
        <f>IF(H853=0,0,N853/H853)</f>
        <v/>
      </c>
      <c r="AG853" s="63">
        <f>AF853-AE853</f>
        <v/>
      </c>
      <c r="AH853" s="61">
        <f>SUMIFS([1]инфо!$E$15:$E$28,[1]инфо!$A$15:$A$28,F853)</f>
        <v/>
      </c>
      <c r="AI853" s="64">
        <f>IF(H853=0,0,S853/H853)</f>
        <v/>
      </c>
      <c r="AJ853" s="63">
        <f>AI853-AH853</f>
        <v/>
      </c>
      <c r="AK853" s="61">
        <f>SUMIFS([1]инфо!$F$15:$F$28,[1]инфо!$A$15:$A$28,F853)</f>
        <v/>
      </c>
      <c r="AL853" s="64">
        <f>IF(H853=0,0,Y853/H853)</f>
        <v/>
      </c>
      <c r="AM853" s="63">
        <f>AL853-AK853</f>
        <v/>
      </c>
      <c r="AN853" s="61">
        <f>SUMIFS([1]инфо!$G$15:$G$28,[1]инфо!$A$15:$A$28,F853)</f>
        <v/>
      </c>
      <c r="AO853" s="64">
        <f>IF(H853=0,0,AA853/H853)</f>
        <v/>
      </c>
      <c r="AP853" s="63">
        <f>AO853-AN853</f>
        <v/>
      </c>
      <c r="AQ853" s="61">
        <f>SUMIFS([1]инфо!$H$15:$H$28,[1]инфо!$A$15:$A$28,F853)</f>
        <v/>
      </c>
      <c r="AR853" s="62">
        <f>IF(H852=0,0,AC853/H852)</f>
        <v/>
      </c>
      <c r="AS853" s="63">
        <f>AR853-AQ853</f>
        <v/>
      </c>
      <c r="AT853" s="61">
        <f>SUMIFS([1]инфо!$I$15:$I$28,[1]инфо!$A$15:$A$28,F853)</f>
        <v/>
      </c>
      <c r="AU853" s="62">
        <f>IF(H853=0,0,AD853/H853)</f>
        <v/>
      </c>
      <c r="AV853" s="63">
        <f>AU853-AT853</f>
        <v/>
      </c>
      <c r="AX853" s="59">
        <f>SUMIFS([1]инфо!$C$15:$C$28,[1]инфо!$A$15:$A$28,F853)*H852</f>
        <v/>
      </c>
    </row>
    <row r="854">
      <c r="A854" s="71">
        <f>A852+1</f>
        <v/>
      </c>
      <c r="B854" s="88" t="n"/>
      <c r="C854" s="77" t="n"/>
      <c r="D854" s="78" t="n"/>
      <c r="E854" s="91" t="n"/>
      <c r="F854" s="67" t="n"/>
      <c r="G854" s="79" t="n"/>
      <c r="H854" s="67" t="n"/>
      <c r="I854" s="55" t="n"/>
      <c r="J854" s="55" t="n"/>
      <c r="K854" s="55" t="n"/>
      <c r="L854" s="55" t="n"/>
      <c r="M854" s="55" t="n"/>
      <c r="N854" s="56" t="n"/>
      <c r="O854" s="79" t="n"/>
      <c r="P854" s="79" t="n"/>
      <c r="Q854" s="79" t="n"/>
      <c r="R854" s="79" t="n"/>
      <c r="S854" s="80">
        <f>SUM(O854:R854)</f>
        <v/>
      </c>
      <c r="T854" s="77" t="n"/>
      <c r="U854" s="78" t="n"/>
      <c r="V854" s="79" t="n"/>
      <c r="W854" s="68" t="n"/>
      <c r="X854" s="79" t="n"/>
      <c r="Y854" s="77" t="n"/>
      <c r="Z854" s="79" t="n"/>
      <c r="AA854" s="79" t="n"/>
      <c r="AB854" s="79" t="n"/>
      <c r="AC854" s="79" t="n"/>
      <c r="AD854" s="78" t="n"/>
      <c r="AE854" s="81">
        <f>SUMIFS([1]инфо!$D$15:$D$28,[1]инфо!$A$15:$A$28,F854)</f>
        <v/>
      </c>
      <c r="AF854" s="62">
        <f>IF(H854=0,0,N854/H854)</f>
        <v/>
      </c>
      <c r="AG854" s="82">
        <f>AF854-AE854</f>
        <v/>
      </c>
      <c r="AH854" s="81">
        <f>SUMIFS([1]инфо!$E$15:$E$28,[1]инфо!$A$15:$A$28,F854)</f>
        <v/>
      </c>
      <c r="AI854" s="64">
        <f>IF(H854=0,0,S854/H854)</f>
        <v/>
      </c>
      <c r="AJ854" s="82">
        <f>AI854-AH854</f>
        <v/>
      </c>
      <c r="AK854" s="81">
        <f>SUMIFS([1]инфо!$F$15:$F$28,[1]инфо!$A$15:$A$28,F854)</f>
        <v/>
      </c>
      <c r="AL854" s="64">
        <f>IF(H854=0,0,Y854/H854)</f>
        <v/>
      </c>
      <c r="AM854" s="82">
        <f>AL854-AK854</f>
        <v/>
      </c>
      <c r="AN854" s="81">
        <f>SUMIFS([1]инфо!$G$15:$G$28,[1]инфо!$A$15:$A$28,F854)</f>
        <v/>
      </c>
      <c r="AO854" s="64">
        <f>IF(H854=0,0,AA854/H854)</f>
        <v/>
      </c>
      <c r="AP854" s="82">
        <f>AO854-AN854</f>
        <v/>
      </c>
      <c r="AQ854" s="81">
        <f>SUMIFS([1]инфо!$H$15:$H$28,[1]инфо!$A$15:$A$28,F854)</f>
        <v/>
      </c>
      <c r="AR854" s="85">
        <f>IF(H853=0,0,AC854/H853)</f>
        <v/>
      </c>
      <c r="AS854" s="82">
        <f>AR854-AQ854</f>
        <v/>
      </c>
      <c r="AT854" s="81">
        <f>SUMIFS([1]инфо!$I$15:$I$28,[1]инфо!$A$15:$A$28,F854)</f>
        <v/>
      </c>
      <c r="AU854" s="62">
        <f>IF(H854=0,0,AD854/H854)</f>
        <v/>
      </c>
      <c r="AV854" s="82">
        <f>AU854-AT854</f>
        <v/>
      </c>
      <c r="AX854" s="80">
        <f>SUMIFS([1]инфо!$C$15:$C$28,[1]инфо!$A$15:$A$28,F854)*H853</f>
        <v/>
      </c>
    </row>
    <row r="855">
      <c r="A855" s="71">
        <f>A853+1</f>
        <v/>
      </c>
      <c r="B855" s="89" t="n"/>
      <c r="C855" s="72" t="n"/>
      <c r="D855" s="73" t="n"/>
      <c r="E855" s="91" t="n"/>
      <c r="F855" s="67" t="n"/>
      <c r="G855" s="74" t="n"/>
      <c r="H855" s="55" t="n"/>
      <c r="I855" s="55" t="n"/>
      <c r="J855" s="55" t="n"/>
      <c r="K855" s="55" t="n"/>
      <c r="L855" s="55" t="n"/>
      <c r="M855" s="55" t="n"/>
      <c r="N855" s="67" t="n"/>
      <c r="O855" s="74" t="n"/>
      <c r="P855" s="74" t="n"/>
      <c r="Q855" s="74" t="n"/>
      <c r="R855" s="74" t="n"/>
      <c r="S855" s="70">
        <f>SUM(O855:R855)</f>
        <v/>
      </c>
      <c r="T855" s="72" t="n"/>
      <c r="U855" s="73" t="n"/>
      <c r="V855" s="74" t="n"/>
      <c r="W855" s="68" t="n"/>
      <c r="X855" s="74" t="n"/>
      <c r="Y855" s="72" t="n"/>
      <c r="Z855" s="74" t="n"/>
      <c r="AA855" s="74" t="n"/>
      <c r="AB855" s="74" t="n"/>
      <c r="AC855" s="74" t="n"/>
      <c r="AD855" s="73" t="n"/>
      <c r="AE855" s="75">
        <f>SUMIFS([1]инфо!$D$15:$D$28,[1]инфо!$A$15:$A$28,F855)</f>
        <v/>
      </c>
      <c r="AF855" s="62">
        <f>IF(H855=0,0,N855/H855)</f>
        <v/>
      </c>
      <c r="AG855" s="76">
        <f>AF855-AE855</f>
        <v/>
      </c>
      <c r="AH855" s="75">
        <f>SUMIFS([1]инфо!$E$15:$E$28,[1]инфо!$A$15:$A$28,F855)</f>
        <v/>
      </c>
      <c r="AI855" s="64">
        <f>IF(H855=0,0,S855/H855)</f>
        <v/>
      </c>
      <c r="AJ855" s="76">
        <f>AI855-AH855</f>
        <v/>
      </c>
      <c r="AK855" s="75">
        <f>SUMIFS([1]инфо!$F$15:$F$28,[1]инфо!$A$15:$A$28,F855)</f>
        <v/>
      </c>
      <c r="AL855" s="64">
        <f>IF(H855=0,0,Y855/H855)</f>
        <v/>
      </c>
      <c r="AM855" s="76">
        <f>AL855-AK855</f>
        <v/>
      </c>
      <c r="AN855" s="75">
        <f>SUMIFS([1]инфо!$G$15:$G$28,[1]инфо!$A$15:$A$28,F855)</f>
        <v/>
      </c>
      <c r="AO855" s="64">
        <f>IF(H855=0,0,AA855/H855)</f>
        <v/>
      </c>
      <c r="AP855" s="76">
        <f>AO855-AN855</f>
        <v/>
      </c>
      <c r="AQ855" s="75">
        <f>SUMIFS([1]инфо!$H$15:$H$28,[1]инфо!$A$15:$A$28,F855)</f>
        <v/>
      </c>
      <c r="AR855" s="64">
        <f>IF(H854=0,0,AC855/H854)</f>
        <v/>
      </c>
      <c r="AS855" s="76">
        <f>AR855-AQ855</f>
        <v/>
      </c>
      <c r="AT855" s="75">
        <f>SUMIFS([1]инфо!$I$15:$I$28,[1]инфо!$A$15:$A$28,F855)</f>
        <v/>
      </c>
      <c r="AU855" s="62">
        <f>IF(H855=0,0,AD855/H855)</f>
        <v/>
      </c>
      <c r="AV855" s="76">
        <f>AU855-AT855</f>
        <v/>
      </c>
      <c r="AX855" s="70">
        <f>SUMIFS([1]инфо!$C$15:$C$28,[1]инфо!$A$15:$A$28,F855)*H854</f>
        <v/>
      </c>
    </row>
    <row r="856">
      <c r="A856" s="71">
        <f>A854+1</f>
        <v/>
      </c>
      <c r="B856" s="90" t="n"/>
      <c r="C856" s="52" t="n"/>
      <c r="D856" s="53" t="n"/>
      <c r="E856" s="91" t="n"/>
      <c r="F856" s="67" t="n"/>
      <c r="G856" s="58" t="n"/>
      <c r="H856" s="55" t="n"/>
      <c r="I856" s="55" t="n"/>
      <c r="J856" s="55" t="n"/>
      <c r="K856" s="55" t="n"/>
      <c r="L856" s="55" t="n"/>
      <c r="M856" s="55" t="n"/>
      <c r="N856" s="55" t="n"/>
      <c r="O856" s="58" t="n"/>
      <c r="P856" s="58" t="n"/>
      <c r="Q856" s="58" t="n"/>
      <c r="R856" s="58" t="n"/>
      <c r="S856" s="59">
        <f>SUM(O856:R856)</f>
        <v/>
      </c>
      <c r="T856" s="52" t="n"/>
      <c r="U856" s="53" t="n"/>
      <c r="V856" s="58" t="n"/>
      <c r="W856" s="68" t="n"/>
      <c r="X856" s="58" t="n"/>
      <c r="Y856" s="52" t="n"/>
      <c r="Z856" s="58" t="n"/>
      <c r="AA856" s="58" t="n"/>
      <c r="AB856" s="58" t="n"/>
      <c r="AC856" s="58" t="n"/>
      <c r="AD856" s="53" t="n"/>
      <c r="AE856" s="61">
        <f>SUMIFS([1]инфо!$D$15:$D$28,[1]инфо!$A$15:$A$28,F856)</f>
        <v/>
      </c>
      <c r="AF856" s="62">
        <f>IF(H856=0,0,N856/H856)</f>
        <v/>
      </c>
      <c r="AG856" s="63">
        <f>AF856-AE856</f>
        <v/>
      </c>
      <c r="AH856" s="61">
        <f>SUMIFS([1]инфо!$E$15:$E$28,[1]инфо!$A$15:$A$28,F856)</f>
        <v/>
      </c>
      <c r="AI856" s="64">
        <f>IF(H856=0,0,S856/H856)</f>
        <v/>
      </c>
      <c r="AJ856" s="63">
        <f>AI856-AH856</f>
        <v/>
      </c>
      <c r="AK856" s="61">
        <f>SUMIFS([1]инфо!$F$15:$F$28,[1]инфо!$A$15:$A$28,F856)</f>
        <v/>
      </c>
      <c r="AL856" s="64">
        <f>IF(H856=0,0,Y856/H856)</f>
        <v/>
      </c>
      <c r="AM856" s="63">
        <f>AL856-AK856</f>
        <v/>
      </c>
      <c r="AN856" s="61">
        <f>SUMIFS([1]инфо!$G$15:$G$28,[1]инфо!$A$15:$A$28,F856)</f>
        <v/>
      </c>
      <c r="AO856" s="64">
        <f>IF(H856=0,0,AA856/H856)</f>
        <v/>
      </c>
      <c r="AP856" s="63">
        <f>AO856-AN856</f>
        <v/>
      </c>
      <c r="AQ856" s="61">
        <f>SUMIFS([1]инфо!$H$15:$H$28,[1]инфо!$A$15:$A$28,F856)</f>
        <v/>
      </c>
      <c r="AR856" s="62">
        <f>IF(H855=0,0,AC856/H855)</f>
        <v/>
      </c>
      <c r="AS856" s="63">
        <f>AR856-AQ856</f>
        <v/>
      </c>
      <c r="AT856" s="61">
        <f>SUMIFS([1]инфо!$I$15:$I$28,[1]инфо!$A$15:$A$28,F856)</f>
        <v/>
      </c>
      <c r="AU856" s="62">
        <f>IF(H856=0,0,AD856/H856)</f>
        <v/>
      </c>
      <c r="AV856" s="63">
        <f>AU856-AT856</f>
        <v/>
      </c>
      <c r="AX856" s="59">
        <f>SUMIFS([1]инфо!$C$15:$C$28,[1]инфо!$A$15:$A$28,F856)*H855</f>
        <v/>
      </c>
    </row>
    <row r="857">
      <c r="A857" s="71">
        <f>A855+1</f>
        <v/>
      </c>
      <c r="B857" s="90" t="n"/>
      <c r="C857" s="52" t="n"/>
      <c r="D857" s="53" t="n"/>
      <c r="E857" s="91" t="n"/>
      <c r="F857" s="67" t="n"/>
      <c r="G857" s="58" t="n"/>
      <c r="H857" s="56" t="n"/>
      <c r="I857" s="55" t="n"/>
      <c r="J857" s="55" t="n"/>
      <c r="K857" s="55" t="n"/>
      <c r="L857" s="55" t="n"/>
      <c r="M857" s="55" t="n"/>
      <c r="N857" s="55" t="n"/>
      <c r="O857" s="58" t="n"/>
      <c r="P857" s="58" t="n"/>
      <c r="Q857" s="58" t="n"/>
      <c r="R857" s="58" t="n"/>
      <c r="S857" s="59">
        <f>SUM(O857:R857)</f>
        <v/>
      </c>
      <c r="T857" s="52" t="n"/>
      <c r="U857" s="53" t="n"/>
      <c r="V857" s="58" t="n"/>
      <c r="W857" s="68" t="n"/>
      <c r="X857" s="58" t="n"/>
      <c r="Y857" s="52" t="n"/>
      <c r="Z857" s="58" t="n"/>
      <c r="AA857" s="58" t="n"/>
      <c r="AB857" s="58" t="n"/>
      <c r="AC857" s="58" t="n"/>
      <c r="AD857" s="53" t="n"/>
      <c r="AE857" s="61">
        <f>SUMIFS([1]инфо!$D$15:$D$28,[1]инфо!$A$15:$A$28,F857)</f>
        <v/>
      </c>
      <c r="AF857" s="62">
        <f>IF(H857=0,0,N857/H857)</f>
        <v/>
      </c>
      <c r="AG857" s="63">
        <f>AF857-AE857</f>
        <v/>
      </c>
      <c r="AH857" s="61">
        <f>SUMIFS([1]инфо!$E$15:$E$28,[1]инфо!$A$15:$A$28,F857)</f>
        <v/>
      </c>
      <c r="AI857" s="64">
        <f>IF(H857=0,0,S857/H857)</f>
        <v/>
      </c>
      <c r="AJ857" s="63">
        <f>AI857-AH857</f>
        <v/>
      </c>
      <c r="AK857" s="61">
        <f>SUMIFS([1]инфо!$F$15:$F$28,[1]инфо!$A$15:$A$28,F857)</f>
        <v/>
      </c>
      <c r="AL857" s="64">
        <f>IF(H857=0,0,Y857/H857)</f>
        <v/>
      </c>
      <c r="AM857" s="63">
        <f>AL857-AK857</f>
        <v/>
      </c>
      <c r="AN857" s="61">
        <f>SUMIFS([1]инфо!$G$15:$G$28,[1]инфо!$A$15:$A$28,F857)</f>
        <v/>
      </c>
      <c r="AO857" s="64">
        <f>IF(H857=0,0,AA857/H857)</f>
        <v/>
      </c>
      <c r="AP857" s="63">
        <f>AO857-AN857</f>
        <v/>
      </c>
      <c r="AQ857" s="61">
        <f>SUMIFS([1]инфо!$H$15:$H$28,[1]инфо!$A$15:$A$28,F857)</f>
        <v/>
      </c>
      <c r="AR857" s="62">
        <f>IF(H856=0,0,AC857/H856)</f>
        <v/>
      </c>
      <c r="AS857" s="63">
        <f>AR857-AQ857</f>
        <v/>
      </c>
      <c r="AT857" s="61">
        <f>SUMIFS([1]инфо!$I$15:$I$28,[1]инфо!$A$15:$A$28,F857)</f>
        <v/>
      </c>
      <c r="AU857" s="62">
        <f>IF(H857=0,0,AD857/H857)</f>
        <v/>
      </c>
      <c r="AV857" s="63">
        <f>AU857-AT857</f>
        <v/>
      </c>
      <c r="AX857" s="59">
        <f>SUMIFS([1]инфо!$C$15:$C$28,[1]инфо!$A$15:$A$28,F857)*H856</f>
        <v/>
      </c>
    </row>
    <row r="858">
      <c r="A858" s="71">
        <f>A856+1</f>
        <v/>
      </c>
      <c r="B858" s="88" t="n"/>
      <c r="C858" s="77" t="n"/>
      <c r="D858" s="78" t="n"/>
      <c r="E858" s="91" t="n"/>
      <c r="F858" s="67" t="n"/>
      <c r="G858" s="79" t="n"/>
      <c r="H858" s="67" t="n"/>
      <c r="I858" s="55" t="n"/>
      <c r="J858" s="55" t="n"/>
      <c r="K858" s="55" t="n"/>
      <c r="L858" s="55" t="n"/>
      <c r="M858" s="55" t="n"/>
      <c r="N858" s="56" t="n"/>
      <c r="O858" s="79" t="n"/>
      <c r="P858" s="79" t="n"/>
      <c r="Q858" s="79" t="n"/>
      <c r="R858" s="79" t="n"/>
      <c r="S858" s="80">
        <f>SUM(O858:R858)</f>
        <v/>
      </c>
      <c r="T858" s="77" t="n"/>
      <c r="U858" s="78" t="n"/>
      <c r="V858" s="79" t="n"/>
      <c r="W858" s="68" t="n"/>
      <c r="X858" s="79" t="n"/>
      <c r="Y858" s="77" t="n"/>
      <c r="Z858" s="79" t="n"/>
      <c r="AA858" s="79" t="n"/>
      <c r="AB858" s="79" t="n"/>
      <c r="AC858" s="79" t="n"/>
      <c r="AD858" s="78" t="n"/>
      <c r="AE858" s="81">
        <f>SUMIFS([1]инфо!$D$15:$D$28,[1]инфо!$A$15:$A$28,F858)</f>
        <v/>
      </c>
      <c r="AF858" s="62">
        <f>IF(H858=0,0,N858/H858)</f>
        <v/>
      </c>
      <c r="AG858" s="82">
        <f>AF858-AE858</f>
        <v/>
      </c>
      <c r="AH858" s="81">
        <f>SUMIFS([1]инфо!$E$15:$E$28,[1]инфо!$A$15:$A$28,F858)</f>
        <v/>
      </c>
      <c r="AI858" s="64">
        <f>IF(H858=0,0,S858/H858)</f>
        <v/>
      </c>
      <c r="AJ858" s="82">
        <f>AI858-AH858</f>
        <v/>
      </c>
      <c r="AK858" s="81">
        <f>SUMIFS([1]инфо!$F$15:$F$28,[1]инфо!$A$15:$A$28,F858)</f>
        <v/>
      </c>
      <c r="AL858" s="64">
        <f>IF(H858=0,0,Y858/H858)</f>
        <v/>
      </c>
      <c r="AM858" s="82">
        <f>AL858-AK858</f>
        <v/>
      </c>
      <c r="AN858" s="81">
        <f>SUMIFS([1]инфо!$G$15:$G$28,[1]инфо!$A$15:$A$28,F858)</f>
        <v/>
      </c>
      <c r="AO858" s="64">
        <f>IF(H858=0,0,AA858/H858)</f>
        <v/>
      </c>
      <c r="AP858" s="82">
        <f>AO858-AN858</f>
        <v/>
      </c>
      <c r="AQ858" s="81">
        <f>SUMIFS([1]инфо!$H$15:$H$28,[1]инфо!$A$15:$A$28,F858)</f>
        <v/>
      </c>
      <c r="AR858" s="85">
        <f>IF(H857=0,0,AC858/H857)</f>
        <v/>
      </c>
      <c r="AS858" s="82">
        <f>AR858-AQ858</f>
        <v/>
      </c>
      <c r="AT858" s="81">
        <f>SUMIFS([1]инфо!$I$15:$I$28,[1]инфо!$A$15:$A$28,F858)</f>
        <v/>
      </c>
      <c r="AU858" s="62">
        <f>IF(H858=0,0,AD858/H858)</f>
        <v/>
      </c>
      <c r="AV858" s="82">
        <f>AU858-AT858</f>
        <v/>
      </c>
      <c r="AX858" s="80">
        <f>SUMIFS([1]инфо!$C$15:$C$28,[1]инфо!$A$15:$A$28,F858)*H857</f>
        <v/>
      </c>
    </row>
    <row r="859">
      <c r="A859" s="71">
        <f>A857+1</f>
        <v/>
      </c>
      <c r="B859" s="89" t="n"/>
      <c r="C859" s="72" t="n"/>
      <c r="D859" s="73" t="n"/>
      <c r="E859" s="91" t="n"/>
      <c r="F859" s="67" t="n"/>
      <c r="G859" s="74" t="n"/>
      <c r="H859" s="55" t="n"/>
      <c r="I859" s="55" t="n"/>
      <c r="J859" s="55" t="n"/>
      <c r="K859" s="55" t="n"/>
      <c r="L859" s="55" t="n"/>
      <c r="M859" s="55" t="n"/>
      <c r="N859" s="67" t="n"/>
      <c r="O859" s="74" t="n"/>
      <c r="P859" s="74" t="n"/>
      <c r="Q859" s="74" t="n"/>
      <c r="R859" s="74" t="n"/>
      <c r="S859" s="70">
        <f>SUM(O859:R859)</f>
        <v/>
      </c>
      <c r="T859" s="72" t="n"/>
      <c r="U859" s="73" t="n"/>
      <c r="V859" s="74" t="n"/>
      <c r="W859" s="68" t="n"/>
      <c r="X859" s="74" t="n"/>
      <c r="Y859" s="72" t="n"/>
      <c r="Z859" s="74" t="n"/>
      <c r="AA859" s="74" t="n"/>
      <c r="AB859" s="74" t="n"/>
      <c r="AC859" s="74" t="n"/>
      <c r="AD859" s="73" t="n"/>
      <c r="AE859" s="75">
        <f>SUMIFS([1]инфо!$D$15:$D$28,[1]инфо!$A$15:$A$28,F859)</f>
        <v/>
      </c>
      <c r="AF859" s="62">
        <f>IF(H859=0,0,N859/H859)</f>
        <v/>
      </c>
      <c r="AG859" s="76">
        <f>AF859-AE859</f>
        <v/>
      </c>
      <c r="AH859" s="75">
        <f>SUMIFS([1]инфо!$E$15:$E$28,[1]инфо!$A$15:$A$28,F859)</f>
        <v/>
      </c>
      <c r="AI859" s="64">
        <f>IF(H859=0,0,S859/H859)</f>
        <v/>
      </c>
      <c r="AJ859" s="76">
        <f>AI859-AH859</f>
        <v/>
      </c>
      <c r="AK859" s="75">
        <f>SUMIFS([1]инфо!$F$15:$F$28,[1]инфо!$A$15:$A$28,F859)</f>
        <v/>
      </c>
      <c r="AL859" s="64">
        <f>IF(H859=0,0,Y859/H859)</f>
        <v/>
      </c>
      <c r="AM859" s="76">
        <f>AL859-AK859</f>
        <v/>
      </c>
      <c r="AN859" s="75">
        <f>SUMIFS([1]инфо!$G$15:$G$28,[1]инфо!$A$15:$A$28,F859)</f>
        <v/>
      </c>
      <c r="AO859" s="64">
        <f>IF(H859=0,0,AA859/H859)</f>
        <v/>
      </c>
      <c r="AP859" s="76">
        <f>AO859-AN859</f>
        <v/>
      </c>
      <c r="AQ859" s="75">
        <f>SUMIFS([1]инфо!$H$15:$H$28,[1]инфо!$A$15:$A$28,F859)</f>
        <v/>
      </c>
      <c r="AR859" s="64">
        <f>IF(H858=0,0,AC859/H858)</f>
        <v/>
      </c>
      <c r="AS859" s="76">
        <f>AR859-AQ859</f>
        <v/>
      </c>
      <c r="AT859" s="75">
        <f>SUMIFS([1]инфо!$I$15:$I$28,[1]инфо!$A$15:$A$28,F859)</f>
        <v/>
      </c>
      <c r="AU859" s="62">
        <f>IF(H859=0,0,AD859/H859)</f>
        <v/>
      </c>
      <c r="AV859" s="76">
        <f>AU859-AT859</f>
        <v/>
      </c>
      <c r="AX859" s="70">
        <f>SUMIFS([1]инфо!$C$15:$C$28,[1]инфо!$A$15:$A$28,F859)*H858</f>
        <v/>
      </c>
    </row>
    <row r="860">
      <c r="A860" s="71">
        <f>A858+1</f>
        <v/>
      </c>
      <c r="B860" s="90" t="n"/>
      <c r="C860" s="52" t="n"/>
      <c r="D860" s="53" t="n"/>
      <c r="E860" s="91" t="n"/>
      <c r="F860" s="67" t="n"/>
      <c r="G860" s="58" t="n"/>
      <c r="H860" s="55" t="n"/>
      <c r="I860" s="55" t="n"/>
      <c r="J860" s="55" t="n"/>
      <c r="K860" s="55" t="n"/>
      <c r="L860" s="55" t="n"/>
      <c r="M860" s="55" t="n"/>
      <c r="N860" s="55" t="n"/>
      <c r="O860" s="58" t="n"/>
      <c r="P860" s="58" t="n"/>
      <c r="Q860" s="58" t="n"/>
      <c r="R860" s="58" t="n"/>
      <c r="S860" s="59">
        <f>SUM(O860:R860)</f>
        <v/>
      </c>
      <c r="T860" s="52" t="n"/>
      <c r="U860" s="53" t="n"/>
      <c r="V860" s="58" t="n"/>
      <c r="W860" s="58" t="n"/>
      <c r="X860" s="58" t="n"/>
      <c r="Y860" s="52" t="n"/>
      <c r="Z860" s="58" t="n"/>
      <c r="AA860" s="58" t="n"/>
      <c r="AB860" s="58" t="n"/>
      <c r="AC860" s="58" t="n"/>
      <c r="AD860" s="53" t="n"/>
      <c r="AE860" s="61">
        <f>SUMIFS([1]инфо!$D$15:$D$28,[1]инфо!$A$15:$A$28,F860)</f>
        <v/>
      </c>
      <c r="AF860" s="62">
        <f>IF(H860=0,0,N860/H860)</f>
        <v/>
      </c>
      <c r="AG860" s="63">
        <f>AF860-AE860</f>
        <v/>
      </c>
      <c r="AH860" s="61">
        <f>SUMIFS([1]инфо!$E$15:$E$28,[1]инфо!$A$15:$A$28,F860)</f>
        <v/>
      </c>
      <c r="AI860" s="64">
        <f>IF(H860=0,0,S860/H860)</f>
        <v/>
      </c>
      <c r="AJ860" s="63">
        <f>AI860-AH860</f>
        <v/>
      </c>
      <c r="AK860" s="61">
        <f>SUMIFS([1]инфо!$F$15:$F$28,[1]инфо!$A$15:$A$28,F860)</f>
        <v/>
      </c>
      <c r="AL860" s="64">
        <f>IF(H860=0,0,Y860/H860)</f>
        <v/>
      </c>
      <c r="AM860" s="63">
        <f>AL860-AK860</f>
        <v/>
      </c>
      <c r="AN860" s="61">
        <f>SUMIFS([1]инфо!$G$15:$G$28,[1]инфо!$A$15:$A$28,F860)</f>
        <v/>
      </c>
      <c r="AO860" s="64">
        <f>IF(H860=0,0,AA860/H860)</f>
        <v/>
      </c>
      <c r="AP860" s="63">
        <f>AO860-AN860</f>
        <v/>
      </c>
      <c r="AQ860" s="61">
        <f>SUMIFS([1]инфо!$H$15:$H$28,[1]инфо!$A$15:$A$28,F860)</f>
        <v/>
      </c>
      <c r="AR860" s="62">
        <f>IF(H859=0,0,AC860/H859)</f>
        <v/>
      </c>
      <c r="AS860" s="63">
        <f>AR860-AQ860</f>
        <v/>
      </c>
      <c r="AT860" s="61">
        <f>SUMIFS([1]инфо!$I$15:$I$28,[1]инфо!$A$15:$A$28,F860)</f>
        <v/>
      </c>
      <c r="AU860" s="62">
        <f>IF(H860=0,0,AD860/H860)</f>
        <v/>
      </c>
      <c r="AV860" s="63">
        <f>AU860-AT860</f>
        <v/>
      </c>
      <c r="AX860" s="59">
        <f>SUMIFS([1]инфо!$C$15:$C$28,[1]инфо!$A$15:$A$28,F860)*H859</f>
        <v/>
      </c>
    </row>
    <row r="861">
      <c r="A861" s="71">
        <f>A859+1</f>
        <v/>
      </c>
      <c r="B861" s="90" t="n"/>
      <c r="C861" s="52" t="n"/>
      <c r="D861" s="53" t="n"/>
      <c r="E861" s="91" t="n"/>
      <c r="F861" s="67" t="n"/>
      <c r="G861" s="58" t="n"/>
      <c r="H861" s="56" t="n"/>
      <c r="I861" s="55" t="n"/>
      <c r="J861" s="55" t="n"/>
      <c r="K861" s="55" t="n"/>
      <c r="L861" s="55" t="n"/>
      <c r="M861" s="55" t="n"/>
      <c r="N861" s="55" t="n"/>
      <c r="O861" s="58" t="n"/>
      <c r="P861" s="58" t="n"/>
      <c r="Q861" s="58" t="n"/>
      <c r="R861" s="58" t="n"/>
      <c r="S861" s="59">
        <f>SUM(O861:R861)</f>
        <v/>
      </c>
      <c r="T861" s="52" t="n"/>
      <c r="U861" s="53" t="n"/>
      <c r="V861" s="58" t="n"/>
      <c r="W861" s="58" t="n"/>
      <c r="X861" s="58" t="n"/>
      <c r="Y861" s="52" t="n"/>
      <c r="Z861" s="58" t="n"/>
      <c r="AA861" s="58" t="n"/>
      <c r="AB861" s="58" t="n"/>
      <c r="AC861" s="58" t="n"/>
      <c r="AD861" s="53" t="n"/>
      <c r="AE861" s="61">
        <f>SUMIFS([1]инфо!$D$15:$D$28,[1]инфо!$A$15:$A$28,F861)</f>
        <v/>
      </c>
      <c r="AF861" s="62">
        <f>IF(H861=0,0,N861/H861)</f>
        <v/>
      </c>
      <c r="AG861" s="63">
        <f>AF861-AE861</f>
        <v/>
      </c>
      <c r="AH861" s="61">
        <f>SUMIFS([1]инфо!$E$15:$E$28,[1]инфо!$A$15:$A$28,F861)</f>
        <v/>
      </c>
      <c r="AI861" s="64">
        <f>IF(H861=0,0,S861/H861)</f>
        <v/>
      </c>
      <c r="AJ861" s="63">
        <f>AI861-AH861</f>
        <v/>
      </c>
      <c r="AK861" s="61">
        <f>SUMIFS([1]инфо!$F$15:$F$28,[1]инфо!$A$15:$A$28,F861)</f>
        <v/>
      </c>
      <c r="AL861" s="64">
        <f>IF(H861=0,0,Y861/H861)</f>
        <v/>
      </c>
      <c r="AM861" s="63">
        <f>AL861-AK861</f>
        <v/>
      </c>
      <c r="AN861" s="61">
        <f>SUMIFS([1]инфо!$G$15:$G$28,[1]инфо!$A$15:$A$28,F861)</f>
        <v/>
      </c>
      <c r="AO861" s="64">
        <f>IF(H861=0,0,AA861/H861)</f>
        <v/>
      </c>
      <c r="AP861" s="63">
        <f>AO861-AN861</f>
        <v/>
      </c>
      <c r="AQ861" s="61">
        <f>SUMIFS([1]инфо!$H$15:$H$28,[1]инфо!$A$15:$A$28,F861)</f>
        <v/>
      </c>
      <c r="AR861" s="62">
        <f>IF(H860=0,0,AC861/H860)</f>
        <v/>
      </c>
      <c r="AS861" s="63">
        <f>AR861-AQ861</f>
        <v/>
      </c>
      <c r="AT861" s="61">
        <f>SUMIFS([1]инфо!$I$15:$I$28,[1]инфо!$A$15:$A$28,F861)</f>
        <v/>
      </c>
      <c r="AU861" s="62">
        <f>IF(H861=0,0,AD861/H861)</f>
        <v/>
      </c>
      <c r="AV861" s="63">
        <f>AU861-AT861</f>
        <v/>
      </c>
      <c r="AX861" s="59">
        <f>SUMIFS([1]инфо!$C$15:$C$28,[1]инфо!$A$15:$A$28,F861)*H860</f>
        <v/>
      </c>
    </row>
    <row r="862">
      <c r="A862" s="71">
        <f>A860+1</f>
        <v/>
      </c>
      <c r="B862" s="88" t="n"/>
      <c r="C862" s="77" t="n"/>
      <c r="D862" s="78" t="n"/>
      <c r="E862" s="91" t="n"/>
      <c r="F862" s="67" t="n"/>
      <c r="G862" s="79" t="n"/>
      <c r="H862" s="67" t="n"/>
      <c r="I862" s="55" t="n"/>
      <c r="J862" s="55" t="n"/>
      <c r="K862" s="55" t="n"/>
      <c r="L862" s="55" t="n"/>
      <c r="M862" s="55" t="n"/>
      <c r="N862" s="56" t="n"/>
      <c r="O862" s="79" t="n"/>
      <c r="P862" s="79" t="n"/>
      <c r="Q862" s="79" t="n"/>
      <c r="R862" s="79" t="n"/>
      <c r="S862" s="80">
        <f>SUM(O862:R862)</f>
        <v/>
      </c>
      <c r="T862" s="77" t="n"/>
      <c r="U862" s="78" t="n"/>
      <c r="V862" s="79" t="n"/>
      <c r="W862" s="79" t="n"/>
      <c r="X862" s="79" t="n"/>
      <c r="Y862" s="77" t="n"/>
      <c r="Z862" s="79" t="n"/>
      <c r="AA862" s="79" t="n"/>
      <c r="AB862" s="79" t="n"/>
      <c r="AC862" s="79" t="n"/>
      <c r="AD862" s="78" t="n"/>
      <c r="AE862" s="81">
        <f>SUMIFS([1]инфо!$D$15:$D$28,[1]инфо!$A$15:$A$28,F862)</f>
        <v/>
      </c>
      <c r="AF862" s="62">
        <f>IF(H862=0,0,N862/H862)</f>
        <v/>
      </c>
      <c r="AG862" s="82">
        <f>AF862-AE862</f>
        <v/>
      </c>
      <c r="AH862" s="81">
        <f>SUMIFS([1]инфо!$E$15:$E$28,[1]инфо!$A$15:$A$28,F862)</f>
        <v/>
      </c>
      <c r="AI862" s="64">
        <f>IF(H862=0,0,S862/H862)</f>
        <v/>
      </c>
      <c r="AJ862" s="82">
        <f>AI862-AH862</f>
        <v/>
      </c>
      <c r="AK862" s="81">
        <f>SUMIFS([1]инфо!$F$15:$F$28,[1]инфо!$A$15:$A$28,F862)</f>
        <v/>
      </c>
      <c r="AL862" s="64">
        <f>IF(H862=0,0,Y862/H862)</f>
        <v/>
      </c>
      <c r="AM862" s="82">
        <f>AL862-AK862</f>
        <v/>
      </c>
      <c r="AN862" s="81">
        <f>SUMIFS([1]инфо!$G$15:$G$28,[1]инфо!$A$15:$A$28,F862)</f>
        <v/>
      </c>
      <c r="AO862" s="64">
        <f>IF(H862=0,0,AA862/H862)</f>
        <v/>
      </c>
      <c r="AP862" s="82">
        <f>AO862-AN862</f>
        <v/>
      </c>
      <c r="AQ862" s="81">
        <f>SUMIFS([1]инфо!$H$15:$H$28,[1]инфо!$A$15:$A$28,F862)</f>
        <v/>
      </c>
      <c r="AR862" s="85">
        <f>IF(H861=0,0,AC862/H861)</f>
        <v/>
      </c>
      <c r="AS862" s="82">
        <f>AR862-AQ862</f>
        <v/>
      </c>
      <c r="AT862" s="81">
        <f>SUMIFS([1]инфо!$I$15:$I$28,[1]инфо!$A$15:$A$28,F862)</f>
        <v/>
      </c>
      <c r="AU862" s="62">
        <f>IF(H862=0,0,AD862/H862)</f>
        <v/>
      </c>
      <c r="AV862" s="82">
        <f>AU862-AT862</f>
        <v/>
      </c>
      <c r="AX862" s="80">
        <f>SUMIFS([1]инфо!$C$15:$C$28,[1]инфо!$A$15:$A$28,F862)*H861</f>
        <v/>
      </c>
    </row>
    <row r="863">
      <c r="A863" s="71">
        <f>A861+1</f>
        <v/>
      </c>
      <c r="B863" s="89" t="n"/>
      <c r="C863" s="72" t="n"/>
      <c r="D863" s="73" t="n"/>
      <c r="E863" s="91" t="n"/>
      <c r="F863" s="67" t="n"/>
      <c r="G863" s="74" t="n"/>
      <c r="H863" s="55" t="n"/>
      <c r="I863" s="55" t="n"/>
      <c r="J863" s="55" t="n"/>
      <c r="K863" s="55" t="n"/>
      <c r="L863" s="55" t="n"/>
      <c r="M863" s="55" t="n"/>
      <c r="N863" s="67" t="n"/>
      <c r="O863" s="74" t="n"/>
      <c r="P863" s="74" t="n"/>
      <c r="Q863" s="74" t="n"/>
      <c r="R863" s="74" t="n"/>
      <c r="S863" s="70">
        <f>SUM(O863:R863)</f>
        <v/>
      </c>
      <c r="T863" s="72" t="n"/>
      <c r="U863" s="73" t="n"/>
      <c r="V863" s="74" t="n"/>
      <c r="W863" s="74" t="n"/>
      <c r="X863" s="74" t="n"/>
      <c r="Y863" s="72" t="n"/>
      <c r="Z863" s="74" t="n"/>
      <c r="AA863" s="74" t="n"/>
      <c r="AB863" s="74" t="n"/>
      <c r="AC863" s="74" t="n"/>
      <c r="AD863" s="73" t="n"/>
      <c r="AE863" s="75">
        <f>SUMIFS([1]инфо!$D$15:$D$28,[1]инфо!$A$15:$A$28,F863)</f>
        <v/>
      </c>
      <c r="AF863" s="62">
        <f>IF(H863=0,0,N863/H863)</f>
        <v/>
      </c>
      <c r="AG863" s="76">
        <f>AF863-AE863</f>
        <v/>
      </c>
      <c r="AH863" s="75">
        <f>SUMIFS([1]инфо!$E$15:$E$28,[1]инфо!$A$15:$A$28,F863)</f>
        <v/>
      </c>
      <c r="AI863" s="64">
        <f>IF(H863=0,0,S863/H863)</f>
        <v/>
      </c>
      <c r="AJ863" s="76">
        <f>AI863-AH863</f>
        <v/>
      </c>
      <c r="AK863" s="75">
        <f>SUMIFS([1]инфо!$F$15:$F$28,[1]инфо!$A$15:$A$28,F863)</f>
        <v/>
      </c>
      <c r="AL863" s="64">
        <f>IF(H863=0,0,Y863/H863)</f>
        <v/>
      </c>
      <c r="AM863" s="76">
        <f>AL863-AK863</f>
        <v/>
      </c>
      <c r="AN863" s="75">
        <f>SUMIFS([1]инфо!$G$15:$G$28,[1]инфо!$A$15:$A$28,F863)</f>
        <v/>
      </c>
      <c r="AO863" s="64">
        <f>IF(H863=0,0,AA863/H863)</f>
        <v/>
      </c>
      <c r="AP863" s="76">
        <f>AO863-AN863</f>
        <v/>
      </c>
      <c r="AQ863" s="75">
        <f>SUMIFS([1]инфо!$H$15:$H$28,[1]инфо!$A$15:$A$28,F863)</f>
        <v/>
      </c>
      <c r="AR863" s="64">
        <f>IF(H862=0,0,AC863/H862)</f>
        <v/>
      </c>
      <c r="AS863" s="76">
        <f>AR863-AQ863</f>
        <v/>
      </c>
      <c r="AT863" s="75">
        <f>SUMIFS([1]инфо!$I$15:$I$28,[1]инфо!$A$15:$A$28,F863)</f>
        <v/>
      </c>
      <c r="AU863" s="62">
        <f>IF(H863=0,0,AD863/H863)</f>
        <v/>
      </c>
      <c r="AV863" s="76">
        <f>AU863-AT863</f>
        <v/>
      </c>
      <c r="AX863" s="70">
        <f>SUMIFS([1]инфо!$C$15:$C$28,[1]инфо!$A$15:$A$28,F863)*H862</f>
        <v/>
      </c>
    </row>
    <row r="864">
      <c r="A864" s="71">
        <f>A862+1</f>
        <v/>
      </c>
      <c r="B864" s="90" t="n"/>
      <c r="C864" s="52" t="n"/>
      <c r="D864" s="53" t="n"/>
      <c r="E864" s="91" t="n"/>
      <c r="F864" s="67" t="n"/>
      <c r="G864" s="58" t="n"/>
      <c r="H864" s="55" t="n"/>
      <c r="I864" s="55" t="n"/>
      <c r="J864" s="55" t="n"/>
      <c r="K864" s="55" t="n"/>
      <c r="L864" s="55" t="n"/>
      <c r="M864" s="55" t="n"/>
      <c r="N864" s="55" t="n"/>
      <c r="O864" s="58" t="n"/>
      <c r="P864" s="58" t="n"/>
      <c r="Q864" s="58" t="n"/>
      <c r="R864" s="58" t="n"/>
      <c r="S864" s="59">
        <f>SUM(O864:R864)</f>
        <v/>
      </c>
      <c r="T864" s="52" t="n"/>
      <c r="U864" s="53" t="n"/>
      <c r="V864" s="58" t="n"/>
      <c r="W864" s="58" t="n"/>
      <c r="X864" s="58" t="n"/>
      <c r="Y864" s="52" t="n"/>
      <c r="Z864" s="58" t="n"/>
      <c r="AA864" s="58" t="n"/>
      <c r="AB864" s="58" t="n"/>
      <c r="AC864" s="58" t="n"/>
      <c r="AD864" s="53" t="n"/>
      <c r="AE864" s="61">
        <f>SUMIFS([1]инфо!$D$15:$D$28,[1]инфо!$A$15:$A$28,F864)</f>
        <v/>
      </c>
      <c r="AF864" s="62">
        <f>IF(H864=0,0,N864/H864)</f>
        <v/>
      </c>
      <c r="AG864" s="63">
        <f>AF864-AE864</f>
        <v/>
      </c>
      <c r="AH864" s="61">
        <f>SUMIFS([1]инфо!$E$15:$E$28,[1]инфо!$A$15:$A$28,F864)</f>
        <v/>
      </c>
      <c r="AI864" s="64">
        <f>IF(H864=0,0,S864/H864)</f>
        <v/>
      </c>
      <c r="AJ864" s="63">
        <f>AI864-AH864</f>
        <v/>
      </c>
      <c r="AK864" s="61">
        <f>SUMIFS([1]инфо!$F$15:$F$28,[1]инфо!$A$15:$A$28,F864)</f>
        <v/>
      </c>
      <c r="AL864" s="64">
        <f>IF(H864=0,0,Y864/H864)</f>
        <v/>
      </c>
      <c r="AM864" s="63">
        <f>AL864-AK864</f>
        <v/>
      </c>
      <c r="AN864" s="61">
        <f>SUMIFS([1]инфо!$G$15:$G$28,[1]инфо!$A$15:$A$28,F864)</f>
        <v/>
      </c>
      <c r="AO864" s="64">
        <f>IF(H864=0,0,AA864/H864)</f>
        <v/>
      </c>
      <c r="AP864" s="63">
        <f>AO864-AN864</f>
        <v/>
      </c>
      <c r="AQ864" s="61">
        <f>SUMIFS([1]инфо!$H$15:$H$28,[1]инфо!$A$15:$A$28,F864)</f>
        <v/>
      </c>
      <c r="AR864" s="62">
        <f>IF(H863=0,0,AC864/H863)</f>
        <v/>
      </c>
      <c r="AS864" s="63">
        <f>AR864-AQ864</f>
        <v/>
      </c>
      <c r="AT864" s="61">
        <f>SUMIFS([1]инфо!$I$15:$I$28,[1]инфо!$A$15:$A$28,F864)</f>
        <v/>
      </c>
      <c r="AU864" s="62">
        <f>IF(H864=0,0,AD864/H864)</f>
        <v/>
      </c>
      <c r="AV864" s="63">
        <f>AU864-AT864</f>
        <v/>
      </c>
      <c r="AX864" s="59">
        <f>SUMIFS([1]инфо!$C$15:$C$28,[1]инфо!$A$15:$A$28,F864)*H863</f>
        <v/>
      </c>
    </row>
    <row r="865">
      <c r="A865" s="71">
        <f>A863+1</f>
        <v/>
      </c>
      <c r="B865" s="90" t="n"/>
      <c r="C865" s="52" t="n"/>
      <c r="D865" s="53" t="n"/>
      <c r="E865" s="91" t="n"/>
      <c r="F865" s="67" t="n"/>
      <c r="G865" s="58" t="n"/>
      <c r="H865" s="56" t="n"/>
      <c r="I865" s="55" t="n"/>
      <c r="J865" s="55" t="n"/>
      <c r="K865" s="55" t="n"/>
      <c r="L865" s="55" t="n"/>
      <c r="M865" s="55" t="n"/>
      <c r="N865" s="55" t="n"/>
      <c r="O865" s="58" t="n"/>
      <c r="P865" s="58" t="n"/>
      <c r="Q865" s="58" t="n"/>
      <c r="R865" s="58" t="n"/>
      <c r="S865" s="59">
        <f>SUM(O865:R865)</f>
        <v/>
      </c>
      <c r="T865" s="52" t="n"/>
      <c r="U865" s="53" t="n"/>
      <c r="V865" s="58" t="n"/>
      <c r="W865" s="58" t="n"/>
      <c r="X865" s="58" t="n"/>
      <c r="Y865" s="52" t="n"/>
      <c r="Z865" s="58" t="n"/>
      <c r="AA865" s="58" t="n"/>
      <c r="AB865" s="58" t="n"/>
      <c r="AC865" s="58" t="n"/>
      <c r="AD865" s="53" t="n"/>
      <c r="AE865" s="61">
        <f>SUMIFS([1]инфо!$D$15:$D$28,[1]инфо!$A$15:$A$28,F865)</f>
        <v/>
      </c>
      <c r="AF865" s="62">
        <f>IF(H865=0,0,N865/H865)</f>
        <v/>
      </c>
      <c r="AG865" s="63">
        <f>AF865-AE865</f>
        <v/>
      </c>
      <c r="AH865" s="61">
        <f>SUMIFS([1]инфо!$E$15:$E$28,[1]инфо!$A$15:$A$28,F865)</f>
        <v/>
      </c>
      <c r="AI865" s="64">
        <f>IF(H865=0,0,S865/H865)</f>
        <v/>
      </c>
      <c r="AJ865" s="63">
        <f>AI865-AH865</f>
        <v/>
      </c>
      <c r="AK865" s="61">
        <f>SUMIFS([1]инфо!$F$15:$F$28,[1]инфо!$A$15:$A$28,F865)</f>
        <v/>
      </c>
      <c r="AL865" s="64">
        <f>IF(H865=0,0,Y865/H865)</f>
        <v/>
      </c>
      <c r="AM865" s="63">
        <f>AL865-AK865</f>
        <v/>
      </c>
      <c r="AN865" s="61">
        <f>SUMIFS([1]инфо!$G$15:$G$28,[1]инфо!$A$15:$A$28,F865)</f>
        <v/>
      </c>
      <c r="AO865" s="64">
        <f>IF(H865=0,0,AA865/H865)</f>
        <v/>
      </c>
      <c r="AP865" s="63">
        <f>AO865-AN865</f>
        <v/>
      </c>
      <c r="AQ865" s="61">
        <f>SUMIFS([1]инфо!$H$15:$H$28,[1]инфо!$A$15:$A$28,F865)</f>
        <v/>
      </c>
      <c r="AR865" s="62">
        <f>IF(H864=0,0,AC865/H864)</f>
        <v/>
      </c>
      <c r="AS865" s="63">
        <f>AR865-AQ865</f>
        <v/>
      </c>
      <c r="AT865" s="61">
        <f>SUMIFS([1]инфо!$I$15:$I$28,[1]инфо!$A$15:$A$28,F865)</f>
        <v/>
      </c>
      <c r="AU865" s="62">
        <f>IF(H865=0,0,AD865/H865)</f>
        <v/>
      </c>
      <c r="AV865" s="63">
        <f>AU865-AT865</f>
        <v/>
      </c>
      <c r="AX865" s="59">
        <f>SUMIFS([1]инфо!$C$15:$C$28,[1]инфо!$A$15:$A$28,F865)*H864</f>
        <v/>
      </c>
    </row>
    <row r="866">
      <c r="A866" s="71">
        <f>A864+1</f>
        <v/>
      </c>
      <c r="B866" s="88" t="n"/>
      <c r="C866" s="77" t="n"/>
      <c r="D866" s="78" t="n"/>
      <c r="E866" s="91" t="n"/>
      <c r="F866" s="67" t="n"/>
      <c r="G866" s="79" t="n"/>
      <c r="H866" s="67" t="n"/>
      <c r="I866" s="55" t="n"/>
      <c r="J866" s="55" t="n"/>
      <c r="K866" s="55" t="n"/>
      <c r="L866" s="55" t="n"/>
      <c r="M866" s="55" t="n"/>
      <c r="N866" s="56" t="n"/>
      <c r="O866" s="79" t="n"/>
      <c r="P866" s="79" t="n"/>
      <c r="Q866" s="79" t="n"/>
      <c r="R866" s="79" t="n"/>
      <c r="S866" s="80">
        <f>SUM(O866:R866)</f>
        <v/>
      </c>
      <c r="T866" s="77" t="n"/>
      <c r="U866" s="78" t="n"/>
      <c r="V866" s="79" t="n"/>
      <c r="W866" s="79" t="n"/>
      <c r="X866" s="79" t="n"/>
      <c r="Y866" s="77" t="n"/>
      <c r="Z866" s="79" t="n"/>
      <c r="AA866" s="79" t="n"/>
      <c r="AB866" s="79" t="n"/>
      <c r="AC866" s="79" t="n"/>
      <c r="AD866" s="78" t="n"/>
      <c r="AE866" s="81">
        <f>SUMIFS([1]инфо!$D$15:$D$28,[1]инфо!$A$15:$A$28,F866)</f>
        <v/>
      </c>
      <c r="AF866" s="62">
        <f>IF(H866=0,0,N866/H866)</f>
        <v/>
      </c>
      <c r="AG866" s="82">
        <f>AF866-AE866</f>
        <v/>
      </c>
      <c r="AH866" s="81">
        <f>SUMIFS([1]инфо!$E$15:$E$28,[1]инфо!$A$15:$A$28,F866)</f>
        <v/>
      </c>
      <c r="AI866" s="64">
        <f>IF(H866=0,0,S866/H866)</f>
        <v/>
      </c>
      <c r="AJ866" s="82">
        <f>AI866-AH866</f>
        <v/>
      </c>
      <c r="AK866" s="81">
        <f>SUMIFS([1]инфо!$F$15:$F$28,[1]инфо!$A$15:$A$28,F866)</f>
        <v/>
      </c>
      <c r="AL866" s="64">
        <f>IF(H866=0,0,Y866/H866)</f>
        <v/>
      </c>
      <c r="AM866" s="82">
        <f>AL866-AK866</f>
        <v/>
      </c>
      <c r="AN866" s="81">
        <f>SUMIFS([1]инфо!$G$15:$G$28,[1]инфо!$A$15:$A$28,F866)</f>
        <v/>
      </c>
      <c r="AO866" s="64">
        <f>IF(H866=0,0,AA866/H866)</f>
        <v/>
      </c>
      <c r="AP866" s="82">
        <f>AO866-AN866</f>
        <v/>
      </c>
      <c r="AQ866" s="81">
        <f>SUMIFS([1]инфо!$H$15:$H$28,[1]инфо!$A$15:$A$28,F866)</f>
        <v/>
      </c>
      <c r="AR866" s="85">
        <f>IF(H865=0,0,AC866/H865)</f>
        <v/>
      </c>
      <c r="AS866" s="82">
        <f>AR866-AQ866</f>
        <v/>
      </c>
      <c r="AT866" s="81">
        <f>SUMIFS([1]инфо!$I$15:$I$28,[1]инфо!$A$15:$A$28,F866)</f>
        <v/>
      </c>
      <c r="AU866" s="62">
        <f>IF(H866=0,0,AD866/H866)</f>
        <v/>
      </c>
      <c r="AV866" s="82">
        <f>AU866-AT866</f>
        <v/>
      </c>
      <c r="AX866" s="80">
        <f>SUMIFS([1]инфо!$C$15:$C$28,[1]инфо!$A$15:$A$28,F866)*H865</f>
        <v/>
      </c>
    </row>
    <row r="867">
      <c r="A867" s="71">
        <f>A865+1</f>
        <v/>
      </c>
      <c r="B867" s="89" t="n"/>
      <c r="C867" s="72" t="n"/>
      <c r="D867" s="73" t="n"/>
      <c r="E867" s="91" t="n"/>
      <c r="F867" s="67" t="n"/>
      <c r="G867" s="74" t="n"/>
      <c r="H867" s="55" t="n"/>
      <c r="I867" s="55" t="n"/>
      <c r="J867" s="55" t="n"/>
      <c r="K867" s="55" t="n"/>
      <c r="L867" s="55" t="n"/>
      <c r="M867" s="55" t="n"/>
      <c r="N867" s="67" t="n"/>
      <c r="O867" s="74" t="n"/>
      <c r="P867" s="74" t="n"/>
      <c r="Q867" s="74" t="n"/>
      <c r="R867" s="74" t="n"/>
      <c r="S867" s="70">
        <f>SUM(O867:R867)</f>
        <v/>
      </c>
      <c r="T867" s="72" t="n"/>
      <c r="U867" s="73" t="n"/>
      <c r="V867" s="74" t="n"/>
      <c r="W867" s="74" t="n"/>
      <c r="X867" s="74" t="n"/>
      <c r="Y867" s="72" t="n"/>
      <c r="Z867" s="74" t="n"/>
      <c r="AA867" s="74" t="n"/>
      <c r="AB867" s="74" t="n"/>
      <c r="AC867" s="74" t="n"/>
      <c r="AD867" s="73" t="n"/>
      <c r="AE867" s="75">
        <f>SUMIFS([1]инфо!$D$15:$D$28,[1]инфо!$A$15:$A$28,F867)</f>
        <v/>
      </c>
      <c r="AF867" s="62">
        <f>IF(H867=0,0,N867/H867)</f>
        <v/>
      </c>
      <c r="AG867" s="76">
        <f>AF867-AE867</f>
        <v/>
      </c>
      <c r="AH867" s="75">
        <f>SUMIFS([1]инфо!$E$15:$E$28,[1]инфо!$A$15:$A$28,F867)</f>
        <v/>
      </c>
      <c r="AI867" s="64">
        <f>IF(H867=0,0,S867/H867)</f>
        <v/>
      </c>
      <c r="AJ867" s="76">
        <f>AI867-AH867</f>
        <v/>
      </c>
      <c r="AK867" s="75">
        <f>SUMIFS([1]инфо!$F$15:$F$28,[1]инфо!$A$15:$A$28,F867)</f>
        <v/>
      </c>
      <c r="AL867" s="64">
        <f>IF(H867=0,0,Y867/H867)</f>
        <v/>
      </c>
      <c r="AM867" s="76">
        <f>AL867-AK867</f>
        <v/>
      </c>
      <c r="AN867" s="75">
        <f>SUMIFS([1]инфо!$G$15:$G$28,[1]инфо!$A$15:$A$28,F867)</f>
        <v/>
      </c>
      <c r="AO867" s="64">
        <f>IF(H867=0,0,AA867/H867)</f>
        <v/>
      </c>
      <c r="AP867" s="76">
        <f>AO867-AN867</f>
        <v/>
      </c>
      <c r="AQ867" s="75">
        <f>SUMIFS([1]инфо!$H$15:$H$28,[1]инфо!$A$15:$A$28,F867)</f>
        <v/>
      </c>
      <c r="AR867" s="64">
        <f>IF(H866=0,0,AC867/H866)</f>
        <v/>
      </c>
      <c r="AS867" s="76">
        <f>AR867-AQ867</f>
        <v/>
      </c>
      <c r="AT867" s="75">
        <f>SUMIFS([1]инфо!$I$15:$I$28,[1]инфо!$A$15:$A$28,F867)</f>
        <v/>
      </c>
      <c r="AU867" s="62">
        <f>IF(H867=0,0,AD867/H867)</f>
        <v/>
      </c>
      <c r="AV867" s="76">
        <f>AU867-AT867</f>
        <v/>
      </c>
      <c r="AX867" s="70">
        <f>SUMIFS([1]инфо!$C$15:$C$28,[1]инфо!$A$15:$A$28,F867)*H866</f>
        <v/>
      </c>
    </row>
    <row r="868">
      <c r="A868" s="71">
        <f>A866+1</f>
        <v/>
      </c>
      <c r="B868" s="90" t="n"/>
      <c r="C868" s="52" t="n"/>
      <c r="D868" s="53" t="n"/>
      <c r="E868" s="91" t="n"/>
      <c r="F868" s="67" t="n"/>
      <c r="G868" s="58" t="n"/>
      <c r="H868" s="55" t="n"/>
      <c r="I868" s="55" t="n"/>
      <c r="J868" s="55" t="n"/>
      <c r="K868" s="55" t="n"/>
      <c r="L868" s="55" t="n"/>
      <c r="M868" s="55" t="n"/>
      <c r="N868" s="55" t="n"/>
      <c r="O868" s="58" t="n"/>
      <c r="P868" s="58" t="n"/>
      <c r="Q868" s="58" t="n"/>
      <c r="R868" s="58" t="n"/>
      <c r="S868" s="59">
        <f>SUM(O868:R868)</f>
        <v/>
      </c>
      <c r="T868" s="52" t="n"/>
      <c r="U868" s="53" t="n"/>
      <c r="V868" s="58" t="n"/>
      <c r="W868" s="58" t="n"/>
      <c r="X868" s="58" t="n"/>
      <c r="Y868" s="52" t="n"/>
      <c r="Z868" s="58" t="n"/>
      <c r="AA868" s="58" t="n"/>
      <c r="AB868" s="58" t="n"/>
      <c r="AC868" s="58" t="n"/>
      <c r="AD868" s="53" t="n"/>
      <c r="AE868" s="61">
        <f>SUMIFS([1]инфо!$D$15:$D$28,[1]инфо!$A$15:$A$28,F868)</f>
        <v/>
      </c>
      <c r="AF868" s="62">
        <f>IF(H868=0,0,N868/H868)</f>
        <v/>
      </c>
      <c r="AG868" s="63">
        <f>AF868-AE868</f>
        <v/>
      </c>
      <c r="AH868" s="61">
        <f>SUMIFS([1]инфо!$E$15:$E$28,[1]инфо!$A$15:$A$28,F868)</f>
        <v/>
      </c>
      <c r="AI868" s="64">
        <f>IF(H868=0,0,S868/H868)</f>
        <v/>
      </c>
      <c r="AJ868" s="63">
        <f>AI868-AH868</f>
        <v/>
      </c>
      <c r="AK868" s="61">
        <f>SUMIFS([1]инфо!$F$15:$F$28,[1]инфо!$A$15:$A$28,F868)</f>
        <v/>
      </c>
      <c r="AL868" s="64">
        <f>IF(H868=0,0,Y868/H868)</f>
        <v/>
      </c>
      <c r="AM868" s="63">
        <f>AL868-AK868</f>
        <v/>
      </c>
      <c r="AN868" s="61">
        <f>SUMIFS([1]инфо!$G$15:$G$28,[1]инфо!$A$15:$A$28,F868)</f>
        <v/>
      </c>
      <c r="AO868" s="64">
        <f>IF(H868=0,0,AA868/H868)</f>
        <v/>
      </c>
      <c r="AP868" s="63">
        <f>AO868-AN868</f>
        <v/>
      </c>
      <c r="AQ868" s="61">
        <f>SUMIFS([1]инфо!$H$15:$H$28,[1]инфо!$A$15:$A$28,F868)</f>
        <v/>
      </c>
      <c r="AR868" s="62">
        <f>IF(H867=0,0,AC868/H867)</f>
        <v/>
      </c>
      <c r="AS868" s="63">
        <f>AR868-AQ868</f>
        <v/>
      </c>
      <c r="AT868" s="61">
        <f>SUMIFS([1]инфо!$I$15:$I$28,[1]инфо!$A$15:$A$28,F868)</f>
        <v/>
      </c>
      <c r="AU868" s="62">
        <f>IF(H868=0,0,AD868/H868)</f>
        <v/>
      </c>
      <c r="AV868" s="63">
        <f>AU868-AT868</f>
        <v/>
      </c>
      <c r="AX868" s="59">
        <f>SUMIFS([1]инфо!$C$15:$C$28,[1]инфо!$A$15:$A$28,F868)*H867</f>
        <v/>
      </c>
    </row>
    <row r="869">
      <c r="A869" s="71">
        <f>A867+1</f>
        <v/>
      </c>
      <c r="B869" s="90" t="n"/>
      <c r="C869" s="52" t="n"/>
      <c r="D869" s="53" t="n"/>
      <c r="E869" s="91" t="n"/>
      <c r="F869" s="67" t="n"/>
      <c r="G869" s="58" t="n"/>
      <c r="H869" s="56" t="n"/>
      <c r="I869" s="55" t="n"/>
      <c r="J869" s="55" t="n"/>
      <c r="K869" s="55" t="n"/>
      <c r="L869" s="55" t="n"/>
      <c r="M869" s="55" t="n"/>
      <c r="N869" s="55" t="n"/>
      <c r="O869" s="58" t="n"/>
      <c r="P869" s="58" t="n"/>
      <c r="Q869" s="58" t="n"/>
      <c r="R869" s="58" t="n"/>
      <c r="S869" s="59">
        <f>SUM(O869:R869)</f>
        <v/>
      </c>
      <c r="T869" s="52" t="n"/>
      <c r="U869" s="53" t="n"/>
      <c r="V869" s="58" t="n"/>
      <c r="W869" s="58" t="n"/>
      <c r="X869" s="58" t="n"/>
      <c r="Y869" s="52" t="n"/>
      <c r="Z869" s="58" t="n"/>
      <c r="AA869" s="58" t="n"/>
      <c r="AB869" s="58" t="n"/>
      <c r="AC869" s="58" t="n"/>
      <c r="AD869" s="53" t="n"/>
      <c r="AE869" s="61">
        <f>SUMIFS([1]инфо!$D$15:$D$28,[1]инфо!$A$15:$A$28,F869)</f>
        <v/>
      </c>
      <c r="AF869" s="62">
        <f>IF(H869=0,0,N869/H869)</f>
        <v/>
      </c>
      <c r="AG869" s="63">
        <f>AF869-AE869</f>
        <v/>
      </c>
      <c r="AH869" s="61">
        <f>SUMIFS([1]инфо!$E$15:$E$28,[1]инфо!$A$15:$A$28,F869)</f>
        <v/>
      </c>
      <c r="AI869" s="64">
        <f>IF(H869=0,0,S869/H869)</f>
        <v/>
      </c>
      <c r="AJ869" s="63">
        <f>AI869-AH869</f>
        <v/>
      </c>
      <c r="AK869" s="61">
        <f>SUMIFS([1]инфо!$F$15:$F$28,[1]инфо!$A$15:$A$28,F869)</f>
        <v/>
      </c>
      <c r="AL869" s="64">
        <f>IF(H869=0,0,Y869/H869)</f>
        <v/>
      </c>
      <c r="AM869" s="63">
        <f>AL869-AK869</f>
        <v/>
      </c>
      <c r="AN869" s="61">
        <f>SUMIFS([1]инфо!$G$15:$G$28,[1]инфо!$A$15:$A$28,F869)</f>
        <v/>
      </c>
      <c r="AO869" s="64">
        <f>IF(H869=0,0,AA869/H869)</f>
        <v/>
      </c>
      <c r="AP869" s="63">
        <f>AO869-AN869</f>
        <v/>
      </c>
      <c r="AQ869" s="61">
        <f>SUMIFS([1]инфо!$H$15:$H$28,[1]инфо!$A$15:$A$28,F869)</f>
        <v/>
      </c>
      <c r="AR869" s="62">
        <f>IF(H868=0,0,AC869/H868)</f>
        <v/>
      </c>
      <c r="AS869" s="63">
        <f>AR869-AQ869</f>
        <v/>
      </c>
      <c r="AT869" s="61">
        <f>SUMIFS([1]инфо!$I$15:$I$28,[1]инфо!$A$15:$A$28,F869)</f>
        <v/>
      </c>
      <c r="AU869" s="62">
        <f>IF(H869=0,0,AD869/H869)</f>
        <v/>
      </c>
      <c r="AV869" s="63">
        <f>AU869-AT869</f>
        <v/>
      </c>
      <c r="AX869" s="59">
        <f>SUMIFS([1]инфо!$C$15:$C$28,[1]инфо!$A$15:$A$28,F869)*H868</f>
        <v/>
      </c>
    </row>
    <row r="870">
      <c r="A870" s="71">
        <f>A868+1</f>
        <v/>
      </c>
      <c r="B870" s="88" t="n"/>
      <c r="C870" s="77" t="n"/>
      <c r="D870" s="78" t="n"/>
      <c r="E870" s="91" t="n"/>
      <c r="F870" s="67" t="n"/>
      <c r="G870" s="79" t="n"/>
      <c r="H870" s="67" t="n"/>
      <c r="I870" s="55" t="n"/>
      <c r="J870" s="55" t="n"/>
      <c r="K870" s="55" t="n"/>
      <c r="L870" s="55" t="n"/>
      <c r="M870" s="55" t="n"/>
      <c r="N870" s="56" t="n"/>
      <c r="O870" s="79" t="n"/>
      <c r="P870" s="79" t="n"/>
      <c r="Q870" s="79" t="n"/>
      <c r="R870" s="79" t="n"/>
      <c r="S870" s="80">
        <f>SUM(O870:R870)</f>
        <v/>
      </c>
      <c r="T870" s="77" t="n"/>
      <c r="U870" s="78" t="n"/>
      <c r="V870" s="79" t="n"/>
      <c r="W870" s="79" t="n"/>
      <c r="X870" s="79" t="n"/>
      <c r="Y870" s="77" t="n"/>
      <c r="Z870" s="79" t="n"/>
      <c r="AA870" s="79" t="n"/>
      <c r="AB870" s="79" t="n"/>
      <c r="AC870" s="79" t="n"/>
      <c r="AD870" s="78" t="n"/>
      <c r="AE870" s="81">
        <f>SUMIFS([1]инфо!$D$15:$D$28,[1]инфо!$A$15:$A$28,F870)</f>
        <v/>
      </c>
      <c r="AF870" s="62">
        <f>IF(H870=0,0,N870/H870)</f>
        <v/>
      </c>
      <c r="AG870" s="82">
        <f>AF870-AE870</f>
        <v/>
      </c>
      <c r="AH870" s="81">
        <f>SUMIFS([1]инфо!$E$15:$E$28,[1]инфо!$A$15:$A$28,F870)</f>
        <v/>
      </c>
      <c r="AI870" s="64">
        <f>IF(H870=0,0,S870/H870)</f>
        <v/>
      </c>
      <c r="AJ870" s="82">
        <f>AI870-AH870</f>
        <v/>
      </c>
      <c r="AK870" s="81">
        <f>SUMIFS([1]инфо!$F$15:$F$28,[1]инфо!$A$15:$A$28,F870)</f>
        <v/>
      </c>
      <c r="AL870" s="64">
        <f>IF(H870=0,0,Y870/H870)</f>
        <v/>
      </c>
      <c r="AM870" s="82">
        <f>AL870-AK870</f>
        <v/>
      </c>
      <c r="AN870" s="81">
        <f>SUMIFS([1]инфо!$G$15:$G$28,[1]инфо!$A$15:$A$28,F870)</f>
        <v/>
      </c>
      <c r="AO870" s="64">
        <f>IF(H870=0,0,AA870/H870)</f>
        <v/>
      </c>
      <c r="AP870" s="82">
        <f>AO870-AN870</f>
        <v/>
      </c>
      <c r="AQ870" s="81">
        <f>SUMIFS([1]инфо!$H$15:$H$28,[1]инфо!$A$15:$A$28,F870)</f>
        <v/>
      </c>
      <c r="AR870" s="85">
        <f>IF(H869=0,0,AC870/H869)</f>
        <v/>
      </c>
      <c r="AS870" s="82">
        <f>AR870-AQ870</f>
        <v/>
      </c>
      <c r="AT870" s="81">
        <f>SUMIFS([1]инфо!$I$15:$I$28,[1]инфо!$A$15:$A$28,F870)</f>
        <v/>
      </c>
      <c r="AU870" s="62">
        <f>IF(H870=0,0,AD870/H870)</f>
        <v/>
      </c>
      <c r="AV870" s="82">
        <f>AU870-AT870</f>
        <v/>
      </c>
      <c r="AX870" s="80">
        <f>SUMIFS([1]инфо!$C$15:$C$28,[1]инфо!$A$15:$A$28,F870)*H869</f>
        <v/>
      </c>
    </row>
    <row r="871">
      <c r="A871" s="71">
        <f>A869+1</f>
        <v/>
      </c>
      <c r="B871" s="89" t="n"/>
      <c r="C871" s="72" t="n"/>
      <c r="D871" s="73" t="n"/>
      <c r="E871" s="91" t="n"/>
      <c r="F871" s="67" t="n"/>
      <c r="G871" s="74" t="n"/>
      <c r="H871" s="55" t="n"/>
      <c r="I871" s="55" t="n"/>
      <c r="J871" s="55" t="n"/>
      <c r="K871" s="55" t="n"/>
      <c r="L871" s="55" t="n"/>
      <c r="M871" s="55" t="n"/>
      <c r="N871" s="67" t="n"/>
      <c r="O871" s="74" t="n"/>
      <c r="P871" s="74" t="n"/>
      <c r="Q871" s="74" t="n"/>
      <c r="R871" s="74" t="n"/>
      <c r="S871" s="70">
        <f>SUM(O871:R871)</f>
        <v/>
      </c>
      <c r="T871" s="72" t="n"/>
      <c r="U871" s="73" t="n"/>
      <c r="V871" s="74" t="n"/>
      <c r="W871" s="74" t="n"/>
      <c r="X871" s="74" t="n"/>
      <c r="Y871" s="72" t="n"/>
      <c r="Z871" s="74" t="n"/>
      <c r="AA871" s="74" t="n"/>
      <c r="AB871" s="74" t="n"/>
      <c r="AC871" s="74" t="n"/>
      <c r="AD871" s="73" t="n"/>
      <c r="AE871" s="75">
        <f>SUMIFS([1]инфо!$D$15:$D$28,[1]инфо!$A$15:$A$28,F871)</f>
        <v/>
      </c>
      <c r="AF871" s="62">
        <f>IF(H871=0,0,N871/H871)</f>
        <v/>
      </c>
      <c r="AG871" s="76">
        <f>AF871-AE871</f>
        <v/>
      </c>
      <c r="AH871" s="75">
        <f>SUMIFS([1]инфо!$E$15:$E$28,[1]инфо!$A$15:$A$28,F871)</f>
        <v/>
      </c>
      <c r="AI871" s="64">
        <f>IF(H871=0,0,S871/H871)</f>
        <v/>
      </c>
      <c r="AJ871" s="76">
        <f>AI871-AH871</f>
        <v/>
      </c>
      <c r="AK871" s="75">
        <f>SUMIFS([1]инфо!$F$15:$F$28,[1]инфо!$A$15:$A$28,F871)</f>
        <v/>
      </c>
      <c r="AL871" s="64">
        <f>IF(H871=0,0,Y871/H871)</f>
        <v/>
      </c>
      <c r="AM871" s="76">
        <f>AL871-AK871</f>
        <v/>
      </c>
      <c r="AN871" s="75">
        <f>SUMIFS([1]инфо!$G$15:$G$28,[1]инфо!$A$15:$A$28,F871)</f>
        <v/>
      </c>
      <c r="AO871" s="64">
        <f>IF(H871=0,0,AA871/H871)</f>
        <v/>
      </c>
      <c r="AP871" s="76">
        <f>AO871-AN871</f>
        <v/>
      </c>
      <c r="AQ871" s="75">
        <f>SUMIFS([1]инфо!$H$15:$H$28,[1]инфо!$A$15:$A$28,F871)</f>
        <v/>
      </c>
      <c r="AR871" s="64">
        <f>IF(H870=0,0,AC871/H870)</f>
        <v/>
      </c>
      <c r="AS871" s="76">
        <f>AR871-AQ871</f>
        <v/>
      </c>
      <c r="AT871" s="75">
        <f>SUMIFS([1]инфо!$I$15:$I$28,[1]инфо!$A$15:$A$28,F871)</f>
        <v/>
      </c>
      <c r="AU871" s="62">
        <f>IF(H871=0,0,AD871/H871)</f>
        <v/>
      </c>
      <c r="AV871" s="76">
        <f>AU871-AT871</f>
        <v/>
      </c>
      <c r="AX871" s="70">
        <f>SUMIFS([1]инфо!$C$15:$C$28,[1]инфо!$A$15:$A$28,F871)*H870</f>
        <v/>
      </c>
    </row>
    <row r="872">
      <c r="A872" s="71">
        <f>A870+1</f>
        <v/>
      </c>
      <c r="B872" s="90" t="n"/>
      <c r="C872" s="52" t="n"/>
      <c r="D872" s="53" t="n"/>
      <c r="E872" s="91" t="n"/>
      <c r="F872" s="67" t="n"/>
      <c r="G872" s="58" t="n"/>
      <c r="H872" s="55" t="n"/>
      <c r="I872" s="55" t="n"/>
      <c r="J872" s="55" t="n"/>
      <c r="K872" s="55" t="n"/>
      <c r="L872" s="55" t="n"/>
      <c r="M872" s="55" t="n"/>
      <c r="N872" s="55" t="n"/>
      <c r="O872" s="58" t="n"/>
      <c r="P872" s="58" t="n"/>
      <c r="Q872" s="58" t="n"/>
      <c r="R872" s="58" t="n"/>
      <c r="S872" s="59">
        <f>SUM(O872:R872)</f>
        <v/>
      </c>
      <c r="T872" s="52" t="n"/>
      <c r="U872" s="53" t="n"/>
      <c r="V872" s="58" t="n"/>
      <c r="W872" s="58" t="n"/>
      <c r="X872" s="58" t="n"/>
      <c r="Y872" s="52" t="n"/>
      <c r="Z872" s="58" t="n"/>
      <c r="AA872" s="58" t="n"/>
      <c r="AB872" s="58" t="n"/>
      <c r="AC872" s="58" t="n"/>
      <c r="AD872" s="53" t="n"/>
      <c r="AE872" s="61">
        <f>SUMIFS([1]инфо!$D$15:$D$28,[1]инфо!$A$15:$A$28,F872)</f>
        <v/>
      </c>
      <c r="AF872" s="62">
        <f>IF(H872=0,0,N872/H872)</f>
        <v/>
      </c>
      <c r="AG872" s="63">
        <f>AF872-AE872</f>
        <v/>
      </c>
      <c r="AH872" s="61">
        <f>SUMIFS([1]инфо!$E$15:$E$28,[1]инфо!$A$15:$A$28,F872)</f>
        <v/>
      </c>
      <c r="AI872" s="64">
        <f>IF(H872=0,0,S872/H872)</f>
        <v/>
      </c>
      <c r="AJ872" s="63">
        <f>AI872-AH872</f>
        <v/>
      </c>
      <c r="AK872" s="61">
        <f>SUMIFS([1]инфо!$F$15:$F$28,[1]инфо!$A$15:$A$28,F872)</f>
        <v/>
      </c>
      <c r="AL872" s="64">
        <f>IF(H872=0,0,Y872/H872)</f>
        <v/>
      </c>
      <c r="AM872" s="63">
        <f>AL872-AK872</f>
        <v/>
      </c>
      <c r="AN872" s="61">
        <f>SUMIFS([1]инфо!$G$15:$G$28,[1]инфо!$A$15:$A$28,F872)</f>
        <v/>
      </c>
      <c r="AO872" s="64">
        <f>IF(H872=0,0,AA872/H872)</f>
        <v/>
      </c>
      <c r="AP872" s="63">
        <f>AO872-AN872</f>
        <v/>
      </c>
      <c r="AQ872" s="61">
        <f>SUMIFS([1]инфо!$H$15:$H$28,[1]инфо!$A$15:$A$28,F872)</f>
        <v/>
      </c>
      <c r="AR872" s="62">
        <f>IF(H871=0,0,AC872/H871)</f>
        <v/>
      </c>
      <c r="AS872" s="63">
        <f>AR872-AQ872</f>
        <v/>
      </c>
      <c r="AT872" s="61">
        <f>SUMIFS([1]инфо!$I$15:$I$28,[1]инфо!$A$15:$A$28,F872)</f>
        <v/>
      </c>
      <c r="AU872" s="62">
        <f>IF(H872=0,0,AD872/H872)</f>
        <v/>
      </c>
      <c r="AV872" s="63">
        <f>AU872-AT872</f>
        <v/>
      </c>
      <c r="AX872" s="59">
        <f>SUMIFS([1]инфо!$C$15:$C$28,[1]инфо!$A$15:$A$28,F872)*H871</f>
        <v/>
      </c>
    </row>
    <row r="873">
      <c r="A873" s="71">
        <f>A871+1</f>
        <v/>
      </c>
      <c r="B873" s="90" t="n"/>
      <c r="C873" s="52" t="n"/>
      <c r="D873" s="53" t="n"/>
      <c r="E873" s="91" t="n"/>
      <c r="F873" s="67" t="n"/>
      <c r="G873" s="58" t="n"/>
      <c r="H873" s="56" t="n"/>
      <c r="I873" s="55" t="n"/>
      <c r="J873" s="55" t="n"/>
      <c r="K873" s="55" t="n"/>
      <c r="L873" s="55" t="n"/>
      <c r="M873" s="55" t="n"/>
      <c r="N873" s="55" t="n"/>
      <c r="O873" s="58" t="n"/>
      <c r="P873" s="58" t="n"/>
      <c r="Q873" s="58" t="n"/>
      <c r="R873" s="58" t="n"/>
      <c r="S873" s="59">
        <f>SUM(O873:R873)</f>
        <v/>
      </c>
      <c r="T873" s="52" t="n"/>
      <c r="U873" s="53" t="n"/>
      <c r="V873" s="58" t="n"/>
      <c r="W873" s="58" t="n"/>
      <c r="X873" s="58" t="n"/>
      <c r="Y873" s="52" t="n"/>
      <c r="Z873" s="58" t="n"/>
      <c r="AA873" s="58" t="n"/>
      <c r="AB873" s="58" t="n"/>
      <c r="AC873" s="58" t="n"/>
      <c r="AD873" s="53" t="n"/>
      <c r="AE873" s="61">
        <f>SUMIFS([1]инфо!$D$15:$D$28,[1]инфо!$A$15:$A$28,F873)</f>
        <v/>
      </c>
      <c r="AF873" s="62">
        <f>IF(H873=0,0,N873/H873)</f>
        <v/>
      </c>
      <c r="AG873" s="63">
        <f>AF873-AE873</f>
        <v/>
      </c>
      <c r="AH873" s="61">
        <f>SUMIFS([1]инфо!$E$15:$E$28,[1]инфо!$A$15:$A$28,F873)</f>
        <v/>
      </c>
      <c r="AI873" s="64">
        <f>IF(H873=0,0,S873/H873)</f>
        <v/>
      </c>
      <c r="AJ873" s="63">
        <f>AI873-AH873</f>
        <v/>
      </c>
      <c r="AK873" s="61">
        <f>SUMIFS([1]инфо!$F$15:$F$28,[1]инфо!$A$15:$A$28,F873)</f>
        <v/>
      </c>
      <c r="AL873" s="64">
        <f>IF(H873=0,0,Y873/H873)</f>
        <v/>
      </c>
      <c r="AM873" s="63">
        <f>AL873-AK873</f>
        <v/>
      </c>
      <c r="AN873" s="61">
        <f>SUMIFS([1]инфо!$G$15:$G$28,[1]инфо!$A$15:$A$28,F873)</f>
        <v/>
      </c>
      <c r="AO873" s="64">
        <f>IF(H873=0,0,AA873/H873)</f>
        <v/>
      </c>
      <c r="AP873" s="63">
        <f>AO873-AN873</f>
        <v/>
      </c>
      <c r="AQ873" s="61">
        <f>SUMIFS([1]инфо!$H$15:$H$28,[1]инфо!$A$15:$A$28,F873)</f>
        <v/>
      </c>
      <c r="AR873" s="62">
        <f>IF(H872=0,0,AC873/H872)</f>
        <v/>
      </c>
      <c r="AS873" s="63">
        <f>AR873-AQ873</f>
        <v/>
      </c>
      <c r="AT873" s="61">
        <f>SUMIFS([1]инфо!$I$15:$I$28,[1]инфо!$A$15:$A$28,F873)</f>
        <v/>
      </c>
      <c r="AU873" s="62">
        <f>IF(H873=0,0,AD873/H873)</f>
        <v/>
      </c>
      <c r="AV873" s="63">
        <f>AU873-AT873</f>
        <v/>
      </c>
      <c r="AX873" s="59">
        <f>SUMIFS([1]инфо!$C$15:$C$28,[1]инфо!$A$15:$A$28,F873)*H872</f>
        <v/>
      </c>
    </row>
    <row r="874">
      <c r="A874" s="71">
        <f>A872+1</f>
        <v/>
      </c>
      <c r="B874" s="88" t="n"/>
      <c r="C874" s="77" t="n"/>
      <c r="D874" s="78" t="n"/>
      <c r="E874" s="91" t="n"/>
      <c r="F874" s="67" t="n"/>
      <c r="G874" s="79" t="n"/>
      <c r="H874" s="67" t="n"/>
      <c r="I874" s="55" t="n"/>
      <c r="J874" s="55" t="n"/>
      <c r="K874" s="55" t="n"/>
      <c r="L874" s="55" t="n"/>
      <c r="M874" s="55" t="n"/>
      <c r="N874" s="56" t="n"/>
      <c r="O874" s="79" t="n"/>
      <c r="P874" s="79" t="n"/>
      <c r="Q874" s="79" t="n"/>
      <c r="R874" s="79" t="n"/>
      <c r="S874" s="80">
        <f>SUM(O874:R874)</f>
        <v/>
      </c>
      <c r="T874" s="77" t="n"/>
      <c r="U874" s="78" t="n"/>
      <c r="V874" s="79" t="n"/>
      <c r="W874" s="79" t="n"/>
      <c r="X874" s="79" t="n"/>
      <c r="Y874" s="77" t="n"/>
      <c r="Z874" s="79" t="n"/>
      <c r="AA874" s="79" t="n"/>
      <c r="AB874" s="79" t="n"/>
      <c r="AC874" s="79" t="n"/>
      <c r="AD874" s="78" t="n"/>
      <c r="AE874" s="81">
        <f>SUMIFS([1]инфо!$D$15:$D$28,[1]инфо!$A$15:$A$28,F874)</f>
        <v/>
      </c>
      <c r="AF874" s="62">
        <f>IF(H874=0,0,N874/H874)</f>
        <v/>
      </c>
      <c r="AG874" s="82">
        <f>AF874-AE874</f>
        <v/>
      </c>
      <c r="AH874" s="81">
        <f>SUMIFS([1]инфо!$E$15:$E$28,[1]инфо!$A$15:$A$28,F874)</f>
        <v/>
      </c>
      <c r="AI874" s="64">
        <f>IF(H874=0,0,S874/H874)</f>
        <v/>
      </c>
      <c r="AJ874" s="82">
        <f>AI874-AH874</f>
        <v/>
      </c>
      <c r="AK874" s="81">
        <f>SUMIFS([1]инфо!$F$15:$F$28,[1]инфо!$A$15:$A$28,F874)</f>
        <v/>
      </c>
      <c r="AL874" s="64">
        <f>IF(H874=0,0,Y874/H874)</f>
        <v/>
      </c>
      <c r="AM874" s="82">
        <f>AL874-AK874</f>
        <v/>
      </c>
      <c r="AN874" s="81">
        <f>SUMIFS([1]инфо!$G$15:$G$28,[1]инфо!$A$15:$A$28,F874)</f>
        <v/>
      </c>
      <c r="AO874" s="64">
        <f>IF(H874=0,0,AA874/H874)</f>
        <v/>
      </c>
      <c r="AP874" s="82">
        <f>AO874-AN874</f>
        <v/>
      </c>
      <c r="AQ874" s="81">
        <f>SUMIFS([1]инфо!$H$15:$H$28,[1]инфо!$A$15:$A$28,F874)</f>
        <v/>
      </c>
      <c r="AR874" s="85">
        <f>IF(H873=0,0,AC874/H873)</f>
        <v/>
      </c>
      <c r="AS874" s="82">
        <f>AR874-AQ874</f>
        <v/>
      </c>
      <c r="AT874" s="81">
        <f>SUMIFS([1]инфо!$I$15:$I$28,[1]инфо!$A$15:$A$28,F874)</f>
        <v/>
      </c>
      <c r="AU874" s="62">
        <f>IF(H874=0,0,AD874/H874)</f>
        <v/>
      </c>
      <c r="AV874" s="82">
        <f>AU874-AT874</f>
        <v/>
      </c>
      <c r="AX874" s="80">
        <f>SUMIFS([1]инфо!$C$15:$C$28,[1]инфо!$A$15:$A$28,F874)*H873</f>
        <v/>
      </c>
    </row>
    <row r="875">
      <c r="A875" s="71">
        <f>A873+1</f>
        <v/>
      </c>
      <c r="B875" s="89" t="n"/>
      <c r="C875" s="72" t="n"/>
      <c r="D875" s="73" t="n"/>
      <c r="E875" s="91" t="n"/>
      <c r="F875" s="67" t="n"/>
      <c r="G875" s="74" t="n"/>
      <c r="H875" s="55" t="n"/>
      <c r="I875" s="55" t="n"/>
      <c r="J875" s="55" t="n"/>
      <c r="K875" s="55" t="n"/>
      <c r="L875" s="55" t="n"/>
      <c r="M875" s="55" t="n"/>
      <c r="N875" s="67" t="n"/>
      <c r="O875" s="74" t="n"/>
      <c r="P875" s="74" t="n"/>
      <c r="Q875" s="74" t="n"/>
      <c r="R875" s="74" t="n"/>
      <c r="S875" s="70">
        <f>SUM(O875:R875)</f>
        <v/>
      </c>
      <c r="T875" s="72" t="n"/>
      <c r="U875" s="73" t="n"/>
      <c r="V875" s="74" t="n"/>
      <c r="W875" s="74" t="n"/>
      <c r="X875" s="74" t="n"/>
      <c r="Y875" s="72" t="n"/>
      <c r="Z875" s="74" t="n"/>
      <c r="AA875" s="74" t="n"/>
      <c r="AB875" s="74" t="n"/>
      <c r="AC875" s="74" t="n"/>
      <c r="AD875" s="73" t="n"/>
      <c r="AE875" s="75">
        <f>SUMIFS([1]инфо!$D$15:$D$28,[1]инфо!$A$15:$A$28,F875)</f>
        <v/>
      </c>
      <c r="AF875" s="62">
        <f>IF(H875=0,0,N875/H875)</f>
        <v/>
      </c>
      <c r="AG875" s="76">
        <f>AF875-AE875</f>
        <v/>
      </c>
      <c r="AH875" s="75">
        <f>SUMIFS([1]инфо!$E$15:$E$28,[1]инфо!$A$15:$A$28,F875)</f>
        <v/>
      </c>
      <c r="AI875" s="64">
        <f>IF(H875=0,0,S875/H875)</f>
        <v/>
      </c>
      <c r="AJ875" s="76">
        <f>AI875-AH875</f>
        <v/>
      </c>
      <c r="AK875" s="75">
        <f>SUMIFS([1]инфо!$F$15:$F$28,[1]инфо!$A$15:$A$28,F875)</f>
        <v/>
      </c>
      <c r="AL875" s="64">
        <f>IF(H875=0,0,Y875/H875)</f>
        <v/>
      </c>
      <c r="AM875" s="76">
        <f>AL875-AK875</f>
        <v/>
      </c>
      <c r="AN875" s="75">
        <f>SUMIFS([1]инфо!$G$15:$G$28,[1]инфо!$A$15:$A$28,F875)</f>
        <v/>
      </c>
      <c r="AO875" s="64">
        <f>IF(H875=0,0,AA875/H875)</f>
        <v/>
      </c>
      <c r="AP875" s="76">
        <f>AO875-AN875</f>
        <v/>
      </c>
      <c r="AQ875" s="75">
        <f>SUMIFS([1]инфо!$H$15:$H$28,[1]инфо!$A$15:$A$28,F875)</f>
        <v/>
      </c>
      <c r="AR875" s="64">
        <f>IF(H874=0,0,AC875/H874)</f>
        <v/>
      </c>
      <c r="AS875" s="76">
        <f>AR875-AQ875</f>
        <v/>
      </c>
      <c r="AT875" s="75">
        <f>SUMIFS([1]инфо!$I$15:$I$28,[1]инфо!$A$15:$A$28,F875)</f>
        <v/>
      </c>
      <c r="AU875" s="62">
        <f>IF(H875=0,0,AD875/H875)</f>
        <v/>
      </c>
      <c r="AV875" s="76">
        <f>AU875-AT875</f>
        <v/>
      </c>
      <c r="AX875" s="70">
        <f>SUMIFS([1]инфо!$C$15:$C$28,[1]инфо!$A$15:$A$28,F875)*H874</f>
        <v/>
      </c>
    </row>
    <row r="876">
      <c r="A876" s="71">
        <f>A874+1</f>
        <v/>
      </c>
      <c r="B876" s="90" t="n"/>
      <c r="C876" s="52" t="n"/>
      <c r="D876" s="53" t="n"/>
      <c r="E876" s="91" t="n"/>
      <c r="F876" s="67" t="n"/>
      <c r="G876" s="58" t="n"/>
      <c r="H876" s="55" t="n"/>
      <c r="I876" s="55" t="n"/>
      <c r="J876" s="55" t="n"/>
      <c r="K876" s="55" t="n"/>
      <c r="L876" s="55" t="n"/>
      <c r="M876" s="55" t="n"/>
      <c r="N876" s="55" t="n"/>
      <c r="O876" s="58" t="n"/>
      <c r="P876" s="58" t="n"/>
      <c r="Q876" s="58" t="n"/>
      <c r="R876" s="58" t="n"/>
      <c r="S876" s="59">
        <f>SUM(O876:R876)</f>
        <v/>
      </c>
      <c r="T876" s="52" t="n"/>
      <c r="U876" s="53" t="n"/>
      <c r="V876" s="58" t="n"/>
      <c r="W876" s="58" t="n"/>
      <c r="X876" s="58" t="n"/>
      <c r="Y876" s="52" t="n"/>
      <c r="Z876" s="58" t="n"/>
      <c r="AA876" s="58" t="n"/>
      <c r="AB876" s="58" t="n"/>
      <c r="AC876" s="58" t="n"/>
      <c r="AD876" s="53" t="n"/>
      <c r="AE876" s="61">
        <f>SUMIFS([1]инфо!$D$15:$D$28,[1]инфо!$A$15:$A$28,F876)</f>
        <v/>
      </c>
      <c r="AF876" s="62">
        <f>IF(H876=0,0,N876/H876)</f>
        <v/>
      </c>
      <c r="AG876" s="63">
        <f>AF876-AE876</f>
        <v/>
      </c>
      <c r="AH876" s="61">
        <f>SUMIFS([1]инфо!$E$15:$E$28,[1]инфо!$A$15:$A$28,F876)</f>
        <v/>
      </c>
      <c r="AI876" s="64">
        <f>IF(H876=0,0,S876/H876)</f>
        <v/>
      </c>
      <c r="AJ876" s="63">
        <f>AI876-AH876</f>
        <v/>
      </c>
      <c r="AK876" s="61">
        <f>SUMIFS([1]инфо!$F$15:$F$28,[1]инфо!$A$15:$A$28,F876)</f>
        <v/>
      </c>
      <c r="AL876" s="64">
        <f>IF(H876=0,0,Y876/H876)</f>
        <v/>
      </c>
      <c r="AM876" s="63">
        <f>AL876-AK876</f>
        <v/>
      </c>
      <c r="AN876" s="61">
        <f>SUMIFS([1]инфо!$G$15:$G$28,[1]инфо!$A$15:$A$28,F876)</f>
        <v/>
      </c>
      <c r="AO876" s="64">
        <f>IF(H876=0,0,AA876/H876)</f>
        <v/>
      </c>
      <c r="AP876" s="63">
        <f>AO876-AN876</f>
        <v/>
      </c>
      <c r="AQ876" s="61">
        <f>SUMIFS([1]инфо!$H$15:$H$28,[1]инфо!$A$15:$A$28,F876)</f>
        <v/>
      </c>
      <c r="AR876" s="62">
        <f>IF(H875=0,0,AC876/H875)</f>
        <v/>
      </c>
      <c r="AS876" s="63">
        <f>AR876-AQ876</f>
        <v/>
      </c>
      <c r="AT876" s="61">
        <f>SUMIFS([1]инфо!$I$15:$I$28,[1]инфо!$A$15:$A$28,F876)</f>
        <v/>
      </c>
      <c r="AU876" s="62">
        <f>IF(H876=0,0,AD876/H876)</f>
        <v/>
      </c>
      <c r="AV876" s="63">
        <f>AU876-AT876</f>
        <v/>
      </c>
      <c r="AX876" s="59">
        <f>SUMIFS([1]инфо!$C$15:$C$28,[1]инфо!$A$15:$A$28,F876)*H875</f>
        <v/>
      </c>
    </row>
    <row r="877">
      <c r="A877" s="71">
        <f>A875+1</f>
        <v/>
      </c>
      <c r="B877" s="90" t="n"/>
      <c r="C877" s="52" t="n"/>
      <c r="D877" s="53" t="n"/>
      <c r="E877" s="91" t="n"/>
      <c r="F877" s="67" t="n"/>
      <c r="G877" s="58" t="n"/>
      <c r="H877" s="56" t="n"/>
      <c r="I877" s="55" t="n"/>
      <c r="J877" s="55" t="n"/>
      <c r="K877" s="55" t="n"/>
      <c r="L877" s="55" t="n"/>
      <c r="M877" s="55" t="n"/>
      <c r="N877" s="55" t="n"/>
      <c r="O877" s="58" t="n"/>
      <c r="P877" s="58" t="n"/>
      <c r="Q877" s="58" t="n"/>
      <c r="R877" s="58" t="n"/>
      <c r="S877" s="59">
        <f>SUM(O877:R877)</f>
        <v/>
      </c>
      <c r="T877" s="52" t="n"/>
      <c r="U877" s="53" t="n"/>
      <c r="V877" s="58" t="n"/>
      <c r="W877" s="58" t="n"/>
      <c r="X877" s="58" t="n"/>
      <c r="Y877" s="52" t="n"/>
      <c r="Z877" s="58" t="n"/>
      <c r="AA877" s="58" t="n"/>
      <c r="AB877" s="58" t="n"/>
      <c r="AC877" s="58" t="n"/>
      <c r="AD877" s="53" t="n"/>
      <c r="AE877" s="61">
        <f>SUMIFS([1]инфо!$D$15:$D$28,[1]инфо!$A$15:$A$28,F877)</f>
        <v/>
      </c>
      <c r="AF877" s="62">
        <f>IF(H877=0,0,N877/H877)</f>
        <v/>
      </c>
      <c r="AG877" s="63">
        <f>AF877-AE877</f>
        <v/>
      </c>
      <c r="AH877" s="61">
        <f>SUMIFS([1]инфо!$E$15:$E$28,[1]инфо!$A$15:$A$28,F877)</f>
        <v/>
      </c>
      <c r="AI877" s="64">
        <f>IF(H877=0,0,S877/H877)</f>
        <v/>
      </c>
      <c r="AJ877" s="63">
        <f>AI877-AH877</f>
        <v/>
      </c>
      <c r="AK877" s="61">
        <f>SUMIFS([1]инфо!$F$15:$F$28,[1]инфо!$A$15:$A$28,F877)</f>
        <v/>
      </c>
      <c r="AL877" s="64">
        <f>IF(H877=0,0,Y877/H877)</f>
        <v/>
      </c>
      <c r="AM877" s="63">
        <f>AL877-AK877</f>
        <v/>
      </c>
      <c r="AN877" s="61">
        <f>SUMIFS([1]инфо!$G$15:$G$28,[1]инфо!$A$15:$A$28,F877)</f>
        <v/>
      </c>
      <c r="AO877" s="64">
        <f>IF(H877=0,0,AA877/H877)</f>
        <v/>
      </c>
      <c r="AP877" s="63">
        <f>AO877-AN877</f>
        <v/>
      </c>
      <c r="AQ877" s="61">
        <f>SUMIFS([1]инфо!$H$15:$H$28,[1]инфо!$A$15:$A$28,F877)</f>
        <v/>
      </c>
      <c r="AR877" s="62">
        <f>IF(H876=0,0,AC877/H876)</f>
        <v/>
      </c>
      <c r="AS877" s="63">
        <f>AR877-AQ877</f>
        <v/>
      </c>
      <c r="AT877" s="61">
        <f>SUMIFS([1]инфо!$I$15:$I$28,[1]инфо!$A$15:$A$28,F877)</f>
        <v/>
      </c>
      <c r="AU877" s="62">
        <f>IF(H877=0,0,AD877/H877)</f>
        <v/>
      </c>
      <c r="AV877" s="63">
        <f>AU877-AT877</f>
        <v/>
      </c>
      <c r="AX877" s="59">
        <f>SUMIFS([1]инфо!$C$15:$C$28,[1]инфо!$A$15:$A$28,F877)*H876</f>
        <v/>
      </c>
    </row>
    <row r="878">
      <c r="A878" s="71">
        <f>A876+1</f>
        <v/>
      </c>
      <c r="B878" s="88" t="n"/>
      <c r="C878" s="77" t="n"/>
      <c r="D878" s="78" t="n"/>
      <c r="E878" s="91" t="n"/>
      <c r="F878" s="67" t="n"/>
      <c r="G878" s="79" t="n"/>
      <c r="H878" s="67" t="n"/>
      <c r="I878" s="55" t="n"/>
      <c r="J878" s="55" t="n"/>
      <c r="K878" s="55" t="n"/>
      <c r="L878" s="55" t="n"/>
      <c r="M878" s="55" t="n"/>
      <c r="N878" s="56" t="n"/>
      <c r="O878" s="79" t="n"/>
      <c r="P878" s="79" t="n"/>
      <c r="Q878" s="79" t="n"/>
      <c r="R878" s="79" t="n"/>
      <c r="S878" s="80">
        <f>SUM(O878:R878)</f>
        <v/>
      </c>
      <c r="T878" s="77" t="n"/>
      <c r="U878" s="78" t="n"/>
      <c r="V878" s="79" t="n"/>
      <c r="W878" s="79" t="n"/>
      <c r="X878" s="79" t="n"/>
      <c r="Y878" s="77" t="n"/>
      <c r="Z878" s="79" t="n"/>
      <c r="AA878" s="79" t="n"/>
      <c r="AB878" s="79" t="n"/>
      <c r="AC878" s="79" t="n"/>
      <c r="AD878" s="78" t="n"/>
      <c r="AE878" s="81">
        <f>SUMIFS([1]инфо!$D$15:$D$28,[1]инфо!$A$15:$A$28,F878)</f>
        <v/>
      </c>
      <c r="AF878" s="62">
        <f>IF(H878=0,0,N878/H878)</f>
        <v/>
      </c>
      <c r="AG878" s="82">
        <f>AF878-AE878</f>
        <v/>
      </c>
      <c r="AH878" s="81">
        <f>SUMIFS([1]инфо!$E$15:$E$28,[1]инфо!$A$15:$A$28,F878)</f>
        <v/>
      </c>
      <c r="AI878" s="64">
        <f>IF(H878=0,0,S878/H878)</f>
        <v/>
      </c>
      <c r="AJ878" s="82">
        <f>AI878-AH878</f>
        <v/>
      </c>
      <c r="AK878" s="81">
        <f>SUMIFS([1]инфо!$F$15:$F$28,[1]инфо!$A$15:$A$28,F878)</f>
        <v/>
      </c>
      <c r="AL878" s="64">
        <f>IF(H878=0,0,Y878/H878)</f>
        <v/>
      </c>
      <c r="AM878" s="82">
        <f>AL878-AK878</f>
        <v/>
      </c>
      <c r="AN878" s="81">
        <f>SUMIFS([1]инфо!$G$15:$G$28,[1]инфо!$A$15:$A$28,F878)</f>
        <v/>
      </c>
      <c r="AO878" s="64">
        <f>IF(H878=0,0,AA878/H878)</f>
        <v/>
      </c>
      <c r="AP878" s="82">
        <f>AO878-AN878</f>
        <v/>
      </c>
      <c r="AQ878" s="81">
        <f>SUMIFS([1]инфо!$H$15:$H$28,[1]инфо!$A$15:$A$28,F878)</f>
        <v/>
      </c>
      <c r="AR878" s="85">
        <f>IF(H877=0,0,AC878/H877)</f>
        <v/>
      </c>
      <c r="AS878" s="82">
        <f>AR878-AQ878</f>
        <v/>
      </c>
      <c r="AT878" s="81">
        <f>SUMIFS([1]инфо!$I$15:$I$28,[1]инфо!$A$15:$A$28,F878)</f>
        <v/>
      </c>
      <c r="AU878" s="62">
        <f>IF(H878=0,0,AD878/H878)</f>
        <v/>
      </c>
      <c r="AV878" s="82">
        <f>AU878-AT878</f>
        <v/>
      </c>
      <c r="AX878" s="80">
        <f>SUMIFS([1]инфо!$C$15:$C$28,[1]инфо!$A$15:$A$28,F878)*H877</f>
        <v/>
      </c>
    </row>
    <row r="879">
      <c r="A879" s="71">
        <f>A877+1</f>
        <v/>
      </c>
      <c r="B879" s="89" t="n"/>
      <c r="C879" s="72" t="n"/>
      <c r="D879" s="73" t="n"/>
      <c r="E879" s="91" t="n"/>
      <c r="F879" s="67" t="n"/>
      <c r="G879" s="74" t="n"/>
      <c r="H879" s="55" t="n"/>
      <c r="I879" s="55" t="n"/>
      <c r="J879" s="55" t="n"/>
      <c r="K879" s="55" t="n"/>
      <c r="L879" s="55" t="n"/>
      <c r="M879" s="55" t="n"/>
      <c r="N879" s="67" t="n"/>
      <c r="O879" s="74" t="n"/>
      <c r="P879" s="74" t="n"/>
      <c r="Q879" s="74" t="n"/>
      <c r="R879" s="74" t="n"/>
      <c r="S879" s="70">
        <f>SUM(O879:R879)</f>
        <v/>
      </c>
      <c r="T879" s="72" t="n"/>
      <c r="U879" s="73" t="n"/>
      <c r="V879" s="74" t="n"/>
      <c r="W879" s="74" t="n"/>
      <c r="X879" s="74" t="n"/>
      <c r="Y879" s="72" t="n"/>
      <c r="Z879" s="74" t="n"/>
      <c r="AA879" s="74" t="n"/>
      <c r="AB879" s="74" t="n"/>
      <c r="AC879" s="74" t="n"/>
      <c r="AD879" s="73" t="n"/>
      <c r="AE879" s="75">
        <f>SUMIFS([1]инфо!$D$15:$D$28,[1]инфо!$A$15:$A$28,F879)</f>
        <v/>
      </c>
      <c r="AF879" s="62">
        <f>IF(H879=0,0,N879/H879)</f>
        <v/>
      </c>
      <c r="AG879" s="76">
        <f>AF879-AE879</f>
        <v/>
      </c>
      <c r="AH879" s="75">
        <f>SUMIFS([1]инфо!$E$15:$E$28,[1]инфо!$A$15:$A$28,F879)</f>
        <v/>
      </c>
      <c r="AI879" s="64">
        <f>IF(H879=0,0,S879/H879)</f>
        <v/>
      </c>
      <c r="AJ879" s="76">
        <f>AI879-AH879</f>
        <v/>
      </c>
      <c r="AK879" s="75">
        <f>SUMIFS([1]инфо!$F$15:$F$28,[1]инфо!$A$15:$A$28,F879)</f>
        <v/>
      </c>
      <c r="AL879" s="64">
        <f>IF(H879=0,0,Y879/H879)</f>
        <v/>
      </c>
      <c r="AM879" s="76">
        <f>AL879-AK879</f>
        <v/>
      </c>
      <c r="AN879" s="75">
        <f>SUMIFS([1]инфо!$G$15:$G$28,[1]инфо!$A$15:$A$28,F879)</f>
        <v/>
      </c>
      <c r="AO879" s="64">
        <f>IF(H879=0,0,AA879/H879)</f>
        <v/>
      </c>
      <c r="AP879" s="76">
        <f>AO879-AN879</f>
        <v/>
      </c>
      <c r="AQ879" s="75">
        <f>SUMIFS([1]инфо!$H$15:$H$28,[1]инфо!$A$15:$A$28,F879)</f>
        <v/>
      </c>
      <c r="AR879" s="64">
        <f>IF(H878=0,0,AC879/H878)</f>
        <v/>
      </c>
      <c r="AS879" s="76">
        <f>AR879-AQ879</f>
        <v/>
      </c>
      <c r="AT879" s="75">
        <f>SUMIFS([1]инфо!$I$15:$I$28,[1]инфо!$A$15:$A$28,F879)</f>
        <v/>
      </c>
      <c r="AU879" s="62">
        <f>IF(H879=0,0,AD879/H879)</f>
        <v/>
      </c>
      <c r="AV879" s="76">
        <f>AU879-AT879</f>
        <v/>
      </c>
      <c r="AX879" s="70">
        <f>SUMIFS([1]инфо!$C$15:$C$28,[1]инфо!$A$15:$A$28,F879)*H878</f>
        <v/>
      </c>
    </row>
    <row r="880">
      <c r="A880" s="71">
        <f>A878+1</f>
        <v/>
      </c>
      <c r="B880" s="90" t="n"/>
      <c r="C880" s="52" t="n"/>
      <c r="D880" s="53" t="n"/>
      <c r="E880" s="91" t="n"/>
      <c r="F880" s="67" t="n"/>
      <c r="G880" s="58" t="n"/>
      <c r="H880" s="55" t="n"/>
      <c r="I880" s="55" t="n"/>
      <c r="J880" s="55" t="n"/>
      <c r="K880" s="55" t="n"/>
      <c r="L880" s="55" t="n"/>
      <c r="M880" s="55" t="n"/>
      <c r="N880" s="55" t="n"/>
      <c r="O880" s="58" t="n"/>
      <c r="P880" s="58" t="n"/>
      <c r="Q880" s="58" t="n"/>
      <c r="R880" s="58" t="n"/>
      <c r="S880" s="59">
        <f>SUM(O880:R880)</f>
        <v/>
      </c>
      <c r="T880" s="52" t="n"/>
      <c r="U880" s="53" t="n"/>
      <c r="V880" s="58" t="n"/>
      <c r="W880" s="58" t="n"/>
      <c r="X880" s="58" t="n"/>
      <c r="Y880" s="52" t="n"/>
      <c r="Z880" s="58" t="n"/>
      <c r="AA880" s="58" t="n"/>
      <c r="AB880" s="58" t="n"/>
      <c r="AC880" s="58" t="n"/>
      <c r="AD880" s="53" t="n"/>
      <c r="AE880" s="61">
        <f>SUMIFS([1]инфо!$D$15:$D$28,[1]инфо!$A$15:$A$28,F880)</f>
        <v/>
      </c>
      <c r="AF880" s="62">
        <f>IF(H880=0,0,N880/H880)</f>
        <v/>
      </c>
      <c r="AG880" s="63">
        <f>AF880-AE880</f>
        <v/>
      </c>
      <c r="AH880" s="61">
        <f>SUMIFS([1]инфо!$E$15:$E$28,[1]инфо!$A$15:$A$28,F880)</f>
        <v/>
      </c>
      <c r="AI880" s="64">
        <f>IF(H880=0,0,S880/H880)</f>
        <v/>
      </c>
      <c r="AJ880" s="63">
        <f>AI880-AH880</f>
        <v/>
      </c>
      <c r="AK880" s="61">
        <f>SUMIFS([1]инфо!$F$15:$F$28,[1]инфо!$A$15:$A$28,F880)</f>
        <v/>
      </c>
      <c r="AL880" s="64">
        <f>IF(H880=0,0,Y880/H880)</f>
        <v/>
      </c>
      <c r="AM880" s="63">
        <f>AL880-AK880</f>
        <v/>
      </c>
      <c r="AN880" s="61">
        <f>SUMIFS([1]инфо!$G$15:$G$28,[1]инфо!$A$15:$A$28,F880)</f>
        <v/>
      </c>
      <c r="AO880" s="64">
        <f>IF(H880=0,0,AA880/H880)</f>
        <v/>
      </c>
      <c r="AP880" s="63">
        <f>AO880-AN880</f>
        <v/>
      </c>
      <c r="AQ880" s="61">
        <f>SUMIFS([1]инфо!$H$15:$H$28,[1]инфо!$A$15:$A$28,F880)</f>
        <v/>
      </c>
      <c r="AR880" s="62">
        <f>IF(H879=0,0,AC880/H879)</f>
        <v/>
      </c>
      <c r="AS880" s="63">
        <f>AR880-AQ880</f>
        <v/>
      </c>
      <c r="AT880" s="61">
        <f>SUMIFS([1]инфо!$I$15:$I$28,[1]инфо!$A$15:$A$28,F880)</f>
        <v/>
      </c>
      <c r="AU880" s="62">
        <f>IF(H880=0,0,AD880/H880)</f>
        <v/>
      </c>
      <c r="AV880" s="63">
        <f>AU880-AT880</f>
        <v/>
      </c>
      <c r="AX880" s="59">
        <f>SUMIFS([1]инфо!$C$15:$C$28,[1]инфо!$A$15:$A$28,F880)*H879</f>
        <v/>
      </c>
    </row>
    <row r="881">
      <c r="A881" s="71">
        <f>A879+1</f>
        <v/>
      </c>
      <c r="B881" s="90" t="n"/>
      <c r="C881" s="52" t="n"/>
      <c r="D881" s="53" t="n"/>
      <c r="E881" s="91" t="n"/>
      <c r="F881" s="67" t="n"/>
      <c r="G881" s="58" t="n"/>
      <c r="H881" s="56" t="n"/>
      <c r="I881" s="55" t="n"/>
      <c r="J881" s="55" t="n"/>
      <c r="K881" s="55" t="n"/>
      <c r="L881" s="55" t="n"/>
      <c r="M881" s="55" t="n"/>
      <c r="N881" s="55" t="n"/>
      <c r="O881" s="58" t="n"/>
      <c r="P881" s="58" t="n"/>
      <c r="Q881" s="58" t="n"/>
      <c r="R881" s="58" t="n"/>
      <c r="S881" s="59">
        <f>SUM(O881:R881)</f>
        <v/>
      </c>
      <c r="T881" s="52" t="n"/>
      <c r="U881" s="53" t="n"/>
      <c r="V881" s="58" t="n"/>
      <c r="W881" s="58" t="n"/>
      <c r="X881" s="58" t="n"/>
      <c r="Y881" s="52" t="n"/>
      <c r="Z881" s="58" t="n"/>
      <c r="AA881" s="58" t="n"/>
      <c r="AB881" s="58" t="n"/>
      <c r="AC881" s="58" t="n"/>
      <c r="AD881" s="53" t="n"/>
      <c r="AE881" s="61">
        <f>SUMIFS([1]инфо!$D$15:$D$28,[1]инфо!$A$15:$A$28,F881)</f>
        <v/>
      </c>
      <c r="AF881" s="62">
        <f>IF(H881=0,0,N881/H881)</f>
        <v/>
      </c>
      <c r="AG881" s="63">
        <f>AF881-AE881</f>
        <v/>
      </c>
      <c r="AH881" s="61">
        <f>SUMIFS([1]инфо!$E$15:$E$28,[1]инфо!$A$15:$A$28,F881)</f>
        <v/>
      </c>
      <c r="AI881" s="64">
        <f>IF(H881=0,0,S881/H881)</f>
        <v/>
      </c>
      <c r="AJ881" s="63">
        <f>AI881-AH881</f>
        <v/>
      </c>
      <c r="AK881" s="61">
        <f>SUMIFS([1]инфо!$F$15:$F$28,[1]инфо!$A$15:$A$28,F881)</f>
        <v/>
      </c>
      <c r="AL881" s="64">
        <f>IF(H881=0,0,Y881/H881)</f>
        <v/>
      </c>
      <c r="AM881" s="63">
        <f>AL881-AK881</f>
        <v/>
      </c>
      <c r="AN881" s="61">
        <f>SUMIFS([1]инфо!$G$15:$G$28,[1]инфо!$A$15:$A$28,F881)</f>
        <v/>
      </c>
      <c r="AO881" s="64">
        <f>IF(H881=0,0,AA881/H881)</f>
        <v/>
      </c>
      <c r="AP881" s="63">
        <f>AO881-AN881</f>
        <v/>
      </c>
      <c r="AQ881" s="61">
        <f>SUMIFS([1]инфо!$H$15:$H$28,[1]инфо!$A$15:$A$28,F881)</f>
        <v/>
      </c>
      <c r="AR881" s="62">
        <f>IF(H880=0,0,AC881/H880)</f>
        <v/>
      </c>
      <c r="AS881" s="63">
        <f>AR881-AQ881</f>
        <v/>
      </c>
      <c r="AT881" s="61">
        <f>SUMIFS([1]инфо!$I$15:$I$28,[1]инфо!$A$15:$A$28,F881)</f>
        <v/>
      </c>
      <c r="AU881" s="62">
        <f>IF(H881=0,0,AD881/H881)</f>
        <v/>
      </c>
      <c r="AV881" s="63">
        <f>AU881-AT881</f>
        <v/>
      </c>
      <c r="AX881" s="59">
        <f>SUMIFS([1]инфо!$C$15:$C$28,[1]инфо!$A$15:$A$28,F881)*H880</f>
        <v/>
      </c>
    </row>
    <row r="882">
      <c r="A882" s="71">
        <f>A880+1</f>
        <v/>
      </c>
      <c r="B882" s="88" t="n"/>
      <c r="C882" s="77" t="n"/>
      <c r="D882" s="78" t="n"/>
      <c r="E882" s="91" t="n"/>
      <c r="F882" s="67" t="n"/>
      <c r="G882" s="79" t="n"/>
      <c r="H882" s="67" t="n"/>
      <c r="I882" s="55" t="n"/>
      <c r="J882" s="55" t="n"/>
      <c r="K882" s="55" t="n"/>
      <c r="L882" s="55" t="n"/>
      <c r="M882" s="55" t="n"/>
      <c r="N882" s="56" t="n"/>
      <c r="O882" s="79" t="n"/>
      <c r="P882" s="79" t="n"/>
      <c r="Q882" s="79" t="n"/>
      <c r="R882" s="79" t="n"/>
      <c r="S882" s="80">
        <f>SUM(O882:R882)</f>
        <v/>
      </c>
      <c r="T882" s="77" t="n"/>
      <c r="U882" s="78" t="n"/>
      <c r="V882" s="79" t="n"/>
      <c r="W882" s="79" t="n"/>
      <c r="X882" s="79" t="n"/>
      <c r="Y882" s="77" t="n"/>
      <c r="Z882" s="79" t="n"/>
      <c r="AA882" s="79" t="n"/>
      <c r="AB882" s="79" t="n"/>
      <c r="AC882" s="79" t="n"/>
      <c r="AD882" s="78" t="n"/>
      <c r="AE882" s="81">
        <f>SUMIFS([1]инфо!$D$15:$D$28,[1]инфо!$A$15:$A$28,F882)</f>
        <v/>
      </c>
      <c r="AF882" s="62">
        <f>IF(H882=0,0,N882/H882)</f>
        <v/>
      </c>
      <c r="AG882" s="82">
        <f>AF882-AE882</f>
        <v/>
      </c>
      <c r="AH882" s="81">
        <f>SUMIFS([1]инфо!$E$15:$E$28,[1]инфо!$A$15:$A$28,F882)</f>
        <v/>
      </c>
      <c r="AI882" s="64">
        <f>IF(H882=0,0,S882/H882)</f>
        <v/>
      </c>
      <c r="AJ882" s="82">
        <f>AI882-AH882</f>
        <v/>
      </c>
      <c r="AK882" s="81">
        <f>SUMIFS([1]инфо!$F$15:$F$28,[1]инфо!$A$15:$A$28,F882)</f>
        <v/>
      </c>
      <c r="AL882" s="64">
        <f>IF(H882=0,0,Y882/H882)</f>
        <v/>
      </c>
      <c r="AM882" s="82">
        <f>AL882-AK882</f>
        <v/>
      </c>
      <c r="AN882" s="81">
        <f>SUMIFS([1]инфо!$G$15:$G$28,[1]инфо!$A$15:$A$28,F882)</f>
        <v/>
      </c>
      <c r="AO882" s="64">
        <f>IF(H882=0,0,AA882/H882)</f>
        <v/>
      </c>
      <c r="AP882" s="82">
        <f>AO882-AN882</f>
        <v/>
      </c>
      <c r="AQ882" s="81">
        <f>SUMIFS([1]инфо!$H$15:$H$28,[1]инфо!$A$15:$A$28,F882)</f>
        <v/>
      </c>
      <c r="AR882" s="85">
        <f>IF(H881=0,0,AC882/H881)</f>
        <v/>
      </c>
      <c r="AS882" s="82">
        <f>AR882-AQ882</f>
        <v/>
      </c>
      <c r="AT882" s="81">
        <f>SUMIFS([1]инфо!$I$15:$I$28,[1]инфо!$A$15:$A$28,F882)</f>
        <v/>
      </c>
      <c r="AU882" s="62">
        <f>IF(H882=0,0,AD882/H882)</f>
        <v/>
      </c>
      <c r="AV882" s="82">
        <f>AU882-AT882</f>
        <v/>
      </c>
      <c r="AX882" s="80">
        <f>SUMIFS([1]инфо!$C$15:$C$28,[1]инфо!$A$15:$A$28,F882)*H881</f>
        <v/>
      </c>
    </row>
    <row r="883">
      <c r="A883" s="71">
        <f>A881+1</f>
        <v/>
      </c>
      <c r="B883" s="89" t="n"/>
      <c r="C883" s="72" t="n"/>
      <c r="D883" s="73" t="n"/>
      <c r="E883" s="91" t="n"/>
      <c r="F883" s="67" t="n"/>
      <c r="G883" s="74" t="n"/>
      <c r="H883" s="55" t="n"/>
      <c r="I883" s="55" t="n"/>
      <c r="J883" s="55" t="n"/>
      <c r="K883" s="55" t="n"/>
      <c r="L883" s="55" t="n"/>
      <c r="M883" s="55" t="n"/>
      <c r="N883" s="67" t="n"/>
      <c r="O883" s="74" t="n"/>
      <c r="P883" s="74" t="n"/>
      <c r="Q883" s="74" t="n"/>
      <c r="R883" s="74" t="n"/>
      <c r="S883" s="70">
        <f>SUM(O883:R883)</f>
        <v/>
      </c>
      <c r="T883" s="72" t="n"/>
      <c r="U883" s="73" t="n"/>
      <c r="V883" s="74" t="n"/>
      <c r="W883" s="74" t="n"/>
      <c r="X883" s="74" t="n"/>
      <c r="Y883" s="72" t="n"/>
      <c r="Z883" s="74" t="n"/>
      <c r="AA883" s="74" t="n"/>
      <c r="AB883" s="74" t="n"/>
      <c r="AC883" s="74" t="n"/>
      <c r="AD883" s="73" t="n"/>
      <c r="AE883" s="75">
        <f>SUMIFS([1]инфо!$D$15:$D$28,[1]инфо!$A$15:$A$28,F883)</f>
        <v/>
      </c>
      <c r="AF883" s="62">
        <f>IF(H883=0,0,N883/H883)</f>
        <v/>
      </c>
      <c r="AG883" s="76">
        <f>AF883-AE883</f>
        <v/>
      </c>
      <c r="AH883" s="75">
        <f>SUMIFS([1]инфо!$E$15:$E$28,[1]инфо!$A$15:$A$28,F883)</f>
        <v/>
      </c>
      <c r="AI883" s="64">
        <f>IF(H883=0,0,S883/H883)</f>
        <v/>
      </c>
      <c r="AJ883" s="76">
        <f>AI883-AH883</f>
        <v/>
      </c>
      <c r="AK883" s="75">
        <f>SUMIFS([1]инфо!$F$15:$F$28,[1]инфо!$A$15:$A$28,F883)</f>
        <v/>
      </c>
      <c r="AL883" s="64">
        <f>IF(H883=0,0,Y883/H883)</f>
        <v/>
      </c>
      <c r="AM883" s="76">
        <f>AL883-AK883</f>
        <v/>
      </c>
      <c r="AN883" s="75">
        <f>SUMIFS([1]инфо!$G$15:$G$28,[1]инфо!$A$15:$A$28,F883)</f>
        <v/>
      </c>
      <c r="AO883" s="64">
        <f>IF(H883=0,0,AA883/H883)</f>
        <v/>
      </c>
      <c r="AP883" s="76">
        <f>AO883-AN883</f>
        <v/>
      </c>
      <c r="AQ883" s="75">
        <f>SUMIFS([1]инфо!$H$15:$H$28,[1]инфо!$A$15:$A$28,F883)</f>
        <v/>
      </c>
      <c r="AR883" s="64">
        <f>IF(H882=0,0,AC883/H882)</f>
        <v/>
      </c>
      <c r="AS883" s="76">
        <f>AR883-AQ883</f>
        <v/>
      </c>
      <c r="AT883" s="75">
        <f>SUMIFS([1]инфо!$I$15:$I$28,[1]инфо!$A$15:$A$28,F883)</f>
        <v/>
      </c>
      <c r="AU883" s="62">
        <f>IF(H883=0,0,AD883/H883)</f>
        <v/>
      </c>
      <c r="AV883" s="76">
        <f>AU883-AT883</f>
        <v/>
      </c>
      <c r="AX883" s="70">
        <f>SUMIFS([1]инфо!$C$15:$C$28,[1]инфо!$A$15:$A$28,F883)*H882</f>
        <v/>
      </c>
    </row>
    <row r="884">
      <c r="A884" s="71">
        <f>A882+1</f>
        <v/>
      </c>
      <c r="B884" s="90" t="n"/>
      <c r="C884" s="52" t="n"/>
      <c r="D884" s="53" t="n"/>
      <c r="E884" s="91" t="n"/>
      <c r="F884" s="67" t="n"/>
      <c r="G884" s="58" t="n"/>
      <c r="H884" s="55" t="n"/>
      <c r="I884" s="55" t="n"/>
      <c r="J884" s="55" t="n"/>
      <c r="K884" s="55" t="n"/>
      <c r="L884" s="55" t="n"/>
      <c r="M884" s="55" t="n"/>
      <c r="N884" s="55" t="n"/>
      <c r="O884" s="58" t="n"/>
      <c r="P884" s="58" t="n"/>
      <c r="Q884" s="58" t="n"/>
      <c r="R884" s="58" t="n"/>
      <c r="S884" s="59">
        <f>SUM(O884:R884)</f>
        <v/>
      </c>
      <c r="T884" s="52" t="n"/>
      <c r="U884" s="53" t="n"/>
      <c r="V884" s="58" t="n"/>
      <c r="W884" s="58" t="n"/>
      <c r="X884" s="58" t="n"/>
      <c r="Y884" s="52" t="n"/>
      <c r="Z884" s="58" t="n"/>
      <c r="AA884" s="58" t="n"/>
      <c r="AB884" s="58" t="n"/>
      <c r="AC884" s="58" t="n"/>
      <c r="AD884" s="53" t="n"/>
      <c r="AE884" s="61">
        <f>SUMIFS([1]инфо!$D$15:$D$28,[1]инфо!$A$15:$A$28,F884)</f>
        <v/>
      </c>
      <c r="AF884" s="62">
        <f>IF(H884=0,0,N884/H884)</f>
        <v/>
      </c>
      <c r="AG884" s="63">
        <f>AF884-AE884</f>
        <v/>
      </c>
      <c r="AH884" s="61">
        <f>SUMIFS([1]инфо!$E$15:$E$28,[1]инфо!$A$15:$A$28,F884)</f>
        <v/>
      </c>
      <c r="AI884" s="64">
        <f>IF(H884=0,0,S884/H884)</f>
        <v/>
      </c>
      <c r="AJ884" s="63">
        <f>AI884-AH884</f>
        <v/>
      </c>
      <c r="AK884" s="61">
        <f>SUMIFS([1]инфо!$F$15:$F$28,[1]инфо!$A$15:$A$28,F884)</f>
        <v/>
      </c>
      <c r="AL884" s="64">
        <f>IF(H884=0,0,Y884/H884)</f>
        <v/>
      </c>
      <c r="AM884" s="63">
        <f>AL884-AK884</f>
        <v/>
      </c>
      <c r="AN884" s="61">
        <f>SUMIFS([1]инфо!$G$15:$G$28,[1]инфо!$A$15:$A$28,F884)</f>
        <v/>
      </c>
      <c r="AO884" s="64">
        <f>IF(H884=0,0,AA884/H884)</f>
        <v/>
      </c>
      <c r="AP884" s="63">
        <f>AO884-AN884</f>
        <v/>
      </c>
      <c r="AQ884" s="61">
        <f>SUMIFS([1]инфо!$H$15:$H$28,[1]инфо!$A$15:$A$28,F884)</f>
        <v/>
      </c>
      <c r="AR884" s="62">
        <f>IF(H883=0,0,AC884/H883)</f>
        <v/>
      </c>
      <c r="AS884" s="63">
        <f>AR884-AQ884</f>
        <v/>
      </c>
      <c r="AT884" s="61">
        <f>SUMIFS([1]инфо!$I$15:$I$28,[1]инфо!$A$15:$A$28,F884)</f>
        <v/>
      </c>
      <c r="AU884" s="62">
        <f>IF(H884=0,0,AD884/H884)</f>
        <v/>
      </c>
      <c r="AV884" s="63">
        <f>AU884-AT884</f>
        <v/>
      </c>
      <c r="AX884" s="59">
        <f>SUMIFS([1]инфо!$C$15:$C$28,[1]инфо!$A$15:$A$28,F884)*H883</f>
        <v/>
      </c>
    </row>
    <row r="885">
      <c r="A885" s="71">
        <f>A883+1</f>
        <v/>
      </c>
      <c r="B885" s="90" t="n"/>
      <c r="C885" s="52" t="n"/>
      <c r="D885" s="53" t="n"/>
      <c r="E885" s="91" t="n"/>
      <c r="F885" s="67" t="n"/>
      <c r="G885" s="58" t="n"/>
      <c r="H885" s="56" t="n"/>
      <c r="I885" s="55" t="n"/>
      <c r="J885" s="55" t="n"/>
      <c r="K885" s="55" t="n"/>
      <c r="L885" s="55" t="n"/>
      <c r="M885" s="55" t="n"/>
      <c r="N885" s="55" t="n"/>
      <c r="O885" s="58" t="n"/>
      <c r="P885" s="58" t="n"/>
      <c r="Q885" s="58" t="n"/>
      <c r="R885" s="58" t="n"/>
      <c r="S885" s="59">
        <f>SUM(O885:R885)</f>
        <v/>
      </c>
      <c r="T885" s="52" t="n"/>
      <c r="U885" s="53" t="n"/>
      <c r="V885" s="58" t="n"/>
      <c r="W885" s="58" t="n"/>
      <c r="X885" s="58" t="n"/>
      <c r="Y885" s="52" t="n"/>
      <c r="Z885" s="58" t="n"/>
      <c r="AA885" s="58" t="n"/>
      <c r="AB885" s="58" t="n"/>
      <c r="AC885" s="58" t="n"/>
      <c r="AD885" s="53" t="n"/>
      <c r="AE885" s="61">
        <f>SUMIFS([1]инфо!$D$15:$D$28,[1]инфо!$A$15:$A$28,F885)</f>
        <v/>
      </c>
      <c r="AF885" s="62">
        <f>IF(H885=0,0,N885/H885)</f>
        <v/>
      </c>
      <c r="AG885" s="63">
        <f>AF885-AE885</f>
        <v/>
      </c>
      <c r="AH885" s="61">
        <f>SUMIFS([1]инфо!$E$15:$E$28,[1]инфо!$A$15:$A$28,F885)</f>
        <v/>
      </c>
      <c r="AI885" s="64">
        <f>IF(H885=0,0,S885/H885)</f>
        <v/>
      </c>
      <c r="AJ885" s="63">
        <f>AI885-AH885</f>
        <v/>
      </c>
      <c r="AK885" s="61">
        <f>SUMIFS([1]инфо!$F$15:$F$28,[1]инфо!$A$15:$A$28,F885)</f>
        <v/>
      </c>
      <c r="AL885" s="64">
        <f>IF(H885=0,0,Y885/H885)</f>
        <v/>
      </c>
      <c r="AM885" s="63">
        <f>AL885-AK885</f>
        <v/>
      </c>
      <c r="AN885" s="61">
        <f>SUMIFS([1]инфо!$G$15:$G$28,[1]инфо!$A$15:$A$28,F885)</f>
        <v/>
      </c>
      <c r="AO885" s="64">
        <f>IF(H885=0,0,AA885/H885)</f>
        <v/>
      </c>
      <c r="AP885" s="63">
        <f>AO885-AN885</f>
        <v/>
      </c>
      <c r="AQ885" s="61">
        <f>SUMIFS([1]инфо!$H$15:$H$28,[1]инфо!$A$15:$A$28,F885)</f>
        <v/>
      </c>
      <c r="AR885" s="62">
        <f>IF(H884=0,0,AC885/H884)</f>
        <v/>
      </c>
      <c r="AS885" s="63">
        <f>AR885-AQ885</f>
        <v/>
      </c>
      <c r="AT885" s="61">
        <f>SUMIFS([1]инфо!$I$15:$I$28,[1]инфо!$A$15:$A$28,F885)</f>
        <v/>
      </c>
      <c r="AU885" s="62">
        <f>IF(H885=0,0,AD885/H885)</f>
        <v/>
      </c>
      <c r="AV885" s="63">
        <f>AU885-AT885</f>
        <v/>
      </c>
      <c r="AX885" s="59">
        <f>SUMIFS([1]инфо!$C$15:$C$28,[1]инфо!$A$15:$A$28,F885)*H884</f>
        <v/>
      </c>
    </row>
    <row r="886">
      <c r="A886" s="71">
        <f>A884+1</f>
        <v/>
      </c>
      <c r="B886" s="88" t="n"/>
      <c r="C886" s="77" t="n"/>
      <c r="D886" s="78" t="n"/>
      <c r="E886" s="91" t="n"/>
      <c r="F886" s="67" t="n"/>
      <c r="G886" s="79" t="n"/>
      <c r="H886" s="67" t="n"/>
      <c r="I886" s="55" t="n"/>
      <c r="J886" s="55" t="n"/>
      <c r="K886" s="55" t="n"/>
      <c r="L886" s="55" t="n"/>
      <c r="M886" s="55" t="n"/>
      <c r="N886" s="56" t="n"/>
      <c r="O886" s="79" t="n"/>
      <c r="P886" s="79" t="n"/>
      <c r="Q886" s="79" t="n"/>
      <c r="R886" s="79" t="n"/>
      <c r="S886" s="80">
        <f>SUM(O886:R886)</f>
        <v/>
      </c>
      <c r="T886" s="77" t="n"/>
      <c r="U886" s="78" t="n"/>
      <c r="V886" s="79" t="n"/>
      <c r="W886" s="79" t="n"/>
      <c r="X886" s="79" t="n"/>
      <c r="Y886" s="77" t="n"/>
      <c r="Z886" s="79" t="n"/>
      <c r="AA886" s="79" t="n"/>
      <c r="AB886" s="79" t="n"/>
      <c r="AC886" s="79" t="n"/>
      <c r="AD886" s="78" t="n"/>
      <c r="AE886" s="81">
        <f>SUMIFS([1]инфо!$D$15:$D$28,[1]инфо!$A$15:$A$28,F886)</f>
        <v/>
      </c>
      <c r="AF886" s="62">
        <f>IF(H886=0,0,N886/H886)</f>
        <v/>
      </c>
      <c r="AG886" s="82">
        <f>AF886-AE886</f>
        <v/>
      </c>
      <c r="AH886" s="81">
        <f>SUMIFS([1]инфо!$E$15:$E$28,[1]инфо!$A$15:$A$28,F886)</f>
        <v/>
      </c>
      <c r="AI886" s="64">
        <f>IF(H886=0,0,S886/H886)</f>
        <v/>
      </c>
      <c r="AJ886" s="82">
        <f>AI886-AH886</f>
        <v/>
      </c>
      <c r="AK886" s="81">
        <f>SUMIFS([1]инфо!$F$15:$F$28,[1]инфо!$A$15:$A$28,F886)</f>
        <v/>
      </c>
      <c r="AL886" s="64">
        <f>IF(H886=0,0,Y886/H886)</f>
        <v/>
      </c>
      <c r="AM886" s="82">
        <f>AL886-AK886</f>
        <v/>
      </c>
      <c r="AN886" s="81">
        <f>SUMIFS([1]инфо!$G$15:$G$28,[1]инфо!$A$15:$A$28,F886)</f>
        <v/>
      </c>
      <c r="AO886" s="64">
        <f>IF(H886=0,0,AA886/H886)</f>
        <v/>
      </c>
      <c r="AP886" s="82">
        <f>AO886-AN886</f>
        <v/>
      </c>
      <c r="AQ886" s="81">
        <f>SUMIFS([1]инфо!$H$15:$H$28,[1]инфо!$A$15:$A$28,F886)</f>
        <v/>
      </c>
      <c r="AR886" s="85">
        <f>IF(H885=0,0,AC886/H885)</f>
        <v/>
      </c>
      <c r="AS886" s="82">
        <f>AR886-AQ886</f>
        <v/>
      </c>
      <c r="AT886" s="81">
        <f>SUMIFS([1]инфо!$I$15:$I$28,[1]инфо!$A$15:$A$28,F886)</f>
        <v/>
      </c>
      <c r="AU886" s="62">
        <f>IF(H886=0,0,AD886/H886)</f>
        <v/>
      </c>
      <c r="AV886" s="82">
        <f>AU886-AT886</f>
        <v/>
      </c>
      <c r="AX886" s="80">
        <f>SUMIFS([1]инфо!$C$15:$C$28,[1]инфо!$A$15:$A$28,F886)*H885</f>
        <v/>
      </c>
    </row>
    <row r="887">
      <c r="A887" s="71">
        <f>A885+1</f>
        <v/>
      </c>
      <c r="B887" s="89" t="n"/>
      <c r="C887" s="72" t="n"/>
      <c r="D887" s="73" t="n"/>
      <c r="E887" s="91" t="n"/>
      <c r="F887" s="67" t="n"/>
      <c r="G887" s="74" t="n"/>
      <c r="H887" s="55" t="n"/>
      <c r="I887" s="55" t="n"/>
      <c r="J887" s="55" t="n"/>
      <c r="K887" s="55" t="n"/>
      <c r="L887" s="55" t="n"/>
      <c r="M887" s="55" t="n"/>
      <c r="N887" s="67" t="n"/>
      <c r="O887" s="74" t="n"/>
      <c r="P887" s="74" t="n"/>
      <c r="Q887" s="74" t="n"/>
      <c r="R887" s="74" t="n"/>
      <c r="S887" s="70">
        <f>SUM(O887:R887)</f>
        <v/>
      </c>
      <c r="T887" s="72" t="n"/>
      <c r="U887" s="73" t="n"/>
      <c r="V887" s="74" t="n"/>
      <c r="W887" s="74" t="n"/>
      <c r="X887" s="74" t="n"/>
      <c r="Y887" s="72" t="n"/>
      <c r="Z887" s="74" t="n"/>
      <c r="AA887" s="74" t="n"/>
      <c r="AB887" s="74" t="n"/>
      <c r="AC887" s="74" t="n"/>
      <c r="AD887" s="73" t="n"/>
      <c r="AE887" s="75">
        <f>SUMIFS([1]инфо!$D$15:$D$28,[1]инфо!$A$15:$A$28,F887)</f>
        <v/>
      </c>
      <c r="AF887" s="62">
        <f>IF(H887=0,0,N887/H887)</f>
        <v/>
      </c>
      <c r="AG887" s="76">
        <f>AF887-AE887</f>
        <v/>
      </c>
      <c r="AH887" s="75">
        <f>SUMIFS([1]инфо!$E$15:$E$28,[1]инфо!$A$15:$A$28,F887)</f>
        <v/>
      </c>
      <c r="AI887" s="64">
        <f>IF(H887=0,0,S887/H887)</f>
        <v/>
      </c>
      <c r="AJ887" s="76">
        <f>AI887-AH887</f>
        <v/>
      </c>
      <c r="AK887" s="75">
        <f>SUMIFS([1]инфо!$F$15:$F$28,[1]инфо!$A$15:$A$28,F887)</f>
        <v/>
      </c>
      <c r="AL887" s="64">
        <f>IF(H887=0,0,Y887/H887)</f>
        <v/>
      </c>
      <c r="AM887" s="76">
        <f>AL887-AK887</f>
        <v/>
      </c>
      <c r="AN887" s="75">
        <f>SUMIFS([1]инфо!$G$15:$G$28,[1]инфо!$A$15:$A$28,F887)</f>
        <v/>
      </c>
      <c r="AO887" s="64">
        <f>IF(H887=0,0,AA887/H887)</f>
        <v/>
      </c>
      <c r="AP887" s="76">
        <f>AO887-AN887</f>
        <v/>
      </c>
      <c r="AQ887" s="75">
        <f>SUMIFS([1]инфо!$H$15:$H$28,[1]инфо!$A$15:$A$28,F887)</f>
        <v/>
      </c>
      <c r="AR887" s="64">
        <f>IF(H886=0,0,AC887/H886)</f>
        <v/>
      </c>
      <c r="AS887" s="76">
        <f>AR887-AQ887</f>
        <v/>
      </c>
      <c r="AT887" s="75">
        <f>SUMIFS([1]инфо!$I$15:$I$28,[1]инфо!$A$15:$A$28,F887)</f>
        <v/>
      </c>
      <c r="AU887" s="62">
        <f>IF(H887=0,0,AD887/H887)</f>
        <v/>
      </c>
      <c r="AV887" s="76">
        <f>AU887-AT887</f>
        <v/>
      </c>
      <c r="AX887" s="70">
        <f>SUMIFS([1]инфо!$C$15:$C$28,[1]инфо!$A$15:$A$28,F887)*H886</f>
        <v/>
      </c>
    </row>
    <row r="888">
      <c r="A888" s="71">
        <f>A886+1</f>
        <v/>
      </c>
      <c r="B888" s="90" t="n"/>
      <c r="C888" s="52" t="n"/>
      <c r="D888" s="53" t="n"/>
      <c r="E888" s="91" t="n"/>
      <c r="F888" s="67" t="n"/>
      <c r="G888" s="58" t="n"/>
      <c r="H888" s="55" t="n"/>
      <c r="I888" s="55" t="n"/>
      <c r="J888" s="55" t="n"/>
      <c r="K888" s="55" t="n"/>
      <c r="L888" s="55" t="n"/>
      <c r="M888" s="55" t="n"/>
      <c r="N888" s="55" t="n"/>
      <c r="O888" s="58" t="n"/>
      <c r="P888" s="58" t="n"/>
      <c r="Q888" s="58" t="n"/>
      <c r="R888" s="58" t="n"/>
      <c r="S888" s="59">
        <f>SUM(O888:R888)</f>
        <v/>
      </c>
      <c r="T888" s="52" t="n"/>
      <c r="U888" s="53" t="n"/>
      <c r="V888" s="58" t="n"/>
      <c r="W888" s="58" t="n"/>
      <c r="X888" s="58" t="n"/>
      <c r="Y888" s="52" t="n"/>
      <c r="Z888" s="58" t="n"/>
      <c r="AA888" s="58" t="n"/>
      <c r="AB888" s="58" t="n"/>
      <c r="AC888" s="58" t="n"/>
      <c r="AD888" s="53" t="n"/>
      <c r="AE888" s="61">
        <f>SUMIFS([1]инфо!$D$15:$D$28,[1]инфо!$A$15:$A$28,F888)</f>
        <v/>
      </c>
      <c r="AF888" s="62">
        <f>IF(H888=0,0,N888/H888)</f>
        <v/>
      </c>
      <c r="AG888" s="63">
        <f>AF888-AE888</f>
        <v/>
      </c>
      <c r="AH888" s="61">
        <f>SUMIFS([1]инфо!$E$15:$E$28,[1]инфо!$A$15:$A$28,F888)</f>
        <v/>
      </c>
      <c r="AI888" s="64">
        <f>IF(H888=0,0,S888/H888)</f>
        <v/>
      </c>
      <c r="AJ888" s="63">
        <f>AI888-AH888</f>
        <v/>
      </c>
      <c r="AK888" s="61">
        <f>SUMIFS([1]инфо!$F$15:$F$28,[1]инфо!$A$15:$A$28,F888)</f>
        <v/>
      </c>
      <c r="AL888" s="64">
        <f>IF(H888=0,0,Y888/H888)</f>
        <v/>
      </c>
      <c r="AM888" s="63">
        <f>AL888-AK888</f>
        <v/>
      </c>
      <c r="AN888" s="61">
        <f>SUMIFS([1]инфо!$G$15:$G$28,[1]инфо!$A$15:$A$28,F888)</f>
        <v/>
      </c>
      <c r="AO888" s="64">
        <f>IF(H888=0,0,AA888/H888)</f>
        <v/>
      </c>
      <c r="AP888" s="63">
        <f>AO888-AN888</f>
        <v/>
      </c>
      <c r="AQ888" s="61">
        <f>SUMIFS([1]инфо!$H$15:$H$28,[1]инфо!$A$15:$A$28,F888)</f>
        <v/>
      </c>
      <c r="AR888" s="62">
        <f>IF(H887=0,0,AC888/H887)</f>
        <v/>
      </c>
      <c r="AS888" s="63">
        <f>AR888-AQ888</f>
        <v/>
      </c>
      <c r="AT888" s="61">
        <f>SUMIFS([1]инфо!$I$15:$I$28,[1]инфо!$A$15:$A$28,F888)</f>
        <v/>
      </c>
      <c r="AU888" s="62">
        <f>IF(H888=0,0,AD888/H888)</f>
        <v/>
      </c>
      <c r="AV888" s="63">
        <f>AU888-AT888</f>
        <v/>
      </c>
      <c r="AX888" s="59">
        <f>SUMIFS([1]инфо!$C$15:$C$28,[1]инфо!$A$15:$A$28,F888)*H887</f>
        <v/>
      </c>
    </row>
    <row r="889">
      <c r="A889" s="71">
        <f>A887+1</f>
        <v/>
      </c>
      <c r="B889" s="90" t="n"/>
      <c r="C889" s="52" t="n"/>
      <c r="D889" s="53" t="n"/>
      <c r="E889" s="91" t="n"/>
      <c r="F889" s="67" t="n"/>
      <c r="G889" s="58" t="n"/>
      <c r="H889" s="56" t="n"/>
      <c r="I889" s="55" t="n"/>
      <c r="J889" s="55" t="n"/>
      <c r="K889" s="55" t="n"/>
      <c r="L889" s="55" t="n"/>
      <c r="M889" s="55" t="n"/>
      <c r="N889" s="55" t="n"/>
      <c r="O889" s="58" t="n"/>
      <c r="P889" s="58" t="n"/>
      <c r="Q889" s="58" t="n"/>
      <c r="R889" s="58" t="n"/>
      <c r="S889" s="59">
        <f>SUM(O889:R889)</f>
        <v/>
      </c>
      <c r="T889" s="52" t="n"/>
      <c r="U889" s="53" t="n"/>
      <c r="V889" s="58" t="n"/>
      <c r="W889" s="58" t="n"/>
      <c r="X889" s="58" t="n"/>
      <c r="Y889" s="52" t="n"/>
      <c r="Z889" s="58" t="n"/>
      <c r="AA889" s="58" t="n"/>
      <c r="AB889" s="58" t="n"/>
      <c r="AC889" s="58" t="n"/>
      <c r="AD889" s="53" t="n"/>
      <c r="AE889" s="61">
        <f>SUMIFS([1]инфо!$D$15:$D$28,[1]инфо!$A$15:$A$28,F889)</f>
        <v/>
      </c>
      <c r="AF889" s="62">
        <f>IF(H889=0,0,N889/H889)</f>
        <v/>
      </c>
      <c r="AG889" s="63">
        <f>AF889-AE889</f>
        <v/>
      </c>
      <c r="AH889" s="61">
        <f>SUMIFS([1]инфо!$E$15:$E$28,[1]инфо!$A$15:$A$28,F889)</f>
        <v/>
      </c>
      <c r="AI889" s="64">
        <f>IF(H889=0,0,S889/H889)</f>
        <v/>
      </c>
      <c r="AJ889" s="63">
        <f>AI889-AH889</f>
        <v/>
      </c>
      <c r="AK889" s="61">
        <f>SUMIFS([1]инфо!$F$15:$F$28,[1]инфо!$A$15:$A$28,F889)</f>
        <v/>
      </c>
      <c r="AL889" s="64">
        <f>IF(H889=0,0,Y889/H889)</f>
        <v/>
      </c>
      <c r="AM889" s="63">
        <f>AL889-AK889</f>
        <v/>
      </c>
      <c r="AN889" s="61">
        <f>SUMIFS([1]инфо!$G$15:$G$28,[1]инфо!$A$15:$A$28,F889)</f>
        <v/>
      </c>
      <c r="AO889" s="64">
        <f>IF(H889=0,0,AA889/H889)</f>
        <v/>
      </c>
      <c r="AP889" s="63">
        <f>AO889-AN889</f>
        <v/>
      </c>
      <c r="AQ889" s="61">
        <f>SUMIFS([1]инфо!$H$15:$H$28,[1]инфо!$A$15:$A$28,F889)</f>
        <v/>
      </c>
      <c r="AR889" s="62">
        <f>IF(H888=0,0,AC889/H888)</f>
        <v/>
      </c>
      <c r="AS889" s="63">
        <f>AR889-AQ889</f>
        <v/>
      </c>
      <c r="AT889" s="61">
        <f>SUMIFS([1]инфо!$I$15:$I$28,[1]инфо!$A$15:$A$28,F889)</f>
        <v/>
      </c>
      <c r="AU889" s="62">
        <f>IF(H889=0,0,AD889/H889)</f>
        <v/>
      </c>
      <c r="AV889" s="63">
        <f>AU889-AT889</f>
        <v/>
      </c>
      <c r="AX889" s="59">
        <f>SUMIFS([1]инфо!$C$15:$C$28,[1]инфо!$A$15:$A$28,F889)*H888</f>
        <v/>
      </c>
    </row>
    <row r="890">
      <c r="A890" s="71">
        <f>A888+1</f>
        <v/>
      </c>
      <c r="B890" s="88" t="n"/>
      <c r="C890" s="77" t="n"/>
      <c r="D890" s="78" t="n"/>
      <c r="E890" s="91" t="n"/>
      <c r="F890" s="67" t="n"/>
      <c r="G890" s="79" t="n"/>
      <c r="H890" s="67" t="n"/>
      <c r="I890" s="55" t="n"/>
      <c r="J890" s="55" t="n"/>
      <c r="K890" s="55" t="n"/>
      <c r="L890" s="55" t="n"/>
      <c r="M890" s="55" t="n"/>
      <c r="N890" s="56" t="n"/>
      <c r="O890" s="79" t="n"/>
      <c r="P890" s="79" t="n"/>
      <c r="Q890" s="79" t="n"/>
      <c r="R890" s="79" t="n"/>
      <c r="S890" s="80">
        <f>SUM(O890:R890)</f>
        <v/>
      </c>
      <c r="T890" s="77" t="n"/>
      <c r="U890" s="78" t="n"/>
      <c r="V890" s="79" t="n"/>
      <c r="W890" s="79" t="n"/>
      <c r="X890" s="79" t="n"/>
      <c r="Y890" s="77" t="n"/>
      <c r="Z890" s="79" t="n"/>
      <c r="AA890" s="79" t="n"/>
      <c r="AB890" s="79" t="n"/>
      <c r="AC890" s="79" t="n"/>
      <c r="AD890" s="78" t="n"/>
      <c r="AE890" s="81">
        <f>SUMIFS([1]инфо!$D$15:$D$28,[1]инфо!$A$15:$A$28,F890)</f>
        <v/>
      </c>
      <c r="AF890" s="62">
        <f>IF(H890=0,0,N890/H890)</f>
        <v/>
      </c>
      <c r="AG890" s="82">
        <f>AF890-AE890</f>
        <v/>
      </c>
      <c r="AH890" s="81">
        <f>SUMIFS([1]инфо!$E$15:$E$28,[1]инфо!$A$15:$A$28,F890)</f>
        <v/>
      </c>
      <c r="AI890" s="64">
        <f>IF(H890=0,0,S890/H890)</f>
        <v/>
      </c>
      <c r="AJ890" s="82">
        <f>AI890-AH890</f>
        <v/>
      </c>
      <c r="AK890" s="81">
        <f>SUMIFS([1]инфо!$F$15:$F$28,[1]инфо!$A$15:$A$28,F890)</f>
        <v/>
      </c>
      <c r="AL890" s="64">
        <f>IF(H890=0,0,Y890/H890)</f>
        <v/>
      </c>
      <c r="AM890" s="82">
        <f>AL890-AK890</f>
        <v/>
      </c>
      <c r="AN890" s="81">
        <f>SUMIFS([1]инфо!$G$15:$G$28,[1]инфо!$A$15:$A$28,F890)</f>
        <v/>
      </c>
      <c r="AO890" s="64">
        <f>IF(H890=0,0,AA890/H890)</f>
        <v/>
      </c>
      <c r="AP890" s="82">
        <f>AO890-AN890</f>
        <v/>
      </c>
      <c r="AQ890" s="81">
        <f>SUMIFS([1]инфо!$H$15:$H$28,[1]инфо!$A$15:$A$28,F890)</f>
        <v/>
      </c>
      <c r="AR890" s="85">
        <f>IF(H889=0,0,AC890/H889)</f>
        <v/>
      </c>
      <c r="AS890" s="82">
        <f>AR890-AQ890</f>
        <v/>
      </c>
      <c r="AT890" s="81">
        <f>SUMIFS([1]инфо!$I$15:$I$28,[1]инфо!$A$15:$A$28,F890)</f>
        <v/>
      </c>
      <c r="AU890" s="62">
        <f>IF(H890=0,0,AD890/H890)</f>
        <v/>
      </c>
      <c r="AV890" s="82">
        <f>AU890-AT890</f>
        <v/>
      </c>
      <c r="AX890" s="80">
        <f>SUMIFS([1]инфо!$C$15:$C$28,[1]инфо!$A$15:$A$28,F890)*H889</f>
        <v/>
      </c>
    </row>
    <row r="891">
      <c r="A891" s="71">
        <f>A889+1</f>
        <v/>
      </c>
      <c r="B891" s="89" t="n"/>
      <c r="C891" s="72" t="n"/>
      <c r="D891" s="73" t="n"/>
      <c r="E891" s="91" t="n"/>
      <c r="F891" s="67" t="n"/>
      <c r="G891" s="74" t="n"/>
      <c r="H891" s="55" t="n"/>
      <c r="I891" s="55" t="n"/>
      <c r="J891" s="55" t="n"/>
      <c r="K891" s="55" t="n"/>
      <c r="L891" s="55" t="n"/>
      <c r="M891" s="55" t="n"/>
      <c r="N891" s="67" t="n"/>
      <c r="O891" s="74" t="n"/>
      <c r="P891" s="74" t="n"/>
      <c r="Q891" s="74" t="n"/>
      <c r="R891" s="74" t="n"/>
      <c r="S891" s="70">
        <f>SUM(O891:R891)</f>
        <v/>
      </c>
      <c r="T891" s="72" t="n"/>
      <c r="U891" s="73" t="n"/>
      <c r="V891" s="74" t="n"/>
      <c r="W891" s="74" t="n"/>
      <c r="X891" s="74" t="n"/>
      <c r="Y891" s="72" t="n"/>
      <c r="Z891" s="74" t="n"/>
      <c r="AA891" s="74" t="n"/>
      <c r="AB891" s="74" t="n"/>
      <c r="AC891" s="74" t="n"/>
      <c r="AD891" s="73" t="n"/>
      <c r="AE891" s="75">
        <f>SUMIFS([1]инфо!$D$15:$D$28,[1]инфо!$A$15:$A$28,F891)</f>
        <v/>
      </c>
      <c r="AF891" s="62">
        <f>IF(H891=0,0,N891/H891)</f>
        <v/>
      </c>
      <c r="AG891" s="76">
        <f>AF891-AE891</f>
        <v/>
      </c>
      <c r="AH891" s="75">
        <f>SUMIFS([1]инфо!$E$15:$E$28,[1]инфо!$A$15:$A$28,F891)</f>
        <v/>
      </c>
      <c r="AI891" s="64">
        <f>IF(H891=0,0,S891/H891)</f>
        <v/>
      </c>
      <c r="AJ891" s="76">
        <f>AI891-AH891</f>
        <v/>
      </c>
      <c r="AK891" s="75">
        <f>SUMIFS([1]инфо!$F$15:$F$28,[1]инфо!$A$15:$A$28,F891)</f>
        <v/>
      </c>
      <c r="AL891" s="64">
        <f>IF(H891=0,0,Y891/H891)</f>
        <v/>
      </c>
      <c r="AM891" s="76">
        <f>AL891-AK891</f>
        <v/>
      </c>
      <c r="AN891" s="75">
        <f>SUMIFS([1]инфо!$G$15:$G$28,[1]инфо!$A$15:$A$28,F891)</f>
        <v/>
      </c>
      <c r="AO891" s="64">
        <f>IF(H891=0,0,AA891/H891)</f>
        <v/>
      </c>
      <c r="AP891" s="76">
        <f>AO891-AN891</f>
        <v/>
      </c>
      <c r="AQ891" s="75">
        <f>SUMIFS([1]инфо!$H$15:$H$28,[1]инфо!$A$15:$A$28,F891)</f>
        <v/>
      </c>
      <c r="AR891" s="64">
        <f>IF(H890=0,0,AC891/H890)</f>
        <v/>
      </c>
      <c r="AS891" s="76">
        <f>AR891-AQ891</f>
        <v/>
      </c>
      <c r="AT891" s="75">
        <f>SUMIFS([1]инфо!$I$15:$I$28,[1]инфо!$A$15:$A$28,F891)</f>
        <v/>
      </c>
      <c r="AU891" s="62">
        <f>IF(H891=0,0,AD891/H891)</f>
        <v/>
      </c>
      <c r="AV891" s="76">
        <f>AU891-AT891</f>
        <v/>
      </c>
      <c r="AX891" s="70">
        <f>SUMIFS([1]инфо!$C$15:$C$28,[1]инфо!$A$15:$A$28,F891)*H890</f>
        <v/>
      </c>
    </row>
    <row r="892">
      <c r="A892" s="71">
        <f>A890+1</f>
        <v/>
      </c>
      <c r="B892" s="90" t="n"/>
      <c r="C892" s="52" t="n"/>
      <c r="D892" s="53" t="n"/>
      <c r="E892" s="91" t="n"/>
      <c r="F892" s="67" t="n"/>
      <c r="G892" s="58" t="n"/>
      <c r="H892" s="55" t="n"/>
      <c r="I892" s="55" t="n"/>
      <c r="J892" s="55" t="n"/>
      <c r="K892" s="55" t="n"/>
      <c r="L892" s="55" t="n"/>
      <c r="M892" s="55" t="n"/>
      <c r="N892" s="55" t="n"/>
      <c r="O892" s="58" t="n"/>
      <c r="P892" s="58" t="n"/>
      <c r="Q892" s="58" t="n"/>
      <c r="R892" s="58" t="n"/>
      <c r="S892" s="59">
        <f>SUM(O892:R892)</f>
        <v/>
      </c>
      <c r="T892" s="52" t="n"/>
      <c r="U892" s="53" t="n"/>
      <c r="V892" s="58" t="n"/>
      <c r="W892" s="58" t="n"/>
      <c r="X892" s="58" t="n"/>
      <c r="Y892" s="52" t="n"/>
      <c r="Z892" s="58" t="n"/>
      <c r="AA892" s="58" t="n"/>
      <c r="AB892" s="58" t="n"/>
      <c r="AC892" s="58" t="n"/>
      <c r="AD892" s="53" t="n"/>
      <c r="AE892" s="61">
        <f>SUMIFS([1]инфо!$D$15:$D$28,[1]инфо!$A$15:$A$28,F892)</f>
        <v/>
      </c>
      <c r="AF892" s="62">
        <f>IF(H892=0,0,N892/H892)</f>
        <v/>
      </c>
      <c r="AG892" s="63">
        <f>AF892-AE892</f>
        <v/>
      </c>
      <c r="AH892" s="61">
        <f>SUMIFS([1]инфо!$E$15:$E$28,[1]инфо!$A$15:$A$28,F892)</f>
        <v/>
      </c>
      <c r="AI892" s="64">
        <f>IF(H892=0,0,S892/H892)</f>
        <v/>
      </c>
      <c r="AJ892" s="63">
        <f>AI892-AH892</f>
        <v/>
      </c>
      <c r="AK892" s="61">
        <f>SUMIFS([1]инфо!$F$15:$F$28,[1]инфо!$A$15:$A$28,F892)</f>
        <v/>
      </c>
      <c r="AL892" s="64">
        <f>IF(H892=0,0,Y892/H892)</f>
        <v/>
      </c>
      <c r="AM892" s="63">
        <f>AL892-AK892</f>
        <v/>
      </c>
      <c r="AN892" s="61">
        <f>SUMIFS([1]инфо!$G$15:$G$28,[1]инфо!$A$15:$A$28,F892)</f>
        <v/>
      </c>
      <c r="AO892" s="64">
        <f>IF(H892=0,0,AA892/H892)</f>
        <v/>
      </c>
      <c r="AP892" s="63">
        <f>AO892-AN892</f>
        <v/>
      </c>
      <c r="AQ892" s="61">
        <f>SUMIFS([1]инфо!$H$15:$H$28,[1]инфо!$A$15:$A$28,F892)</f>
        <v/>
      </c>
      <c r="AR892" s="62">
        <f>IF(H891=0,0,AC892/H891)</f>
        <v/>
      </c>
      <c r="AS892" s="63">
        <f>AR892-AQ892</f>
        <v/>
      </c>
      <c r="AT892" s="61">
        <f>SUMIFS([1]инфо!$I$15:$I$28,[1]инфо!$A$15:$A$28,F892)</f>
        <v/>
      </c>
      <c r="AU892" s="62">
        <f>IF(H892=0,0,AD892/H892)</f>
        <v/>
      </c>
      <c r="AV892" s="63">
        <f>AU892-AT892</f>
        <v/>
      </c>
      <c r="AX892" s="59">
        <f>SUMIFS([1]инфо!$C$15:$C$28,[1]инфо!$A$15:$A$28,F892)*H891</f>
        <v/>
      </c>
    </row>
    <row r="893">
      <c r="A893" s="71">
        <f>A891+1</f>
        <v/>
      </c>
      <c r="B893" s="90" t="n"/>
      <c r="C893" s="52" t="n"/>
      <c r="D893" s="53" t="n"/>
      <c r="E893" s="91" t="n"/>
      <c r="F893" s="67" t="n"/>
      <c r="G893" s="58" t="n"/>
      <c r="H893" s="56" t="n"/>
      <c r="I893" s="55" t="n"/>
      <c r="J893" s="55" t="n"/>
      <c r="K893" s="55" t="n"/>
      <c r="L893" s="55" t="n"/>
      <c r="M893" s="55" t="n"/>
      <c r="N893" s="55" t="n"/>
      <c r="O893" s="58" t="n"/>
      <c r="P893" s="58" t="n"/>
      <c r="Q893" s="58" t="n"/>
      <c r="R893" s="58" t="n"/>
      <c r="S893" s="59">
        <f>SUM(O893:R893)</f>
        <v/>
      </c>
      <c r="T893" s="52" t="n"/>
      <c r="U893" s="53" t="n"/>
      <c r="V893" s="58" t="n"/>
      <c r="W893" s="58" t="n"/>
      <c r="X893" s="58" t="n"/>
      <c r="Y893" s="52" t="n"/>
      <c r="Z893" s="58" t="n"/>
      <c r="AA893" s="58" t="n"/>
      <c r="AB893" s="58" t="n"/>
      <c r="AC893" s="58" t="n"/>
      <c r="AD893" s="53" t="n"/>
      <c r="AE893" s="61">
        <f>SUMIFS([1]инфо!$D$15:$D$28,[1]инфо!$A$15:$A$28,F893)</f>
        <v/>
      </c>
      <c r="AF893" s="62">
        <f>IF(H893=0,0,N893/H893)</f>
        <v/>
      </c>
      <c r="AG893" s="63">
        <f>AF893-AE893</f>
        <v/>
      </c>
      <c r="AH893" s="61">
        <f>SUMIFS([1]инфо!$E$15:$E$28,[1]инфо!$A$15:$A$28,F893)</f>
        <v/>
      </c>
      <c r="AI893" s="64">
        <f>IF(H893=0,0,S893/H893)</f>
        <v/>
      </c>
      <c r="AJ893" s="63">
        <f>AI893-AH893</f>
        <v/>
      </c>
      <c r="AK893" s="61">
        <f>SUMIFS([1]инфо!$F$15:$F$28,[1]инфо!$A$15:$A$28,F893)</f>
        <v/>
      </c>
      <c r="AL893" s="64">
        <f>IF(H893=0,0,Y893/H893)</f>
        <v/>
      </c>
      <c r="AM893" s="63">
        <f>AL893-AK893</f>
        <v/>
      </c>
      <c r="AN893" s="61">
        <f>SUMIFS([1]инфо!$G$15:$G$28,[1]инфо!$A$15:$A$28,F893)</f>
        <v/>
      </c>
      <c r="AO893" s="64">
        <f>IF(H893=0,0,AA893/H893)</f>
        <v/>
      </c>
      <c r="AP893" s="63">
        <f>AO893-AN893</f>
        <v/>
      </c>
      <c r="AQ893" s="61">
        <f>SUMIFS([1]инфо!$H$15:$H$28,[1]инфо!$A$15:$A$28,F893)</f>
        <v/>
      </c>
      <c r="AR893" s="62">
        <f>IF(H892=0,0,AC893/H892)</f>
        <v/>
      </c>
      <c r="AS893" s="63">
        <f>AR893-AQ893</f>
        <v/>
      </c>
      <c r="AT893" s="61">
        <f>SUMIFS([1]инфо!$I$15:$I$28,[1]инфо!$A$15:$A$28,F893)</f>
        <v/>
      </c>
      <c r="AU893" s="62">
        <f>IF(H893=0,0,AD893/H893)</f>
        <v/>
      </c>
      <c r="AV893" s="63">
        <f>AU893-AT893</f>
        <v/>
      </c>
      <c r="AX893" s="59">
        <f>SUMIFS([1]инфо!$C$15:$C$28,[1]инфо!$A$15:$A$28,F893)*H892</f>
        <v/>
      </c>
    </row>
    <row r="894">
      <c r="A894" s="71">
        <f>A892+1</f>
        <v/>
      </c>
      <c r="B894" s="88" t="n"/>
      <c r="C894" s="77" t="n"/>
      <c r="D894" s="78" t="n"/>
      <c r="E894" s="91" t="n"/>
      <c r="F894" s="67" t="n"/>
      <c r="G894" s="79" t="n"/>
      <c r="H894" s="67" t="n"/>
      <c r="I894" s="55" t="n"/>
      <c r="J894" s="55" t="n"/>
      <c r="K894" s="55" t="n"/>
      <c r="L894" s="55" t="n"/>
      <c r="M894" s="55" t="n"/>
      <c r="N894" s="56" t="n"/>
      <c r="O894" s="79" t="n"/>
      <c r="P894" s="79" t="n"/>
      <c r="Q894" s="79" t="n"/>
      <c r="R894" s="79" t="n"/>
      <c r="S894" s="80">
        <f>SUM(O894:R894)</f>
        <v/>
      </c>
      <c r="T894" s="77" t="n"/>
      <c r="U894" s="78" t="n"/>
      <c r="V894" s="79" t="n"/>
      <c r="W894" s="79" t="n"/>
      <c r="X894" s="79" t="n"/>
      <c r="Y894" s="77" t="n"/>
      <c r="Z894" s="79" t="n"/>
      <c r="AA894" s="79" t="n"/>
      <c r="AB894" s="79" t="n"/>
      <c r="AC894" s="79" t="n"/>
      <c r="AD894" s="78" t="n"/>
      <c r="AE894" s="81">
        <f>SUMIFS([1]инфо!$D$15:$D$28,[1]инфо!$A$15:$A$28,F894)</f>
        <v/>
      </c>
      <c r="AF894" s="62">
        <f>IF(H894=0,0,N894/H894)</f>
        <v/>
      </c>
      <c r="AG894" s="82">
        <f>AF894-AE894</f>
        <v/>
      </c>
      <c r="AH894" s="81">
        <f>SUMIFS([1]инфо!$E$15:$E$28,[1]инфо!$A$15:$A$28,F894)</f>
        <v/>
      </c>
      <c r="AI894" s="64">
        <f>IF(H894=0,0,S894/H894)</f>
        <v/>
      </c>
      <c r="AJ894" s="82">
        <f>AI894-AH894</f>
        <v/>
      </c>
      <c r="AK894" s="81">
        <f>SUMIFS([1]инфо!$F$15:$F$28,[1]инфо!$A$15:$A$28,F894)</f>
        <v/>
      </c>
      <c r="AL894" s="64">
        <f>IF(H894=0,0,Y894/H894)</f>
        <v/>
      </c>
      <c r="AM894" s="82">
        <f>AL894-AK894</f>
        <v/>
      </c>
      <c r="AN894" s="81">
        <f>SUMIFS([1]инфо!$G$15:$G$28,[1]инфо!$A$15:$A$28,F894)</f>
        <v/>
      </c>
      <c r="AO894" s="64">
        <f>IF(H894=0,0,AA894/H894)</f>
        <v/>
      </c>
      <c r="AP894" s="82">
        <f>AO894-AN894</f>
        <v/>
      </c>
      <c r="AQ894" s="81">
        <f>SUMIFS([1]инфо!$H$15:$H$28,[1]инфо!$A$15:$A$28,F894)</f>
        <v/>
      </c>
      <c r="AR894" s="85">
        <f>IF(H893=0,0,AC894/H893)</f>
        <v/>
      </c>
      <c r="AS894" s="82">
        <f>AR894-AQ894</f>
        <v/>
      </c>
      <c r="AT894" s="81">
        <f>SUMIFS([1]инфо!$I$15:$I$28,[1]инфо!$A$15:$A$28,F894)</f>
        <v/>
      </c>
      <c r="AU894" s="62">
        <f>IF(H894=0,0,AD894/H894)</f>
        <v/>
      </c>
      <c r="AV894" s="82">
        <f>AU894-AT894</f>
        <v/>
      </c>
      <c r="AX894" s="80">
        <f>SUMIFS([1]инфо!$C$15:$C$28,[1]инфо!$A$15:$A$28,F894)*H893</f>
        <v/>
      </c>
    </row>
    <row r="895">
      <c r="A895" s="71">
        <f>A893+1</f>
        <v/>
      </c>
      <c r="B895" s="89" t="n"/>
      <c r="C895" s="72" t="n"/>
      <c r="D895" s="73" t="n"/>
      <c r="E895" s="91" t="n"/>
      <c r="F895" s="67" t="n"/>
      <c r="G895" s="74" t="n"/>
      <c r="H895" s="55" t="n"/>
      <c r="I895" s="55" t="n"/>
      <c r="J895" s="55" t="n"/>
      <c r="K895" s="55" t="n"/>
      <c r="L895" s="55" t="n"/>
      <c r="M895" s="55" t="n"/>
      <c r="N895" s="67" t="n"/>
      <c r="O895" s="74" t="n"/>
      <c r="P895" s="74" t="n"/>
      <c r="Q895" s="74" t="n"/>
      <c r="R895" s="74" t="n"/>
      <c r="S895" s="70">
        <f>SUM(O895:R895)</f>
        <v/>
      </c>
      <c r="T895" s="72" t="n"/>
      <c r="U895" s="73" t="n"/>
      <c r="V895" s="74" t="n"/>
      <c r="W895" s="74" t="n"/>
      <c r="X895" s="74" t="n"/>
      <c r="Y895" s="72" t="n"/>
      <c r="Z895" s="74" t="n"/>
      <c r="AA895" s="74" t="n"/>
      <c r="AB895" s="74" t="n"/>
      <c r="AC895" s="74" t="n"/>
      <c r="AD895" s="73" t="n"/>
      <c r="AE895" s="75">
        <f>SUMIFS([1]инфо!$D$15:$D$28,[1]инфо!$A$15:$A$28,F895)</f>
        <v/>
      </c>
      <c r="AF895" s="62">
        <f>IF(H895=0,0,N895/H895)</f>
        <v/>
      </c>
      <c r="AG895" s="76">
        <f>AF895-AE895</f>
        <v/>
      </c>
      <c r="AH895" s="75">
        <f>SUMIFS([1]инфо!$E$15:$E$28,[1]инфо!$A$15:$A$28,F895)</f>
        <v/>
      </c>
      <c r="AI895" s="64">
        <f>IF(H895=0,0,S895/H895)</f>
        <v/>
      </c>
      <c r="AJ895" s="76">
        <f>AI895-AH895</f>
        <v/>
      </c>
      <c r="AK895" s="75">
        <f>SUMIFS([1]инфо!$F$15:$F$28,[1]инфо!$A$15:$A$28,F895)</f>
        <v/>
      </c>
      <c r="AL895" s="64">
        <f>IF(H895=0,0,Y895/H895)</f>
        <v/>
      </c>
      <c r="AM895" s="76">
        <f>AL895-AK895</f>
        <v/>
      </c>
      <c r="AN895" s="75">
        <f>SUMIFS([1]инфо!$G$15:$G$28,[1]инфо!$A$15:$A$28,F895)</f>
        <v/>
      </c>
      <c r="AO895" s="64">
        <f>IF(H895=0,0,AA895/H895)</f>
        <v/>
      </c>
      <c r="AP895" s="76">
        <f>AO895-AN895</f>
        <v/>
      </c>
      <c r="AQ895" s="75">
        <f>SUMIFS([1]инфо!$H$15:$H$28,[1]инфо!$A$15:$A$28,F895)</f>
        <v/>
      </c>
      <c r="AR895" s="64">
        <f>IF(H894=0,0,AC895/H894)</f>
        <v/>
      </c>
      <c r="AS895" s="76">
        <f>AR895-AQ895</f>
        <v/>
      </c>
      <c r="AT895" s="75">
        <f>SUMIFS([1]инфо!$I$15:$I$28,[1]инфо!$A$15:$A$28,F895)</f>
        <v/>
      </c>
      <c r="AU895" s="62">
        <f>IF(H895=0,0,AD895/H895)</f>
        <v/>
      </c>
      <c r="AV895" s="76">
        <f>AU895-AT895</f>
        <v/>
      </c>
      <c r="AX895" s="70">
        <f>SUMIFS([1]инфо!$C$15:$C$28,[1]инфо!$A$15:$A$28,F895)*H894</f>
        <v/>
      </c>
    </row>
    <row r="896">
      <c r="A896" s="71">
        <f>A894+1</f>
        <v/>
      </c>
      <c r="B896" s="90" t="n"/>
      <c r="C896" s="52" t="n"/>
      <c r="D896" s="53" t="n"/>
      <c r="E896" s="91" t="n"/>
      <c r="F896" s="67" t="n"/>
      <c r="G896" s="58" t="n"/>
      <c r="H896" s="55" t="n"/>
      <c r="I896" s="55" t="n"/>
      <c r="J896" s="55" t="n"/>
      <c r="K896" s="55" t="n"/>
      <c r="L896" s="55" t="n"/>
      <c r="M896" s="55" t="n"/>
      <c r="N896" s="55" t="n"/>
      <c r="O896" s="58" t="n"/>
      <c r="P896" s="58" t="n"/>
      <c r="Q896" s="58" t="n"/>
      <c r="R896" s="58" t="n"/>
      <c r="S896" s="59">
        <f>SUM(O896:R896)</f>
        <v/>
      </c>
      <c r="T896" s="52" t="n"/>
      <c r="U896" s="53" t="n"/>
      <c r="V896" s="58" t="n"/>
      <c r="W896" s="58" t="n"/>
      <c r="X896" s="58" t="n"/>
      <c r="Y896" s="52" t="n"/>
      <c r="Z896" s="58" t="n"/>
      <c r="AA896" s="58" t="n"/>
      <c r="AB896" s="58" t="n"/>
      <c r="AC896" s="58" t="n"/>
      <c r="AD896" s="53" t="n"/>
      <c r="AE896" s="61">
        <f>SUMIFS([1]инфо!$D$15:$D$28,[1]инфо!$A$15:$A$28,F896)</f>
        <v/>
      </c>
      <c r="AF896" s="62">
        <f>IF(H896=0,0,N896/H896)</f>
        <v/>
      </c>
      <c r="AG896" s="63">
        <f>AF896-AE896</f>
        <v/>
      </c>
      <c r="AH896" s="61">
        <f>SUMIFS([1]инфо!$E$15:$E$28,[1]инфо!$A$15:$A$28,F896)</f>
        <v/>
      </c>
      <c r="AI896" s="64">
        <f>IF(H896=0,0,S896/H896)</f>
        <v/>
      </c>
      <c r="AJ896" s="63">
        <f>AI896-AH896</f>
        <v/>
      </c>
      <c r="AK896" s="61">
        <f>SUMIFS([1]инфо!$F$15:$F$28,[1]инфо!$A$15:$A$28,F896)</f>
        <v/>
      </c>
      <c r="AL896" s="64">
        <f>IF(H896=0,0,Y896/H896)</f>
        <v/>
      </c>
      <c r="AM896" s="63">
        <f>AL896-AK896</f>
        <v/>
      </c>
      <c r="AN896" s="61">
        <f>SUMIFS([1]инфо!$G$15:$G$28,[1]инфо!$A$15:$A$28,F896)</f>
        <v/>
      </c>
      <c r="AO896" s="64">
        <f>IF(H896=0,0,AA896/H896)</f>
        <v/>
      </c>
      <c r="AP896" s="63">
        <f>AO896-AN896</f>
        <v/>
      </c>
      <c r="AQ896" s="61">
        <f>SUMIFS([1]инфо!$H$15:$H$28,[1]инфо!$A$15:$A$28,F896)</f>
        <v/>
      </c>
      <c r="AR896" s="62">
        <f>IF(H895=0,0,AC896/H895)</f>
        <v/>
      </c>
      <c r="AS896" s="63">
        <f>AR896-AQ896</f>
        <v/>
      </c>
      <c r="AT896" s="61">
        <f>SUMIFS([1]инфо!$I$15:$I$28,[1]инфо!$A$15:$A$28,F896)</f>
        <v/>
      </c>
      <c r="AU896" s="62">
        <f>IF(H896=0,0,AD896/H896)</f>
        <v/>
      </c>
      <c r="AV896" s="63">
        <f>AU896-AT896</f>
        <v/>
      </c>
      <c r="AX896" s="59">
        <f>SUMIFS([1]инфо!$C$15:$C$28,[1]инфо!$A$15:$A$28,F896)*H895</f>
        <v/>
      </c>
    </row>
    <row r="897">
      <c r="A897" s="71">
        <f>A895+1</f>
        <v/>
      </c>
      <c r="B897" s="90" t="n"/>
      <c r="C897" s="52" t="n"/>
      <c r="D897" s="53" t="n"/>
      <c r="E897" s="91" t="n"/>
      <c r="F897" s="67" t="n"/>
      <c r="G897" s="58" t="n"/>
      <c r="H897" s="56" t="n"/>
      <c r="I897" s="55" t="n"/>
      <c r="J897" s="55" t="n"/>
      <c r="K897" s="55" t="n"/>
      <c r="L897" s="55" t="n"/>
      <c r="M897" s="55" t="n"/>
      <c r="N897" s="55" t="n"/>
      <c r="O897" s="58" t="n"/>
      <c r="P897" s="58" t="n"/>
      <c r="Q897" s="58" t="n"/>
      <c r="R897" s="58" t="n"/>
      <c r="S897" s="59">
        <f>SUM(O897:R897)</f>
        <v/>
      </c>
      <c r="T897" s="52" t="n"/>
      <c r="U897" s="53" t="n"/>
      <c r="V897" s="58" t="n"/>
      <c r="W897" s="58" t="n"/>
      <c r="X897" s="58" t="n"/>
      <c r="Y897" s="52" t="n"/>
      <c r="Z897" s="58" t="n"/>
      <c r="AA897" s="58" t="n"/>
      <c r="AB897" s="58" t="n"/>
      <c r="AC897" s="58" t="n"/>
      <c r="AD897" s="53" t="n"/>
      <c r="AE897" s="61">
        <f>SUMIFS([1]инфо!$D$15:$D$28,[1]инфо!$A$15:$A$28,F897)</f>
        <v/>
      </c>
      <c r="AF897" s="62">
        <f>IF(H897=0,0,N897/H897)</f>
        <v/>
      </c>
      <c r="AG897" s="63">
        <f>AF897-AE897</f>
        <v/>
      </c>
      <c r="AH897" s="61">
        <f>SUMIFS([1]инфо!$E$15:$E$28,[1]инфо!$A$15:$A$28,F897)</f>
        <v/>
      </c>
      <c r="AI897" s="64">
        <f>IF(H897=0,0,S897/H897)</f>
        <v/>
      </c>
      <c r="AJ897" s="63">
        <f>AI897-AH897</f>
        <v/>
      </c>
      <c r="AK897" s="61">
        <f>SUMIFS([1]инфо!$F$15:$F$28,[1]инфо!$A$15:$A$28,F897)</f>
        <v/>
      </c>
      <c r="AL897" s="64">
        <f>IF(H897=0,0,Y897/H897)</f>
        <v/>
      </c>
      <c r="AM897" s="63">
        <f>AL897-AK897</f>
        <v/>
      </c>
      <c r="AN897" s="61">
        <f>SUMIFS([1]инфо!$G$15:$G$28,[1]инфо!$A$15:$A$28,F897)</f>
        <v/>
      </c>
      <c r="AO897" s="64">
        <f>IF(H897=0,0,AA897/H897)</f>
        <v/>
      </c>
      <c r="AP897" s="63">
        <f>AO897-AN897</f>
        <v/>
      </c>
      <c r="AQ897" s="61">
        <f>SUMIFS([1]инфо!$H$15:$H$28,[1]инфо!$A$15:$A$28,F897)</f>
        <v/>
      </c>
      <c r="AR897" s="62">
        <f>IF(H896=0,0,AC897/H896)</f>
        <v/>
      </c>
      <c r="AS897" s="63">
        <f>AR897-AQ897</f>
        <v/>
      </c>
      <c r="AT897" s="61">
        <f>SUMIFS([1]инфо!$I$15:$I$28,[1]инфо!$A$15:$A$28,F897)</f>
        <v/>
      </c>
      <c r="AU897" s="62">
        <f>IF(H897=0,0,AD897/H897)</f>
        <v/>
      </c>
      <c r="AV897" s="63">
        <f>AU897-AT897</f>
        <v/>
      </c>
      <c r="AX897" s="59">
        <f>SUMIFS([1]инфо!$C$15:$C$28,[1]инфо!$A$15:$A$28,F897)*H896</f>
        <v/>
      </c>
    </row>
    <row r="898">
      <c r="A898" s="71">
        <f>A896+1</f>
        <v/>
      </c>
      <c r="B898" s="88" t="n"/>
      <c r="C898" s="77" t="n"/>
      <c r="D898" s="78" t="n"/>
      <c r="E898" s="91" t="n"/>
      <c r="F898" s="67" t="n"/>
      <c r="G898" s="79" t="n"/>
      <c r="H898" s="67" t="n"/>
      <c r="I898" s="55" t="n"/>
      <c r="J898" s="55" t="n"/>
      <c r="K898" s="55" t="n"/>
      <c r="L898" s="55" t="n"/>
      <c r="M898" s="55" t="n"/>
      <c r="N898" s="56" t="n"/>
      <c r="O898" s="79" t="n"/>
      <c r="P898" s="79" t="n"/>
      <c r="Q898" s="79" t="n"/>
      <c r="R898" s="79" t="n"/>
      <c r="S898" s="80">
        <f>SUM(O898:R898)</f>
        <v/>
      </c>
      <c r="T898" s="77" t="n"/>
      <c r="U898" s="78" t="n"/>
      <c r="V898" s="79" t="n"/>
      <c r="W898" s="79" t="n"/>
      <c r="X898" s="79" t="n"/>
      <c r="Y898" s="77" t="n"/>
      <c r="Z898" s="79" t="n"/>
      <c r="AA898" s="79" t="n"/>
      <c r="AB898" s="79" t="n"/>
      <c r="AC898" s="79" t="n"/>
      <c r="AD898" s="78" t="n"/>
      <c r="AE898" s="81">
        <f>SUMIFS([1]инфо!$D$15:$D$28,[1]инфо!$A$15:$A$28,F898)</f>
        <v/>
      </c>
      <c r="AF898" s="62">
        <f>IF(H898=0,0,N898/H898)</f>
        <v/>
      </c>
      <c r="AG898" s="82">
        <f>AF898-AE898</f>
        <v/>
      </c>
      <c r="AH898" s="81">
        <f>SUMIFS([1]инфо!$E$15:$E$28,[1]инфо!$A$15:$A$28,F898)</f>
        <v/>
      </c>
      <c r="AI898" s="64">
        <f>IF(H898=0,0,S898/H898)</f>
        <v/>
      </c>
      <c r="AJ898" s="82">
        <f>AI898-AH898</f>
        <v/>
      </c>
      <c r="AK898" s="81">
        <f>SUMIFS([1]инфо!$F$15:$F$28,[1]инфо!$A$15:$A$28,F898)</f>
        <v/>
      </c>
      <c r="AL898" s="64">
        <f>IF(H898=0,0,Y898/H898)</f>
        <v/>
      </c>
      <c r="AM898" s="82">
        <f>AL898-AK898</f>
        <v/>
      </c>
      <c r="AN898" s="81">
        <f>SUMIFS([1]инфо!$G$15:$G$28,[1]инфо!$A$15:$A$28,F898)</f>
        <v/>
      </c>
      <c r="AO898" s="64">
        <f>IF(H898=0,0,AA898/H898)</f>
        <v/>
      </c>
      <c r="AP898" s="82">
        <f>AO898-AN898</f>
        <v/>
      </c>
      <c r="AQ898" s="81">
        <f>SUMIFS([1]инфо!$H$15:$H$28,[1]инфо!$A$15:$A$28,F898)</f>
        <v/>
      </c>
      <c r="AR898" s="85">
        <f>IF(H897=0,0,AC898/H897)</f>
        <v/>
      </c>
      <c r="AS898" s="82">
        <f>AR898-AQ898</f>
        <v/>
      </c>
      <c r="AT898" s="81">
        <f>SUMIFS([1]инфо!$I$15:$I$28,[1]инфо!$A$15:$A$28,F898)</f>
        <v/>
      </c>
      <c r="AU898" s="62">
        <f>IF(H898=0,0,AD898/H898)</f>
        <v/>
      </c>
      <c r="AV898" s="82">
        <f>AU898-AT898</f>
        <v/>
      </c>
      <c r="AX898" s="80">
        <f>SUMIFS([1]инфо!$C$15:$C$28,[1]инфо!$A$15:$A$28,F898)*H897</f>
        <v/>
      </c>
    </row>
    <row r="899">
      <c r="A899" s="71">
        <f>A897+1</f>
        <v/>
      </c>
      <c r="B899" s="89" t="n"/>
      <c r="C899" s="72" t="n"/>
      <c r="D899" s="73" t="n"/>
      <c r="E899" s="91" t="n"/>
      <c r="F899" s="67" t="n"/>
      <c r="G899" s="74" t="n"/>
      <c r="H899" s="55" t="n"/>
      <c r="I899" s="55" t="n"/>
      <c r="J899" s="55" t="n"/>
      <c r="K899" s="55" t="n"/>
      <c r="L899" s="55" t="n"/>
      <c r="M899" s="55" t="n"/>
      <c r="N899" s="67" t="n"/>
      <c r="O899" s="74" t="n"/>
      <c r="P899" s="74" t="n"/>
      <c r="Q899" s="74" t="n"/>
      <c r="R899" s="74" t="n"/>
      <c r="S899" s="70">
        <f>SUM(O899:R899)</f>
        <v/>
      </c>
      <c r="T899" s="72" t="n"/>
      <c r="U899" s="73" t="n"/>
      <c r="V899" s="74" t="n"/>
      <c r="W899" s="74" t="n"/>
      <c r="X899" s="74" t="n"/>
      <c r="Y899" s="72" t="n"/>
      <c r="Z899" s="74" t="n"/>
      <c r="AA899" s="74" t="n"/>
      <c r="AB899" s="74" t="n"/>
      <c r="AC899" s="74" t="n"/>
      <c r="AD899" s="73" t="n"/>
      <c r="AE899" s="75">
        <f>SUMIFS([1]инфо!$D$15:$D$28,[1]инфо!$A$15:$A$28,F899)</f>
        <v/>
      </c>
      <c r="AF899" s="62">
        <f>IF(H899=0,0,N899/H899)</f>
        <v/>
      </c>
      <c r="AG899" s="76">
        <f>AF899-AE899</f>
        <v/>
      </c>
      <c r="AH899" s="75">
        <f>SUMIFS([1]инфо!$E$15:$E$28,[1]инфо!$A$15:$A$28,F899)</f>
        <v/>
      </c>
      <c r="AI899" s="64">
        <f>IF(H899=0,0,S899/H899)</f>
        <v/>
      </c>
      <c r="AJ899" s="76">
        <f>AI899-AH899</f>
        <v/>
      </c>
      <c r="AK899" s="75">
        <f>SUMIFS([1]инфо!$F$15:$F$28,[1]инфо!$A$15:$A$28,F899)</f>
        <v/>
      </c>
      <c r="AL899" s="64">
        <f>IF(H899=0,0,Y899/H899)</f>
        <v/>
      </c>
      <c r="AM899" s="76">
        <f>AL899-AK899</f>
        <v/>
      </c>
      <c r="AN899" s="75">
        <f>SUMIFS([1]инфо!$G$15:$G$28,[1]инфо!$A$15:$A$28,F899)</f>
        <v/>
      </c>
      <c r="AO899" s="64">
        <f>IF(H899=0,0,AA899/H899)</f>
        <v/>
      </c>
      <c r="AP899" s="76">
        <f>AO899-AN899</f>
        <v/>
      </c>
      <c r="AQ899" s="75">
        <f>SUMIFS([1]инфо!$H$15:$H$28,[1]инфо!$A$15:$A$28,F899)</f>
        <v/>
      </c>
      <c r="AR899" s="64">
        <f>IF(H898=0,0,AC899/H898)</f>
        <v/>
      </c>
      <c r="AS899" s="76">
        <f>AR899-AQ899</f>
        <v/>
      </c>
      <c r="AT899" s="75">
        <f>SUMIFS([1]инфо!$I$15:$I$28,[1]инфо!$A$15:$A$28,F899)</f>
        <v/>
      </c>
      <c r="AU899" s="62">
        <f>IF(H899=0,0,AD899/H899)</f>
        <v/>
      </c>
      <c r="AV899" s="76">
        <f>AU899-AT899</f>
        <v/>
      </c>
      <c r="AX899" s="70">
        <f>SUMIFS([1]инфо!$C$15:$C$28,[1]инфо!$A$15:$A$28,F899)*H898</f>
        <v/>
      </c>
    </row>
    <row r="900">
      <c r="A900" s="71">
        <f>A898+1</f>
        <v/>
      </c>
      <c r="B900" s="90" t="n"/>
      <c r="C900" s="52" t="n"/>
      <c r="D900" s="53" t="n"/>
      <c r="E900" s="91" t="n"/>
      <c r="F900" s="67" t="n"/>
      <c r="G900" s="58" t="n"/>
      <c r="H900" s="55" t="n"/>
      <c r="I900" s="55" t="n"/>
      <c r="J900" s="55" t="n"/>
      <c r="K900" s="55" t="n"/>
      <c r="L900" s="55" t="n"/>
      <c r="M900" s="55" t="n"/>
      <c r="N900" s="55" t="n"/>
      <c r="O900" s="58" t="n"/>
      <c r="P900" s="58" t="n"/>
      <c r="Q900" s="58" t="n"/>
      <c r="R900" s="58" t="n"/>
      <c r="S900" s="59">
        <f>SUM(O900:R900)</f>
        <v/>
      </c>
      <c r="T900" s="52" t="n"/>
      <c r="U900" s="53" t="n"/>
      <c r="V900" s="58" t="n"/>
      <c r="W900" s="58" t="n"/>
      <c r="X900" s="58" t="n"/>
      <c r="Y900" s="52" t="n"/>
      <c r="Z900" s="58" t="n"/>
      <c r="AA900" s="58" t="n"/>
      <c r="AB900" s="58" t="n"/>
      <c r="AC900" s="58" t="n"/>
      <c r="AD900" s="53" t="n"/>
      <c r="AE900" s="61">
        <f>SUMIFS([1]инфо!$D$15:$D$28,[1]инфо!$A$15:$A$28,F900)</f>
        <v/>
      </c>
      <c r="AF900" s="62">
        <f>IF(H900=0,0,N900/H900)</f>
        <v/>
      </c>
      <c r="AG900" s="63">
        <f>AF900-AE900</f>
        <v/>
      </c>
      <c r="AH900" s="61">
        <f>SUMIFS([1]инфо!$E$15:$E$28,[1]инфо!$A$15:$A$28,F900)</f>
        <v/>
      </c>
      <c r="AI900" s="64">
        <f>IF(H900=0,0,S900/H900)</f>
        <v/>
      </c>
      <c r="AJ900" s="63">
        <f>AI900-AH900</f>
        <v/>
      </c>
      <c r="AK900" s="61">
        <f>SUMIFS([1]инфо!$F$15:$F$28,[1]инфо!$A$15:$A$28,F900)</f>
        <v/>
      </c>
      <c r="AL900" s="64">
        <f>IF(H900=0,0,Y900/H900)</f>
        <v/>
      </c>
      <c r="AM900" s="63">
        <f>AL900-AK900</f>
        <v/>
      </c>
      <c r="AN900" s="61">
        <f>SUMIFS([1]инфо!$G$15:$G$28,[1]инфо!$A$15:$A$28,F900)</f>
        <v/>
      </c>
      <c r="AO900" s="64">
        <f>IF(H900=0,0,AA900/H900)</f>
        <v/>
      </c>
      <c r="AP900" s="63">
        <f>AO900-AN900</f>
        <v/>
      </c>
      <c r="AQ900" s="61">
        <f>SUMIFS([1]инфо!$H$15:$H$28,[1]инфо!$A$15:$A$28,F900)</f>
        <v/>
      </c>
      <c r="AR900" s="62">
        <f>IF(H899=0,0,AC900/H899)</f>
        <v/>
      </c>
      <c r="AS900" s="63">
        <f>AR900-AQ900</f>
        <v/>
      </c>
      <c r="AT900" s="61">
        <f>SUMIFS([1]инфо!$I$15:$I$28,[1]инфо!$A$15:$A$28,F900)</f>
        <v/>
      </c>
      <c r="AU900" s="62">
        <f>IF(H900=0,0,AD900/H900)</f>
        <v/>
      </c>
      <c r="AV900" s="63">
        <f>AU900-AT900</f>
        <v/>
      </c>
      <c r="AX900" s="59">
        <f>SUMIFS([1]инфо!$C$15:$C$28,[1]инфо!$A$15:$A$28,F900)*H899</f>
        <v/>
      </c>
    </row>
    <row r="901">
      <c r="A901" s="71">
        <f>A899+1</f>
        <v/>
      </c>
      <c r="B901" s="90" t="n"/>
      <c r="C901" s="52" t="n"/>
      <c r="D901" s="53" t="n"/>
      <c r="E901" s="91" t="n"/>
      <c r="F901" s="67" t="n"/>
      <c r="G901" s="58" t="n"/>
      <c r="H901" s="56" t="n"/>
      <c r="I901" s="55" t="n"/>
      <c r="J901" s="55" t="n"/>
      <c r="K901" s="55" t="n"/>
      <c r="L901" s="55" t="n"/>
      <c r="M901" s="55" t="n"/>
      <c r="N901" s="55" t="n"/>
      <c r="O901" s="58" t="n"/>
      <c r="P901" s="58" t="n"/>
      <c r="Q901" s="58" t="n"/>
      <c r="R901" s="58" t="n"/>
      <c r="S901" s="59">
        <f>SUM(O901:R901)</f>
        <v/>
      </c>
      <c r="T901" s="52" t="n"/>
      <c r="U901" s="53" t="n"/>
      <c r="V901" s="58" t="n"/>
      <c r="W901" s="58" t="n"/>
      <c r="X901" s="58" t="n"/>
      <c r="Y901" s="52" t="n"/>
      <c r="Z901" s="58" t="n"/>
      <c r="AA901" s="58" t="n"/>
      <c r="AB901" s="58" t="n"/>
      <c r="AC901" s="58" t="n"/>
      <c r="AD901" s="53" t="n"/>
      <c r="AE901" s="61">
        <f>SUMIFS([1]инфо!$D$15:$D$28,[1]инфо!$A$15:$A$28,F901)</f>
        <v/>
      </c>
      <c r="AF901" s="62">
        <f>IF(H901=0,0,N901/H901)</f>
        <v/>
      </c>
      <c r="AG901" s="63">
        <f>AF901-AE901</f>
        <v/>
      </c>
      <c r="AH901" s="61">
        <f>SUMIFS([1]инфо!$E$15:$E$28,[1]инфо!$A$15:$A$28,F901)</f>
        <v/>
      </c>
      <c r="AI901" s="64">
        <f>IF(H901=0,0,S901/H901)</f>
        <v/>
      </c>
      <c r="AJ901" s="63">
        <f>AI901-AH901</f>
        <v/>
      </c>
      <c r="AK901" s="61">
        <f>SUMIFS([1]инфо!$F$15:$F$28,[1]инфо!$A$15:$A$28,F901)</f>
        <v/>
      </c>
      <c r="AL901" s="64">
        <f>IF(H901=0,0,Y901/H901)</f>
        <v/>
      </c>
      <c r="AM901" s="63">
        <f>AL901-AK901</f>
        <v/>
      </c>
      <c r="AN901" s="61">
        <f>SUMIFS([1]инфо!$G$15:$G$28,[1]инфо!$A$15:$A$28,F901)</f>
        <v/>
      </c>
      <c r="AO901" s="64">
        <f>IF(H901=0,0,AA901/H901)</f>
        <v/>
      </c>
      <c r="AP901" s="63">
        <f>AO901-AN901</f>
        <v/>
      </c>
      <c r="AQ901" s="61">
        <f>SUMIFS([1]инфо!$H$15:$H$28,[1]инфо!$A$15:$A$28,F901)</f>
        <v/>
      </c>
      <c r="AR901" s="62">
        <f>IF(H900=0,0,AC901/H900)</f>
        <v/>
      </c>
      <c r="AS901" s="63">
        <f>AR901-AQ901</f>
        <v/>
      </c>
      <c r="AT901" s="61">
        <f>SUMIFS([1]инфо!$I$15:$I$28,[1]инфо!$A$15:$A$28,F901)</f>
        <v/>
      </c>
      <c r="AU901" s="62">
        <f>IF(H901=0,0,AD901/H901)</f>
        <v/>
      </c>
      <c r="AV901" s="63">
        <f>AU901-AT901</f>
        <v/>
      </c>
      <c r="AX901" s="59">
        <f>SUMIFS([1]инфо!$C$15:$C$28,[1]инфо!$A$15:$A$28,F901)*H900</f>
        <v/>
      </c>
    </row>
    <row r="902">
      <c r="A902" s="71">
        <f>A900+1</f>
        <v/>
      </c>
      <c r="B902" s="88" t="n"/>
      <c r="C902" s="77" t="n"/>
      <c r="D902" s="78" t="n"/>
      <c r="E902" s="91" t="n"/>
      <c r="F902" s="67" t="n"/>
      <c r="G902" s="79" t="n"/>
      <c r="H902" s="67" t="n"/>
      <c r="I902" s="55" t="n"/>
      <c r="J902" s="55" t="n"/>
      <c r="K902" s="55" t="n"/>
      <c r="L902" s="55" t="n"/>
      <c r="M902" s="55" t="n"/>
      <c r="N902" s="56" t="n"/>
      <c r="O902" s="79" t="n"/>
      <c r="P902" s="79" t="n"/>
      <c r="Q902" s="79" t="n"/>
      <c r="R902" s="79" t="n"/>
      <c r="S902" s="80">
        <f>SUM(O902:R902)</f>
        <v/>
      </c>
      <c r="T902" s="77" t="n"/>
      <c r="U902" s="78" t="n"/>
      <c r="V902" s="79" t="n"/>
      <c r="W902" s="79" t="n"/>
      <c r="X902" s="79" t="n"/>
      <c r="Y902" s="77" t="n"/>
      <c r="Z902" s="79" t="n"/>
      <c r="AA902" s="79" t="n"/>
      <c r="AB902" s="79" t="n"/>
      <c r="AC902" s="79" t="n"/>
      <c r="AD902" s="78" t="n"/>
      <c r="AE902" s="81">
        <f>SUMIFS([1]инфо!$D$15:$D$28,[1]инфо!$A$15:$A$28,F902)</f>
        <v/>
      </c>
      <c r="AF902" s="62">
        <f>IF(H902=0,0,N902/H902)</f>
        <v/>
      </c>
      <c r="AG902" s="82">
        <f>AF902-AE902</f>
        <v/>
      </c>
      <c r="AH902" s="81">
        <f>SUMIFS([1]инфо!$E$15:$E$28,[1]инфо!$A$15:$A$28,F902)</f>
        <v/>
      </c>
      <c r="AI902" s="64">
        <f>IF(H902=0,0,S902/H902)</f>
        <v/>
      </c>
      <c r="AJ902" s="82">
        <f>AI902-AH902</f>
        <v/>
      </c>
      <c r="AK902" s="81">
        <f>SUMIFS([1]инфо!$F$15:$F$28,[1]инфо!$A$15:$A$28,F902)</f>
        <v/>
      </c>
      <c r="AL902" s="64">
        <f>IF(H902=0,0,Y902/H902)</f>
        <v/>
      </c>
      <c r="AM902" s="82">
        <f>AL902-AK902</f>
        <v/>
      </c>
      <c r="AN902" s="81">
        <f>SUMIFS([1]инфо!$G$15:$G$28,[1]инфо!$A$15:$A$28,F902)</f>
        <v/>
      </c>
      <c r="AO902" s="64">
        <f>IF(H902=0,0,AA902/H902)</f>
        <v/>
      </c>
      <c r="AP902" s="82">
        <f>AO902-AN902</f>
        <v/>
      </c>
      <c r="AQ902" s="81">
        <f>SUMIFS([1]инфо!$H$15:$H$28,[1]инфо!$A$15:$A$28,F902)</f>
        <v/>
      </c>
      <c r="AR902" s="85">
        <f>IF(H901=0,0,AC902/H901)</f>
        <v/>
      </c>
      <c r="AS902" s="82">
        <f>AR902-AQ902</f>
        <v/>
      </c>
      <c r="AT902" s="81">
        <f>SUMIFS([1]инфо!$I$15:$I$28,[1]инфо!$A$15:$A$28,F902)</f>
        <v/>
      </c>
      <c r="AU902" s="62">
        <f>IF(H902=0,0,AD902/H902)</f>
        <v/>
      </c>
      <c r="AV902" s="82">
        <f>AU902-AT902</f>
        <v/>
      </c>
      <c r="AX902" s="80">
        <f>SUMIFS([1]инфо!$C$15:$C$28,[1]инфо!$A$15:$A$28,F902)*H901</f>
        <v/>
      </c>
    </row>
    <row r="903">
      <c r="A903" s="71">
        <f>A901+1</f>
        <v/>
      </c>
      <c r="B903" s="89" t="n"/>
      <c r="C903" s="72" t="n"/>
      <c r="D903" s="73" t="n"/>
      <c r="E903" s="91" t="n"/>
      <c r="F903" s="67" t="n"/>
      <c r="G903" s="74" t="n"/>
      <c r="H903" s="55" t="n"/>
      <c r="I903" s="55" t="n"/>
      <c r="J903" s="55" t="n"/>
      <c r="K903" s="55" t="n"/>
      <c r="L903" s="55" t="n"/>
      <c r="M903" s="55" t="n"/>
      <c r="N903" s="67" t="n"/>
      <c r="O903" s="74" t="n"/>
      <c r="P903" s="74" t="n"/>
      <c r="Q903" s="74" t="n"/>
      <c r="R903" s="74" t="n"/>
      <c r="S903" s="70">
        <f>SUM(O903:R903)</f>
        <v/>
      </c>
      <c r="T903" s="72" t="n"/>
      <c r="U903" s="73" t="n"/>
      <c r="V903" s="74" t="n"/>
      <c r="W903" s="74" t="n"/>
      <c r="X903" s="74" t="n"/>
      <c r="Y903" s="72" t="n"/>
      <c r="Z903" s="74" t="n"/>
      <c r="AA903" s="74" t="n"/>
      <c r="AB903" s="74" t="n"/>
      <c r="AC903" s="74" t="n"/>
      <c r="AD903" s="73" t="n"/>
      <c r="AE903" s="75">
        <f>SUMIFS([1]инфо!$D$15:$D$28,[1]инфо!$A$15:$A$28,F903)</f>
        <v/>
      </c>
      <c r="AF903" s="62">
        <f>IF(H903=0,0,N903/H903)</f>
        <v/>
      </c>
      <c r="AG903" s="76">
        <f>AF903-AE903</f>
        <v/>
      </c>
      <c r="AH903" s="75">
        <f>SUMIFS([1]инфо!$E$15:$E$28,[1]инфо!$A$15:$A$28,F903)</f>
        <v/>
      </c>
      <c r="AI903" s="64">
        <f>IF(H903=0,0,S903/H903)</f>
        <v/>
      </c>
      <c r="AJ903" s="76">
        <f>AI903-AH903</f>
        <v/>
      </c>
      <c r="AK903" s="75">
        <f>SUMIFS([1]инфо!$F$15:$F$28,[1]инфо!$A$15:$A$28,F903)</f>
        <v/>
      </c>
      <c r="AL903" s="64">
        <f>IF(H903=0,0,Y903/H903)</f>
        <v/>
      </c>
      <c r="AM903" s="76">
        <f>AL903-AK903</f>
        <v/>
      </c>
      <c r="AN903" s="75">
        <f>SUMIFS([1]инфо!$G$15:$G$28,[1]инфо!$A$15:$A$28,F903)</f>
        <v/>
      </c>
      <c r="AO903" s="64">
        <f>IF(H903=0,0,AA903/H903)</f>
        <v/>
      </c>
      <c r="AP903" s="76">
        <f>AO903-AN903</f>
        <v/>
      </c>
      <c r="AQ903" s="75">
        <f>SUMIFS([1]инфо!$H$15:$H$28,[1]инфо!$A$15:$A$28,F903)</f>
        <v/>
      </c>
      <c r="AR903" s="64">
        <f>IF(H902=0,0,AC903/H902)</f>
        <v/>
      </c>
      <c r="AS903" s="76">
        <f>AR903-AQ903</f>
        <v/>
      </c>
      <c r="AT903" s="75">
        <f>SUMIFS([1]инфо!$I$15:$I$28,[1]инфо!$A$15:$A$28,F903)</f>
        <v/>
      </c>
      <c r="AU903" s="62">
        <f>IF(H903=0,0,AD903/H903)</f>
        <v/>
      </c>
      <c r="AV903" s="76">
        <f>AU903-AT903</f>
        <v/>
      </c>
      <c r="AX903" s="70">
        <f>SUMIFS([1]инфо!$C$15:$C$28,[1]инфо!$A$15:$A$28,F903)*H902</f>
        <v/>
      </c>
    </row>
    <row r="904">
      <c r="A904" s="71">
        <f>A902+1</f>
        <v/>
      </c>
      <c r="B904" s="90" t="n"/>
      <c r="C904" s="52" t="n"/>
      <c r="D904" s="53" t="n"/>
      <c r="E904" s="91" t="n"/>
      <c r="F904" s="67" t="n"/>
      <c r="G904" s="58" t="n"/>
      <c r="H904" s="55" t="n"/>
      <c r="I904" s="55" t="n"/>
      <c r="J904" s="55" t="n"/>
      <c r="K904" s="55" t="n"/>
      <c r="L904" s="55" t="n"/>
      <c r="M904" s="55" t="n"/>
      <c r="N904" s="55" t="n"/>
      <c r="O904" s="58" t="n"/>
      <c r="P904" s="58" t="n"/>
      <c r="Q904" s="58" t="n"/>
      <c r="R904" s="58" t="n"/>
      <c r="S904" s="59">
        <f>SUM(O904:R904)</f>
        <v/>
      </c>
      <c r="T904" s="52" t="n"/>
      <c r="U904" s="53" t="n"/>
      <c r="V904" s="58" t="n"/>
      <c r="W904" s="58" t="n"/>
      <c r="X904" s="58" t="n"/>
      <c r="Y904" s="52" t="n"/>
      <c r="Z904" s="58" t="n"/>
      <c r="AA904" s="58" t="n"/>
      <c r="AB904" s="58" t="n"/>
      <c r="AC904" s="58" t="n"/>
      <c r="AD904" s="53" t="n"/>
      <c r="AE904" s="61">
        <f>SUMIFS([1]инфо!$D$15:$D$28,[1]инфо!$A$15:$A$28,F904)</f>
        <v/>
      </c>
      <c r="AF904" s="62">
        <f>IF(H904=0,0,N904/H904)</f>
        <v/>
      </c>
      <c r="AG904" s="63">
        <f>AF904-AE904</f>
        <v/>
      </c>
      <c r="AH904" s="61">
        <f>SUMIFS([1]инфо!$E$15:$E$28,[1]инфо!$A$15:$A$28,F904)</f>
        <v/>
      </c>
      <c r="AI904" s="64">
        <f>IF(H904=0,0,S904/H904)</f>
        <v/>
      </c>
      <c r="AJ904" s="63">
        <f>AI904-AH904</f>
        <v/>
      </c>
      <c r="AK904" s="61">
        <f>SUMIFS([1]инфо!$F$15:$F$28,[1]инфо!$A$15:$A$28,F904)</f>
        <v/>
      </c>
      <c r="AL904" s="64">
        <f>IF(H904=0,0,Y904/H904)</f>
        <v/>
      </c>
      <c r="AM904" s="63">
        <f>AL904-AK904</f>
        <v/>
      </c>
      <c r="AN904" s="61">
        <f>SUMIFS([1]инфо!$G$15:$G$28,[1]инфо!$A$15:$A$28,F904)</f>
        <v/>
      </c>
      <c r="AO904" s="64">
        <f>IF(H904=0,0,AA904/H904)</f>
        <v/>
      </c>
      <c r="AP904" s="63">
        <f>AO904-AN904</f>
        <v/>
      </c>
      <c r="AQ904" s="61">
        <f>SUMIFS([1]инфо!$H$15:$H$28,[1]инфо!$A$15:$A$28,F904)</f>
        <v/>
      </c>
      <c r="AR904" s="62">
        <f>IF(H903=0,0,AC904/H903)</f>
        <v/>
      </c>
      <c r="AS904" s="63">
        <f>AR904-AQ904</f>
        <v/>
      </c>
      <c r="AT904" s="61">
        <f>SUMIFS([1]инфо!$I$15:$I$28,[1]инфо!$A$15:$A$28,F904)</f>
        <v/>
      </c>
      <c r="AU904" s="62">
        <f>IF(H904=0,0,AD904/H904)</f>
        <v/>
      </c>
      <c r="AV904" s="63">
        <f>AU904-AT904</f>
        <v/>
      </c>
      <c r="AX904" s="59">
        <f>SUMIFS([1]инфо!$C$15:$C$28,[1]инфо!$A$15:$A$28,F904)*H903</f>
        <v/>
      </c>
    </row>
    <row r="905">
      <c r="A905" s="71">
        <f>A903+1</f>
        <v/>
      </c>
      <c r="B905" s="90" t="n"/>
      <c r="C905" s="52" t="n"/>
      <c r="D905" s="53" t="n"/>
      <c r="E905" s="91" t="n"/>
      <c r="F905" s="67" t="n"/>
      <c r="G905" s="58" t="n"/>
      <c r="H905" s="56" t="n"/>
      <c r="I905" s="55" t="n"/>
      <c r="J905" s="55" t="n"/>
      <c r="K905" s="55" t="n"/>
      <c r="L905" s="55" t="n"/>
      <c r="M905" s="55" t="n"/>
      <c r="N905" s="55" t="n"/>
      <c r="O905" s="58" t="n"/>
      <c r="P905" s="58" t="n"/>
      <c r="Q905" s="58" t="n"/>
      <c r="R905" s="58" t="n"/>
      <c r="S905" s="59">
        <f>SUM(O905:R905)</f>
        <v/>
      </c>
      <c r="T905" s="52" t="n"/>
      <c r="U905" s="53" t="n"/>
      <c r="V905" s="58" t="n"/>
      <c r="W905" s="58" t="n"/>
      <c r="X905" s="58" t="n"/>
      <c r="Y905" s="52" t="n"/>
      <c r="Z905" s="58" t="n"/>
      <c r="AA905" s="58" t="n"/>
      <c r="AB905" s="58" t="n"/>
      <c r="AC905" s="58" t="n"/>
      <c r="AD905" s="53" t="n"/>
      <c r="AE905" s="61">
        <f>SUMIFS([1]инфо!$D$15:$D$28,[1]инфо!$A$15:$A$28,F905)</f>
        <v/>
      </c>
      <c r="AF905" s="62">
        <f>IF(H905=0,0,N905/H905)</f>
        <v/>
      </c>
      <c r="AG905" s="63">
        <f>AF905-AE905</f>
        <v/>
      </c>
      <c r="AH905" s="61">
        <f>SUMIFS([1]инфо!$E$15:$E$28,[1]инфо!$A$15:$A$28,F905)</f>
        <v/>
      </c>
      <c r="AI905" s="64">
        <f>IF(H905=0,0,S905/H905)</f>
        <v/>
      </c>
      <c r="AJ905" s="63">
        <f>AI905-AH905</f>
        <v/>
      </c>
      <c r="AK905" s="61">
        <f>SUMIFS([1]инфо!$F$15:$F$28,[1]инфо!$A$15:$A$28,F905)</f>
        <v/>
      </c>
      <c r="AL905" s="64">
        <f>IF(H905=0,0,Y905/H905)</f>
        <v/>
      </c>
      <c r="AM905" s="63">
        <f>AL905-AK905</f>
        <v/>
      </c>
      <c r="AN905" s="61">
        <f>SUMIFS([1]инфо!$G$15:$G$28,[1]инфо!$A$15:$A$28,F905)</f>
        <v/>
      </c>
      <c r="AO905" s="64">
        <f>IF(H905=0,0,AA905/H905)</f>
        <v/>
      </c>
      <c r="AP905" s="63">
        <f>AO905-AN905</f>
        <v/>
      </c>
      <c r="AQ905" s="61">
        <f>SUMIFS([1]инфо!$H$15:$H$28,[1]инфо!$A$15:$A$28,F905)</f>
        <v/>
      </c>
      <c r="AR905" s="62">
        <f>IF(H904=0,0,AC905/H904)</f>
        <v/>
      </c>
      <c r="AS905" s="63">
        <f>AR905-AQ905</f>
        <v/>
      </c>
      <c r="AT905" s="61">
        <f>SUMIFS([1]инфо!$I$15:$I$28,[1]инфо!$A$15:$A$28,F905)</f>
        <v/>
      </c>
      <c r="AU905" s="62">
        <f>IF(H905=0,0,AD905/H905)</f>
        <v/>
      </c>
      <c r="AV905" s="63">
        <f>AU905-AT905</f>
        <v/>
      </c>
      <c r="AX905" s="59">
        <f>SUMIFS([1]инфо!$C$15:$C$28,[1]инфо!$A$15:$A$28,F905)*H904</f>
        <v/>
      </c>
    </row>
    <row r="906">
      <c r="A906" s="71">
        <f>A904+1</f>
        <v/>
      </c>
      <c r="B906" s="88" t="n"/>
      <c r="C906" s="77" t="n"/>
      <c r="D906" s="78" t="n"/>
      <c r="E906" s="91" t="n"/>
      <c r="F906" s="67" t="n"/>
      <c r="G906" s="79" t="n"/>
      <c r="H906" s="67" t="n"/>
      <c r="I906" s="55" t="n"/>
      <c r="J906" s="55" t="n"/>
      <c r="K906" s="55" t="n"/>
      <c r="L906" s="55" t="n"/>
      <c r="M906" s="55" t="n"/>
      <c r="N906" s="56" t="n"/>
      <c r="O906" s="79" t="n"/>
      <c r="P906" s="79" t="n"/>
      <c r="Q906" s="79" t="n"/>
      <c r="R906" s="79" t="n"/>
      <c r="S906" s="80">
        <f>SUM(O906:R906)</f>
        <v/>
      </c>
      <c r="T906" s="77" t="n"/>
      <c r="U906" s="78" t="n"/>
      <c r="V906" s="79" t="n"/>
      <c r="W906" s="79" t="n"/>
      <c r="X906" s="79" t="n"/>
      <c r="Y906" s="77" t="n"/>
      <c r="Z906" s="79" t="n"/>
      <c r="AA906" s="79" t="n"/>
      <c r="AB906" s="79" t="n"/>
      <c r="AC906" s="79" t="n"/>
      <c r="AD906" s="78" t="n"/>
      <c r="AE906" s="81">
        <f>SUMIFS([1]инфо!$D$15:$D$28,[1]инфо!$A$15:$A$28,F906)</f>
        <v/>
      </c>
      <c r="AF906" s="62">
        <f>IF(H906=0,0,N906/H906)</f>
        <v/>
      </c>
      <c r="AG906" s="82">
        <f>AF906-AE906</f>
        <v/>
      </c>
      <c r="AH906" s="81">
        <f>SUMIFS([1]инфо!$E$15:$E$28,[1]инфо!$A$15:$A$28,F906)</f>
        <v/>
      </c>
      <c r="AI906" s="64">
        <f>IF(H906=0,0,S906/H906)</f>
        <v/>
      </c>
      <c r="AJ906" s="82">
        <f>AI906-AH906</f>
        <v/>
      </c>
      <c r="AK906" s="81">
        <f>SUMIFS([1]инфо!$F$15:$F$28,[1]инфо!$A$15:$A$28,F906)</f>
        <v/>
      </c>
      <c r="AL906" s="64">
        <f>IF(H906=0,0,Y906/H906)</f>
        <v/>
      </c>
      <c r="AM906" s="82">
        <f>AL906-AK906</f>
        <v/>
      </c>
      <c r="AN906" s="81">
        <f>SUMIFS([1]инфо!$G$15:$G$28,[1]инфо!$A$15:$A$28,F906)</f>
        <v/>
      </c>
      <c r="AO906" s="64">
        <f>IF(H906=0,0,AA906/H906)</f>
        <v/>
      </c>
      <c r="AP906" s="82">
        <f>AO906-AN906</f>
        <v/>
      </c>
      <c r="AQ906" s="81">
        <f>SUMIFS([1]инфо!$H$15:$H$28,[1]инфо!$A$15:$A$28,F906)</f>
        <v/>
      </c>
      <c r="AR906" s="85">
        <f>IF(H905=0,0,AC906/H905)</f>
        <v/>
      </c>
      <c r="AS906" s="82">
        <f>AR906-AQ906</f>
        <v/>
      </c>
      <c r="AT906" s="81">
        <f>SUMIFS([1]инфо!$I$15:$I$28,[1]инфо!$A$15:$A$28,F906)</f>
        <v/>
      </c>
      <c r="AU906" s="62">
        <f>IF(H906=0,0,AD906/H906)</f>
        <v/>
      </c>
      <c r="AV906" s="82">
        <f>AU906-AT906</f>
        <v/>
      </c>
      <c r="AX906" s="80">
        <f>SUMIFS([1]инфо!$C$15:$C$28,[1]инфо!$A$15:$A$28,F906)*H905</f>
        <v/>
      </c>
    </row>
    <row r="907">
      <c r="A907" s="71">
        <f>A905+1</f>
        <v/>
      </c>
      <c r="B907" s="89" t="n"/>
      <c r="C907" s="72" t="n"/>
      <c r="D907" s="73" t="n"/>
      <c r="E907" s="91" t="n"/>
      <c r="F907" s="67" t="n"/>
      <c r="G907" s="74" t="n"/>
      <c r="H907" s="55" t="n"/>
      <c r="I907" s="55" t="n"/>
      <c r="J907" s="55" t="n"/>
      <c r="K907" s="55" t="n"/>
      <c r="L907" s="55" t="n"/>
      <c r="M907" s="55" t="n"/>
      <c r="N907" s="67" t="n"/>
      <c r="O907" s="74" t="n"/>
      <c r="P907" s="74" t="n"/>
      <c r="Q907" s="74" t="n"/>
      <c r="R907" s="74" t="n"/>
      <c r="S907" s="70">
        <f>SUM(O907:R907)</f>
        <v/>
      </c>
      <c r="T907" s="72" t="n"/>
      <c r="U907" s="73" t="n"/>
      <c r="V907" s="74" t="n"/>
      <c r="W907" s="74" t="n"/>
      <c r="X907" s="74" t="n"/>
      <c r="Y907" s="72" t="n"/>
      <c r="Z907" s="74" t="n"/>
      <c r="AA907" s="74" t="n"/>
      <c r="AB907" s="74" t="n"/>
      <c r="AC907" s="74" t="n"/>
      <c r="AD907" s="73" t="n"/>
      <c r="AE907" s="75">
        <f>SUMIFS([1]инфо!$D$15:$D$28,[1]инфо!$A$15:$A$28,F907)</f>
        <v/>
      </c>
      <c r="AF907" s="62">
        <f>IF(H907=0,0,N907/H907)</f>
        <v/>
      </c>
      <c r="AG907" s="76">
        <f>AF907-AE907</f>
        <v/>
      </c>
      <c r="AH907" s="75">
        <f>SUMIFS([1]инфо!$E$15:$E$28,[1]инфо!$A$15:$A$28,F907)</f>
        <v/>
      </c>
      <c r="AI907" s="64">
        <f>IF(H907=0,0,S907/H907)</f>
        <v/>
      </c>
      <c r="AJ907" s="76">
        <f>AI907-AH907</f>
        <v/>
      </c>
      <c r="AK907" s="75">
        <f>SUMIFS([1]инфо!$F$15:$F$28,[1]инфо!$A$15:$A$28,F907)</f>
        <v/>
      </c>
      <c r="AL907" s="64">
        <f>IF(H907=0,0,Y907/H907)</f>
        <v/>
      </c>
      <c r="AM907" s="76">
        <f>AL907-AK907</f>
        <v/>
      </c>
      <c r="AN907" s="75">
        <f>SUMIFS([1]инфо!$G$15:$G$28,[1]инфо!$A$15:$A$28,F907)</f>
        <v/>
      </c>
      <c r="AO907" s="64">
        <f>IF(H907=0,0,AA907/H907)</f>
        <v/>
      </c>
      <c r="AP907" s="76">
        <f>AO907-AN907</f>
        <v/>
      </c>
      <c r="AQ907" s="75">
        <f>SUMIFS([1]инфо!$H$15:$H$28,[1]инфо!$A$15:$A$28,F907)</f>
        <v/>
      </c>
      <c r="AR907" s="64">
        <f>IF(H906=0,0,AC907/H906)</f>
        <v/>
      </c>
      <c r="AS907" s="76">
        <f>AR907-AQ907</f>
        <v/>
      </c>
      <c r="AT907" s="75">
        <f>SUMIFS([1]инфо!$I$15:$I$28,[1]инфо!$A$15:$A$28,F907)</f>
        <v/>
      </c>
      <c r="AU907" s="62">
        <f>IF(H907=0,0,AD907/H907)</f>
        <v/>
      </c>
      <c r="AV907" s="76">
        <f>AU907-AT907</f>
        <v/>
      </c>
      <c r="AX907" s="70">
        <f>SUMIFS([1]инфо!$C$15:$C$28,[1]инфо!$A$15:$A$28,F907)*H906</f>
        <v/>
      </c>
    </row>
    <row r="908">
      <c r="A908" s="71">
        <f>A906+1</f>
        <v/>
      </c>
      <c r="B908" s="90" t="n"/>
      <c r="C908" s="52" t="n"/>
      <c r="D908" s="53" t="n"/>
      <c r="E908" s="91" t="n"/>
      <c r="F908" s="67" t="n"/>
      <c r="G908" s="58" t="n"/>
      <c r="H908" s="55" t="n"/>
      <c r="I908" s="55" t="n"/>
      <c r="J908" s="55" t="n"/>
      <c r="K908" s="55" t="n"/>
      <c r="L908" s="55" t="n"/>
      <c r="M908" s="55" t="n"/>
      <c r="N908" s="55" t="n"/>
      <c r="O908" s="58" t="n"/>
      <c r="P908" s="58" t="n"/>
      <c r="Q908" s="58" t="n"/>
      <c r="R908" s="58" t="n"/>
      <c r="S908" s="59">
        <f>SUM(O908:R908)</f>
        <v/>
      </c>
      <c r="T908" s="52" t="n"/>
      <c r="U908" s="53" t="n"/>
      <c r="V908" s="58" t="n"/>
      <c r="W908" s="58" t="n"/>
      <c r="X908" s="58" t="n"/>
      <c r="Y908" s="52" t="n"/>
      <c r="Z908" s="58" t="n"/>
      <c r="AA908" s="58" t="n"/>
      <c r="AB908" s="58" t="n"/>
      <c r="AC908" s="58" t="n"/>
      <c r="AD908" s="53" t="n"/>
      <c r="AE908" s="61">
        <f>SUMIFS([1]инфо!$D$15:$D$28,[1]инфо!$A$15:$A$28,F908)</f>
        <v/>
      </c>
      <c r="AF908" s="62">
        <f>IF(H908=0,0,N908/H908)</f>
        <v/>
      </c>
      <c r="AG908" s="63">
        <f>AF908-AE908</f>
        <v/>
      </c>
      <c r="AH908" s="61">
        <f>SUMIFS([1]инфо!$E$15:$E$28,[1]инфо!$A$15:$A$28,F908)</f>
        <v/>
      </c>
      <c r="AI908" s="64">
        <f>IF(H908=0,0,S908/H908)</f>
        <v/>
      </c>
      <c r="AJ908" s="63">
        <f>AI908-AH908</f>
        <v/>
      </c>
      <c r="AK908" s="61">
        <f>SUMIFS([1]инфо!$F$15:$F$28,[1]инфо!$A$15:$A$28,F908)</f>
        <v/>
      </c>
      <c r="AL908" s="64">
        <f>IF(H908=0,0,Y908/H908)</f>
        <v/>
      </c>
      <c r="AM908" s="63">
        <f>AL908-AK908</f>
        <v/>
      </c>
      <c r="AN908" s="61">
        <f>SUMIFS([1]инфо!$G$15:$G$28,[1]инфо!$A$15:$A$28,F908)</f>
        <v/>
      </c>
      <c r="AO908" s="64">
        <f>IF(H908=0,0,AA908/H908)</f>
        <v/>
      </c>
      <c r="AP908" s="63">
        <f>AO908-AN908</f>
        <v/>
      </c>
      <c r="AQ908" s="61">
        <f>SUMIFS([1]инфо!$H$15:$H$28,[1]инфо!$A$15:$A$28,F908)</f>
        <v/>
      </c>
      <c r="AR908" s="62">
        <f>IF(H907=0,0,AC908/H907)</f>
        <v/>
      </c>
      <c r="AS908" s="63">
        <f>AR908-AQ908</f>
        <v/>
      </c>
      <c r="AT908" s="61">
        <f>SUMIFS([1]инфо!$I$15:$I$28,[1]инфо!$A$15:$A$28,F908)</f>
        <v/>
      </c>
      <c r="AU908" s="62">
        <f>IF(H908=0,0,AD908/H908)</f>
        <v/>
      </c>
      <c r="AV908" s="63">
        <f>AU908-AT908</f>
        <v/>
      </c>
      <c r="AX908" s="59">
        <f>SUMIFS([1]инфо!$C$15:$C$28,[1]инфо!$A$15:$A$28,F908)*H907</f>
        <v/>
      </c>
    </row>
    <row r="909">
      <c r="A909" s="71">
        <f>A907+1</f>
        <v/>
      </c>
      <c r="B909" s="90" t="n"/>
      <c r="C909" s="52" t="n"/>
      <c r="D909" s="53" t="n"/>
      <c r="E909" s="91" t="n"/>
      <c r="F909" s="67" t="n"/>
      <c r="G909" s="58" t="n"/>
      <c r="H909" s="56" t="n"/>
      <c r="I909" s="55" t="n"/>
      <c r="J909" s="55" t="n"/>
      <c r="K909" s="55" t="n"/>
      <c r="L909" s="55" t="n"/>
      <c r="M909" s="55" t="n"/>
      <c r="N909" s="55" t="n"/>
      <c r="O909" s="58" t="n"/>
      <c r="P909" s="58" t="n"/>
      <c r="Q909" s="58" t="n"/>
      <c r="R909" s="58" t="n"/>
      <c r="S909" s="59">
        <f>SUM(O909:R909)</f>
        <v/>
      </c>
      <c r="T909" s="52" t="n"/>
      <c r="U909" s="53" t="n"/>
      <c r="V909" s="58" t="n"/>
      <c r="W909" s="58" t="n"/>
      <c r="X909" s="58" t="n"/>
      <c r="Y909" s="52" t="n"/>
      <c r="Z909" s="58" t="n"/>
      <c r="AA909" s="58" t="n"/>
      <c r="AB909" s="58" t="n"/>
      <c r="AC909" s="58" t="n"/>
      <c r="AD909" s="53" t="n"/>
      <c r="AE909" s="61">
        <f>SUMIFS([1]инфо!$D$15:$D$28,[1]инфо!$A$15:$A$28,F909)</f>
        <v/>
      </c>
      <c r="AF909" s="62">
        <f>IF(H909=0,0,N909/H909)</f>
        <v/>
      </c>
      <c r="AG909" s="63">
        <f>AF909-AE909</f>
        <v/>
      </c>
      <c r="AH909" s="61">
        <f>SUMIFS([1]инфо!$E$15:$E$28,[1]инфо!$A$15:$A$28,F909)</f>
        <v/>
      </c>
      <c r="AI909" s="64">
        <f>IF(H909=0,0,S909/H909)</f>
        <v/>
      </c>
      <c r="AJ909" s="63">
        <f>AI909-AH909</f>
        <v/>
      </c>
      <c r="AK909" s="61">
        <f>SUMIFS([1]инфо!$F$15:$F$28,[1]инфо!$A$15:$A$28,F909)</f>
        <v/>
      </c>
      <c r="AL909" s="64">
        <f>IF(H909=0,0,Y909/H909)</f>
        <v/>
      </c>
      <c r="AM909" s="63">
        <f>AL909-AK909</f>
        <v/>
      </c>
      <c r="AN909" s="61">
        <f>SUMIFS([1]инфо!$G$15:$G$28,[1]инфо!$A$15:$A$28,F909)</f>
        <v/>
      </c>
      <c r="AO909" s="64">
        <f>IF(H909=0,0,AA909/H909)</f>
        <v/>
      </c>
      <c r="AP909" s="63">
        <f>AO909-AN909</f>
        <v/>
      </c>
      <c r="AQ909" s="61">
        <f>SUMIFS([1]инфо!$H$15:$H$28,[1]инфо!$A$15:$A$28,F909)</f>
        <v/>
      </c>
      <c r="AR909" s="62">
        <f>IF(H908=0,0,AC909/H908)</f>
        <v/>
      </c>
      <c r="AS909" s="63">
        <f>AR909-AQ909</f>
        <v/>
      </c>
      <c r="AT909" s="61">
        <f>SUMIFS([1]инфо!$I$15:$I$28,[1]инфо!$A$15:$A$28,F909)</f>
        <v/>
      </c>
      <c r="AU909" s="62">
        <f>IF(H909=0,0,AD909/H909)</f>
        <v/>
      </c>
      <c r="AV909" s="63">
        <f>AU909-AT909</f>
        <v/>
      </c>
      <c r="AX909" s="59">
        <f>SUMIFS([1]инфо!$C$15:$C$28,[1]инфо!$A$15:$A$28,F909)*H908</f>
        <v/>
      </c>
    </row>
    <row r="910">
      <c r="A910" s="71">
        <f>A908+1</f>
        <v/>
      </c>
      <c r="B910" s="88" t="n"/>
      <c r="C910" s="77" t="n"/>
      <c r="D910" s="78" t="n"/>
      <c r="E910" s="91" t="n"/>
      <c r="F910" s="67" t="n"/>
      <c r="G910" s="79" t="n"/>
      <c r="H910" s="67" t="n"/>
      <c r="I910" s="55" t="n"/>
      <c r="J910" s="55" t="n"/>
      <c r="K910" s="55" t="n"/>
      <c r="L910" s="55" t="n"/>
      <c r="M910" s="55" t="n"/>
      <c r="N910" s="56" t="n"/>
      <c r="O910" s="79" t="n"/>
      <c r="P910" s="79" t="n"/>
      <c r="Q910" s="79" t="n"/>
      <c r="R910" s="79" t="n"/>
      <c r="S910" s="80">
        <f>SUM(O910:R910)</f>
        <v/>
      </c>
      <c r="T910" s="77" t="n"/>
      <c r="U910" s="78" t="n"/>
      <c r="V910" s="79" t="n"/>
      <c r="W910" s="79" t="n"/>
      <c r="X910" s="79" t="n"/>
      <c r="Y910" s="77" t="n"/>
      <c r="Z910" s="79" t="n"/>
      <c r="AA910" s="79" t="n"/>
      <c r="AB910" s="79" t="n"/>
      <c r="AC910" s="79" t="n"/>
      <c r="AD910" s="78" t="n"/>
      <c r="AE910" s="81">
        <f>SUMIFS([1]инфо!$D$15:$D$28,[1]инфо!$A$15:$A$28,F910)</f>
        <v/>
      </c>
      <c r="AF910" s="62">
        <f>IF(H910=0,0,N910/H910)</f>
        <v/>
      </c>
      <c r="AG910" s="82">
        <f>AF910-AE910</f>
        <v/>
      </c>
      <c r="AH910" s="81">
        <f>SUMIFS([1]инфо!$E$15:$E$28,[1]инфо!$A$15:$A$28,F910)</f>
        <v/>
      </c>
      <c r="AI910" s="64">
        <f>IF(H910=0,0,S910/H910)</f>
        <v/>
      </c>
      <c r="AJ910" s="82">
        <f>AI910-AH910</f>
        <v/>
      </c>
      <c r="AK910" s="81">
        <f>SUMIFS([1]инфо!$F$15:$F$28,[1]инфо!$A$15:$A$28,F910)</f>
        <v/>
      </c>
      <c r="AL910" s="64">
        <f>IF(H910=0,0,Y910/H910)</f>
        <v/>
      </c>
      <c r="AM910" s="82">
        <f>AL910-AK910</f>
        <v/>
      </c>
      <c r="AN910" s="81">
        <f>SUMIFS([1]инфо!$G$15:$G$28,[1]инфо!$A$15:$A$28,F910)</f>
        <v/>
      </c>
      <c r="AO910" s="64">
        <f>IF(H910=0,0,AA910/H910)</f>
        <v/>
      </c>
      <c r="AP910" s="82">
        <f>AO910-AN910</f>
        <v/>
      </c>
      <c r="AQ910" s="81">
        <f>SUMIFS([1]инфо!$H$15:$H$28,[1]инфо!$A$15:$A$28,F910)</f>
        <v/>
      </c>
      <c r="AR910" s="85">
        <f>IF(H909=0,0,AC910/H909)</f>
        <v/>
      </c>
      <c r="AS910" s="82">
        <f>AR910-AQ910</f>
        <v/>
      </c>
      <c r="AT910" s="81">
        <f>SUMIFS([1]инфо!$I$15:$I$28,[1]инфо!$A$15:$A$28,F910)</f>
        <v/>
      </c>
      <c r="AU910" s="62">
        <f>IF(H910=0,0,AD910/H910)</f>
        <v/>
      </c>
      <c r="AV910" s="82">
        <f>AU910-AT910</f>
        <v/>
      </c>
      <c r="AX910" s="80">
        <f>SUMIFS([1]инфо!$C$15:$C$28,[1]инфо!$A$15:$A$28,F910)*H909</f>
        <v/>
      </c>
    </row>
    <row r="911">
      <c r="A911" s="71">
        <f>A909+1</f>
        <v/>
      </c>
      <c r="B911" s="89" t="n"/>
      <c r="C911" s="72" t="n"/>
      <c r="D911" s="73" t="n"/>
      <c r="E911" s="91" t="n"/>
      <c r="F911" s="67" t="n"/>
      <c r="G911" s="74" t="n"/>
      <c r="H911" s="55" t="n"/>
      <c r="I911" s="55" t="n"/>
      <c r="J911" s="55" t="n"/>
      <c r="K911" s="55" t="n"/>
      <c r="L911" s="55" t="n"/>
      <c r="M911" s="55" t="n"/>
      <c r="N911" s="67" t="n"/>
      <c r="O911" s="74" t="n"/>
      <c r="P911" s="74" t="n"/>
      <c r="Q911" s="74" t="n"/>
      <c r="R911" s="74" t="n"/>
      <c r="S911" s="70">
        <f>SUM(O911:R911)</f>
        <v/>
      </c>
      <c r="T911" s="72" t="n"/>
      <c r="U911" s="73" t="n"/>
      <c r="V911" s="74" t="n"/>
      <c r="W911" s="74" t="n"/>
      <c r="X911" s="74" t="n"/>
      <c r="Y911" s="72" t="n"/>
      <c r="Z911" s="74" t="n"/>
      <c r="AA911" s="74" t="n"/>
      <c r="AB911" s="74" t="n"/>
      <c r="AC911" s="74" t="n"/>
      <c r="AD911" s="73" t="n"/>
      <c r="AE911" s="75">
        <f>SUMIFS([1]инфо!$D$15:$D$28,[1]инфо!$A$15:$A$28,F911)</f>
        <v/>
      </c>
      <c r="AF911" s="62">
        <f>IF(H911=0,0,N911/H911)</f>
        <v/>
      </c>
      <c r="AG911" s="76">
        <f>AF911-AE911</f>
        <v/>
      </c>
      <c r="AH911" s="75">
        <f>SUMIFS([1]инфо!$E$15:$E$28,[1]инфо!$A$15:$A$28,F911)</f>
        <v/>
      </c>
      <c r="AI911" s="64">
        <f>IF(H911=0,0,S911/H911)</f>
        <v/>
      </c>
      <c r="AJ911" s="76">
        <f>AI911-AH911</f>
        <v/>
      </c>
      <c r="AK911" s="75">
        <f>SUMIFS([1]инфо!$F$15:$F$28,[1]инфо!$A$15:$A$28,F911)</f>
        <v/>
      </c>
      <c r="AL911" s="64">
        <f>IF(H911=0,0,Y911/H911)</f>
        <v/>
      </c>
      <c r="AM911" s="76">
        <f>AL911-AK911</f>
        <v/>
      </c>
      <c r="AN911" s="75">
        <f>SUMIFS([1]инфо!$G$15:$G$28,[1]инфо!$A$15:$A$28,F911)</f>
        <v/>
      </c>
      <c r="AO911" s="64">
        <f>IF(H911=0,0,AA911/H911)</f>
        <v/>
      </c>
      <c r="AP911" s="76">
        <f>AO911-AN911</f>
        <v/>
      </c>
      <c r="AQ911" s="75">
        <f>SUMIFS([1]инфо!$H$15:$H$28,[1]инфо!$A$15:$A$28,F911)</f>
        <v/>
      </c>
      <c r="AR911" s="64">
        <f>IF(H910=0,0,AC911/H910)</f>
        <v/>
      </c>
      <c r="AS911" s="76">
        <f>AR911-AQ911</f>
        <v/>
      </c>
      <c r="AT911" s="75">
        <f>SUMIFS([1]инфо!$I$15:$I$28,[1]инфо!$A$15:$A$28,F911)</f>
        <v/>
      </c>
      <c r="AU911" s="62">
        <f>IF(H911=0,0,AD911/H911)</f>
        <v/>
      </c>
      <c r="AV911" s="76">
        <f>AU911-AT911</f>
        <v/>
      </c>
      <c r="AX911" s="70">
        <f>SUMIFS([1]инфо!$C$15:$C$28,[1]инфо!$A$15:$A$28,F911)*H910</f>
        <v/>
      </c>
    </row>
    <row r="912">
      <c r="A912" s="71">
        <f>A910+1</f>
        <v/>
      </c>
      <c r="B912" s="90" t="n"/>
      <c r="C912" s="52" t="n"/>
      <c r="D912" s="53" t="n"/>
      <c r="E912" s="91" t="n"/>
      <c r="F912" s="67" t="n"/>
      <c r="G912" s="58" t="n"/>
      <c r="H912" s="55" t="n"/>
      <c r="I912" s="55" t="n"/>
      <c r="J912" s="55" t="n"/>
      <c r="K912" s="55" t="n"/>
      <c r="L912" s="55" t="n"/>
      <c r="M912" s="55" t="n"/>
      <c r="N912" s="55" t="n"/>
      <c r="O912" s="58" t="n"/>
      <c r="P912" s="58" t="n"/>
      <c r="Q912" s="58" t="n"/>
      <c r="R912" s="58" t="n"/>
      <c r="S912" s="59">
        <f>SUM(O912:R912)</f>
        <v/>
      </c>
      <c r="T912" s="52" t="n"/>
      <c r="U912" s="53" t="n"/>
      <c r="V912" s="58" t="n"/>
      <c r="W912" s="58" t="n"/>
      <c r="X912" s="58" t="n"/>
      <c r="Y912" s="52" t="n"/>
      <c r="Z912" s="58" t="n"/>
      <c r="AA912" s="58" t="n"/>
      <c r="AB912" s="58" t="n"/>
      <c r="AC912" s="58" t="n"/>
      <c r="AD912" s="53" t="n"/>
      <c r="AE912" s="61">
        <f>SUMIFS([1]инфо!$D$15:$D$28,[1]инфо!$A$15:$A$28,F912)</f>
        <v/>
      </c>
      <c r="AF912" s="62">
        <f>IF(H912=0,0,N912/H912)</f>
        <v/>
      </c>
      <c r="AG912" s="63">
        <f>AF912-AE912</f>
        <v/>
      </c>
      <c r="AH912" s="61">
        <f>SUMIFS([1]инфо!$E$15:$E$28,[1]инфо!$A$15:$A$28,F912)</f>
        <v/>
      </c>
      <c r="AI912" s="64">
        <f>IF(H912=0,0,S912/H912)</f>
        <v/>
      </c>
      <c r="AJ912" s="63">
        <f>AI912-AH912</f>
        <v/>
      </c>
      <c r="AK912" s="61">
        <f>SUMIFS([1]инфо!$F$15:$F$28,[1]инфо!$A$15:$A$28,F912)</f>
        <v/>
      </c>
      <c r="AL912" s="64">
        <f>IF(H912=0,0,Y912/H912)</f>
        <v/>
      </c>
      <c r="AM912" s="63">
        <f>AL912-AK912</f>
        <v/>
      </c>
      <c r="AN912" s="61">
        <f>SUMIFS([1]инфо!$G$15:$G$28,[1]инфо!$A$15:$A$28,F912)</f>
        <v/>
      </c>
      <c r="AO912" s="64">
        <f>IF(H912=0,0,AA912/H912)</f>
        <v/>
      </c>
      <c r="AP912" s="63">
        <f>AO912-AN912</f>
        <v/>
      </c>
      <c r="AQ912" s="61">
        <f>SUMIFS([1]инфо!$H$15:$H$28,[1]инфо!$A$15:$A$28,F912)</f>
        <v/>
      </c>
      <c r="AR912" s="62">
        <f>IF(H911=0,0,AC912/H911)</f>
        <v/>
      </c>
      <c r="AS912" s="63">
        <f>AR912-AQ912</f>
        <v/>
      </c>
      <c r="AT912" s="61">
        <f>SUMIFS([1]инфо!$I$15:$I$28,[1]инфо!$A$15:$A$28,F912)</f>
        <v/>
      </c>
      <c r="AU912" s="62">
        <f>IF(H912=0,0,AD912/H912)</f>
        <v/>
      </c>
      <c r="AV912" s="63">
        <f>AU912-AT912</f>
        <v/>
      </c>
      <c r="AX912" s="59">
        <f>SUMIFS([1]инфо!$C$15:$C$28,[1]инфо!$A$15:$A$28,F912)*H911</f>
        <v/>
      </c>
    </row>
    <row r="913">
      <c r="A913" s="71">
        <f>A911+1</f>
        <v/>
      </c>
      <c r="B913" s="90" t="n"/>
      <c r="C913" s="52" t="n"/>
      <c r="D913" s="53" t="n"/>
      <c r="E913" s="91" t="n"/>
      <c r="F913" s="67" t="n"/>
      <c r="G913" s="58" t="n"/>
      <c r="H913" s="56" t="n"/>
      <c r="I913" s="55" t="n"/>
      <c r="J913" s="55" t="n"/>
      <c r="K913" s="55" t="n"/>
      <c r="L913" s="55" t="n"/>
      <c r="M913" s="55" t="n"/>
      <c r="N913" s="55" t="n"/>
      <c r="O913" s="58" t="n"/>
      <c r="P913" s="58" t="n"/>
      <c r="Q913" s="58" t="n"/>
      <c r="R913" s="58" t="n"/>
      <c r="S913" s="59">
        <f>SUM(O913:R913)</f>
        <v/>
      </c>
      <c r="T913" s="52" t="n"/>
      <c r="U913" s="53" t="n"/>
      <c r="V913" s="58" t="n"/>
      <c r="W913" s="58" t="n"/>
      <c r="X913" s="58" t="n"/>
      <c r="Y913" s="52" t="n"/>
      <c r="Z913" s="58" t="n"/>
      <c r="AA913" s="58" t="n"/>
      <c r="AB913" s="58" t="n"/>
      <c r="AC913" s="58" t="n"/>
      <c r="AD913" s="53" t="n"/>
      <c r="AE913" s="61">
        <f>SUMIFS([1]инфо!$D$15:$D$28,[1]инфо!$A$15:$A$28,F913)</f>
        <v/>
      </c>
      <c r="AF913" s="62">
        <f>IF(H913=0,0,N913/H913)</f>
        <v/>
      </c>
      <c r="AG913" s="63">
        <f>AF913-AE913</f>
        <v/>
      </c>
      <c r="AH913" s="61">
        <f>SUMIFS([1]инфо!$E$15:$E$28,[1]инфо!$A$15:$A$28,F913)</f>
        <v/>
      </c>
      <c r="AI913" s="64">
        <f>IF(H913=0,0,S913/H913)</f>
        <v/>
      </c>
      <c r="AJ913" s="63">
        <f>AI913-AH913</f>
        <v/>
      </c>
      <c r="AK913" s="61">
        <f>SUMIFS([1]инфо!$F$15:$F$28,[1]инфо!$A$15:$A$28,F913)</f>
        <v/>
      </c>
      <c r="AL913" s="64">
        <f>IF(H913=0,0,Y913/H913)</f>
        <v/>
      </c>
      <c r="AM913" s="63">
        <f>AL913-AK913</f>
        <v/>
      </c>
      <c r="AN913" s="61">
        <f>SUMIFS([1]инфо!$G$15:$G$28,[1]инфо!$A$15:$A$28,F913)</f>
        <v/>
      </c>
      <c r="AO913" s="64">
        <f>IF(H913=0,0,AA913/H913)</f>
        <v/>
      </c>
      <c r="AP913" s="63">
        <f>AO913-AN913</f>
        <v/>
      </c>
      <c r="AQ913" s="61">
        <f>SUMIFS([1]инфо!$H$15:$H$28,[1]инфо!$A$15:$A$28,F913)</f>
        <v/>
      </c>
      <c r="AR913" s="62">
        <f>IF(H912=0,0,AC913/H912)</f>
        <v/>
      </c>
      <c r="AS913" s="63">
        <f>AR913-AQ913</f>
        <v/>
      </c>
      <c r="AT913" s="61">
        <f>SUMIFS([1]инфо!$I$15:$I$28,[1]инфо!$A$15:$A$28,F913)</f>
        <v/>
      </c>
      <c r="AU913" s="62">
        <f>IF(H913=0,0,AD913/H913)</f>
        <v/>
      </c>
      <c r="AV913" s="63">
        <f>AU913-AT913</f>
        <v/>
      </c>
      <c r="AX913" s="59">
        <f>SUMIFS([1]инфо!$C$15:$C$28,[1]инфо!$A$15:$A$28,F913)*H912</f>
        <v/>
      </c>
    </row>
    <row r="914">
      <c r="A914" s="71">
        <f>A912+1</f>
        <v/>
      </c>
      <c r="B914" s="88" t="n"/>
      <c r="C914" s="77" t="n"/>
      <c r="D914" s="78" t="n"/>
      <c r="E914" s="91" t="n"/>
      <c r="F914" s="67" t="n"/>
      <c r="G914" s="79" t="n"/>
      <c r="H914" s="67" t="n"/>
      <c r="I914" s="55" t="n"/>
      <c r="J914" s="55" t="n"/>
      <c r="K914" s="55" t="n"/>
      <c r="L914" s="55" t="n"/>
      <c r="M914" s="55" t="n"/>
      <c r="N914" s="56" t="n"/>
      <c r="O914" s="79" t="n"/>
      <c r="P914" s="79" t="n"/>
      <c r="Q914" s="79" t="n"/>
      <c r="R914" s="79" t="n"/>
      <c r="S914" s="80">
        <f>SUM(O914:R914)</f>
        <v/>
      </c>
      <c r="T914" s="77" t="n"/>
      <c r="U914" s="78" t="n"/>
      <c r="V914" s="79" t="n"/>
      <c r="W914" s="79" t="n"/>
      <c r="X914" s="79" t="n"/>
      <c r="Y914" s="77" t="n"/>
      <c r="Z914" s="79" t="n"/>
      <c r="AA914" s="79" t="n"/>
      <c r="AB914" s="79" t="n"/>
      <c r="AC914" s="79" t="n"/>
      <c r="AD914" s="78" t="n"/>
      <c r="AE914" s="81">
        <f>SUMIFS([1]инфо!$D$15:$D$28,[1]инфо!$A$15:$A$28,F914)</f>
        <v/>
      </c>
      <c r="AF914" s="62">
        <f>IF(H914=0,0,N914/H914)</f>
        <v/>
      </c>
      <c r="AG914" s="82">
        <f>AF914-AE914</f>
        <v/>
      </c>
      <c r="AH914" s="81">
        <f>SUMIFS([1]инфо!$E$15:$E$28,[1]инфо!$A$15:$A$28,F914)</f>
        <v/>
      </c>
      <c r="AI914" s="64">
        <f>IF(H914=0,0,S914/H914)</f>
        <v/>
      </c>
      <c r="AJ914" s="82">
        <f>AI914-AH914</f>
        <v/>
      </c>
      <c r="AK914" s="81">
        <f>SUMIFS([1]инфо!$F$15:$F$28,[1]инфо!$A$15:$A$28,F914)</f>
        <v/>
      </c>
      <c r="AL914" s="64">
        <f>IF(H914=0,0,Y914/H914)</f>
        <v/>
      </c>
      <c r="AM914" s="82">
        <f>AL914-AK914</f>
        <v/>
      </c>
      <c r="AN914" s="81">
        <f>SUMIFS([1]инфо!$G$15:$G$28,[1]инфо!$A$15:$A$28,F914)</f>
        <v/>
      </c>
      <c r="AO914" s="64">
        <f>IF(H914=0,0,AA914/H914)</f>
        <v/>
      </c>
      <c r="AP914" s="82">
        <f>AO914-AN914</f>
        <v/>
      </c>
      <c r="AQ914" s="81">
        <f>SUMIFS([1]инфо!$H$15:$H$28,[1]инфо!$A$15:$A$28,F914)</f>
        <v/>
      </c>
      <c r="AR914" s="85">
        <f>IF(H913=0,0,AC914/H913)</f>
        <v/>
      </c>
      <c r="AS914" s="82">
        <f>AR914-AQ914</f>
        <v/>
      </c>
      <c r="AT914" s="81">
        <f>SUMIFS([1]инфо!$I$15:$I$28,[1]инфо!$A$15:$A$28,F914)</f>
        <v/>
      </c>
      <c r="AU914" s="62">
        <f>IF(H914=0,0,AD914/H914)</f>
        <v/>
      </c>
      <c r="AV914" s="82">
        <f>AU914-AT914</f>
        <v/>
      </c>
      <c r="AX914" s="80">
        <f>SUMIFS([1]инфо!$C$15:$C$28,[1]инфо!$A$15:$A$28,F914)*H913</f>
        <v/>
      </c>
    </row>
    <row r="915">
      <c r="A915" s="71">
        <f>A913+1</f>
        <v/>
      </c>
      <c r="B915" s="89" t="n"/>
      <c r="C915" s="72" t="n"/>
      <c r="D915" s="73" t="n"/>
      <c r="E915" s="91" t="n"/>
      <c r="F915" s="67" t="n"/>
      <c r="G915" s="74" t="n"/>
      <c r="H915" s="55" t="n"/>
      <c r="I915" s="55" t="n"/>
      <c r="J915" s="55" t="n"/>
      <c r="K915" s="55" t="n"/>
      <c r="L915" s="55" t="n"/>
      <c r="M915" s="55" t="n"/>
      <c r="N915" s="67" t="n"/>
      <c r="O915" s="74" t="n"/>
      <c r="P915" s="74" t="n"/>
      <c r="Q915" s="74" t="n"/>
      <c r="R915" s="74" t="n"/>
      <c r="S915" s="70">
        <f>SUM(O915:R915)</f>
        <v/>
      </c>
      <c r="T915" s="72" t="n"/>
      <c r="U915" s="73" t="n"/>
      <c r="V915" s="74" t="n"/>
      <c r="W915" s="74" t="n"/>
      <c r="X915" s="74" t="n"/>
      <c r="Y915" s="72" t="n"/>
      <c r="Z915" s="74" t="n"/>
      <c r="AA915" s="74" t="n"/>
      <c r="AB915" s="74" t="n"/>
      <c r="AC915" s="74" t="n"/>
      <c r="AD915" s="73" t="n"/>
      <c r="AE915" s="75">
        <f>SUMIFS([1]инфо!$D$15:$D$28,[1]инфо!$A$15:$A$28,F915)</f>
        <v/>
      </c>
      <c r="AF915" s="62">
        <f>IF(H915=0,0,N915/H915)</f>
        <v/>
      </c>
      <c r="AG915" s="76">
        <f>AF915-AE915</f>
        <v/>
      </c>
      <c r="AH915" s="75">
        <f>SUMIFS([1]инфо!$E$15:$E$28,[1]инфо!$A$15:$A$28,F915)</f>
        <v/>
      </c>
      <c r="AI915" s="64">
        <f>IF(H915=0,0,S915/H915)</f>
        <v/>
      </c>
      <c r="AJ915" s="76">
        <f>AI915-AH915</f>
        <v/>
      </c>
      <c r="AK915" s="75">
        <f>SUMIFS([1]инфо!$F$15:$F$28,[1]инфо!$A$15:$A$28,F915)</f>
        <v/>
      </c>
      <c r="AL915" s="64">
        <f>IF(H915=0,0,Y915/H915)</f>
        <v/>
      </c>
      <c r="AM915" s="76">
        <f>AL915-AK915</f>
        <v/>
      </c>
      <c r="AN915" s="75">
        <f>SUMIFS([1]инфо!$G$15:$G$28,[1]инфо!$A$15:$A$28,F915)</f>
        <v/>
      </c>
      <c r="AO915" s="64">
        <f>IF(H915=0,0,AA915/H915)</f>
        <v/>
      </c>
      <c r="AP915" s="76">
        <f>AO915-AN915</f>
        <v/>
      </c>
      <c r="AQ915" s="75">
        <f>SUMIFS([1]инфо!$H$15:$H$28,[1]инфо!$A$15:$A$28,F915)</f>
        <v/>
      </c>
      <c r="AR915" s="64">
        <f>IF(H914=0,0,AC915/H914)</f>
        <v/>
      </c>
      <c r="AS915" s="76">
        <f>AR915-AQ915</f>
        <v/>
      </c>
      <c r="AT915" s="75">
        <f>SUMIFS([1]инфо!$I$15:$I$28,[1]инфо!$A$15:$A$28,F915)</f>
        <v/>
      </c>
      <c r="AU915" s="62">
        <f>IF(H915=0,0,AD915/H915)</f>
        <v/>
      </c>
      <c r="AV915" s="76">
        <f>AU915-AT915</f>
        <v/>
      </c>
      <c r="AX915" s="70">
        <f>SUMIFS([1]инфо!$C$15:$C$28,[1]инфо!$A$15:$A$28,F915)*H914</f>
        <v/>
      </c>
    </row>
    <row r="916">
      <c r="A916" s="71">
        <f>A914+1</f>
        <v/>
      </c>
      <c r="B916" s="90" t="n"/>
      <c r="C916" s="52" t="n"/>
      <c r="D916" s="53" t="n"/>
      <c r="E916" s="91" t="n"/>
      <c r="F916" s="67" t="n"/>
      <c r="G916" s="58" t="n"/>
      <c r="H916" s="55" t="n"/>
      <c r="I916" s="55" t="n"/>
      <c r="J916" s="55" t="n"/>
      <c r="K916" s="55" t="n"/>
      <c r="L916" s="55" t="n"/>
      <c r="M916" s="55" t="n"/>
      <c r="N916" s="55" t="n"/>
      <c r="O916" s="58" t="n"/>
      <c r="P916" s="58" t="n"/>
      <c r="Q916" s="58" t="n"/>
      <c r="R916" s="58" t="n"/>
      <c r="S916" s="59">
        <f>SUM(O916:R916)</f>
        <v/>
      </c>
      <c r="T916" s="52" t="n"/>
      <c r="U916" s="53" t="n"/>
      <c r="V916" s="58" t="n"/>
      <c r="W916" s="58" t="n"/>
      <c r="X916" s="58" t="n"/>
      <c r="Y916" s="52" t="n"/>
      <c r="Z916" s="58" t="n"/>
      <c r="AA916" s="58" t="n"/>
      <c r="AB916" s="58" t="n"/>
      <c r="AC916" s="58" t="n"/>
      <c r="AD916" s="53" t="n"/>
      <c r="AE916" s="61">
        <f>SUMIFS([1]инфо!$D$15:$D$28,[1]инфо!$A$15:$A$28,F916)</f>
        <v/>
      </c>
      <c r="AF916" s="62">
        <f>IF(H916=0,0,N916/H916)</f>
        <v/>
      </c>
      <c r="AG916" s="63">
        <f>AF916-AE916</f>
        <v/>
      </c>
      <c r="AH916" s="61">
        <f>SUMIFS([1]инфо!$E$15:$E$28,[1]инфо!$A$15:$A$28,F916)</f>
        <v/>
      </c>
      <c r="AI916" s="64">
        <f>IF(H916=0,0,S916/H916)</f>
        <v/>
      </c>
      <c r="AJ916" s="63">
        <f>AI916-AH916</f>
        <v/>
      </c>
      <c r="AK916" s="61">
        <f>SUMIFS([1]инфо!$F$15:$F$28,[1]инфо!$A$15:$A$28,F916)</f>
        <v/>
      </c>
      <c r="AL916" s="64">
        <f>IF(H916=0,0,Y916/H916)</f>
        <v/>
      </c>
      <c r="AM916" s="63">
        <f>AL916-AK916</f>
        <v/>
      </c>
      <c r="AN916" s="61">
        <f>SUMIFS([1]инфо!$G$15:$G$28,[1]инфо!$A$15:$A$28,F916)</f>
        <v/>
      </c>
      <c r="AO916" s="64">
        <f>IF(H916=0,0,AA916/H916)</f>
        <v/>
      </c>
      <c r="AP916" s="63">
        <f>AO916-AN916</f>
        <v/>
      </c>
      <c r="AQ916" s="61">
        <f>SUMIFS([1]инфо!$H$15:$H$28,[1]инфо!$A$15:$A$28,F916)</f>
        <v/>
      </c>
      <c r="AR916" s="62">
        <f>IF(H915=0,0,AC916/H915)</f>
        <v/>
      </c>
      <c r="AS916" s="63">
        <f>AR916-AQ916</f>
        <v/>
      </c>
      <c r="AT916" s="61">
        <f>SUMIFS([1]инфо!$I$15:$I$28,[1]инфо!$A$15:$A$28,F916)</f>
        <v/>
      </c>
      <c r="AU916" s="62">
        <f>IF(H916=0,0,AD916/H916)</f>
        <v/>
      </c>
      <c r="AV916" s="63">
        <f>AU916-AT916</f>
        <v/>
      </c>
      <c r="AX916" s="59">
        <f>SUMIFS([1]инфо!$C$15:$C$28,[1]инфо!$A$15:$A$28,F916)*H915</f>
        <v/>
      </c>
    </row>
    <row r="917">
      <c r="A917" s="71">
        <f>A915+1</f>
        <v/>
      </c>
      <c r="B917" s="90" t="n"/>
      <c r="C917" s="52" t="n"/>
      <c r="D917" s="53" t="n"/>
      <c r="E917" s="91" t="n"/>
      <c r="F917" s="67" t="n"/>
      <c r="G917" s="58" t="n"/>
      <c r="H917" s="56" t="n"/>
      <c r="I917" s="55" t="n"/>
      <c r="J917" s="55" t="n"/>
      <c r="K917" s="55" t="n"/>
      <c r="L917" s="55" t="n"/>
      <c r="M917" s="55" t="n"/>
      <c r="N917" s="55" t="n"/>
      <c r="O917" s="58" t="n"/>
      <c r="P917" s="58" t="n"/>
      <c r="Q917" s="58" t="n"/>
      <c r="R917" s="58" t="n"/>
      <c r="S917" s="59">
        <f>SUM(O917:R917)</f>
        <v/>
      </c>
      <c r="T917" s="52" t="n"/>
      <c r="U917" s="53" t="n"/>
      <c r="V917" s="58" t="n"/>
      <c r="W917" s="58" t="n"/>
      <c r="X917" s="58" t="n"/>
      <c r="Y917" s="52" t="n"/>
      <c r="Z917" s="58" t="n"/>
      <c r="AA917" s="58" t="n"/>
      <c r="AB917" s="58" t="n"/>
      <c r="AC917" s="58" t="n"/>
      <c r="AD917" s="53" t="n"/>
      <c r="AE917" s="61">
        <f>SUMIFS([1]инфо!$D$15:$D$28,[1]инфо!$A$15:$A$28,F917)</f>
        <v/>
      </c>
      <c r="AF917" s="62">
        <f>IF(H917=0,0,N917/H917)</f>
        <v/>
      </c>
      <c r="AG917" s="63">
        <f>AF917-AE917</f>
        <v/>
      </c>
      <c r="AH917" s="61">
        <f>SUMIFS([1]инфо!$E$15:$E$28,[1]инфо!$A$15:$A$28,F917)</f>
        <v/>
      </c>
      <c r="AI917" s="64">
        <f>IF(H917=0,0,S917/H917)</f>
        <v/>
      </c>
      <c r="AJ917" s="63">
        <f>AI917-AH917</f>
        <v/>
      </c>
      <c r="AK917" s="61">
        <f>SUMIFS([1]инфо!$F$15:$F$28,[1]инфо!$A$15:$A$28,F917)</f>
        <v/>
      </c>
      <c r="AL917" s="64">
        <f>IF(H917=0,0,Y917/H917)</f>
        <v/>
      </c>
      <c r="AM917" s="63">
        <f>AL917-AK917</f>
        <v/>
      </c>
      <c r="AN917" s="61">
        <f>SUMIFS([1]инфо!$G$15:$G$28,[1]инфо!$A$15:$A$28,F917)</f>
        <v/>
      </c>
      <c r="AO917" s="64">
        <f>IF(H917=0,0,AA917/H917)</f>
        <v/>
      </c>
      <c r="AP917" s="63">
        <f>AO917-AN917</f>
        <v/>
      </c>
      <c r="AQ917" s="61">
        <f>SUMIFS([1]инфо!$H$15:$H$28,[1]инфо!$A$15:$A$28,F917)</f>
        <v/>
      </c>
      <c r="AR917" s="62">
        <f>IF(H916=0,0,AC917/H916)</f>
        <v/>
      </c>
      <c r="AS917" s="63">
        <f>AR917-AQ917</f>
        <v/>
      </c>
      <c r="AT917" s="61">
        <f>SUMIFS([1]инфо!$I$15:$I$28,[1]инфо!$A$15:$A$28,F917)</f>
        <v/>
      </c>
      <c r="AU917" s="62">
        <f>IF(H917=0,0,AD917/H917)</f>
        <v/>
      </c>
      <c r="AV917" s="63">
        <f>AU917-AT917</f>
        <v/>
      </c>
      <c r="AX917" s="59">
        <f>SUMIFS([1]инфо!$C$15:$C$28,[1]инфо!$A$15:$A$28,F917)*H916</f>
        <v/>
      </c>
    </row>
    <row r="918">
      <c r="A918" s="71">
        <f>A916+1</f>
        <v/>
      </c>
      <c r="B918" s="88" t="n"/>
      <c r="C918" s="77" t="n"/>
      <c r="D918" s="78" t="n"/>
      <c r="E918" s="91" t="n"/>
      <c r="F918" s="67" t="n"/>
      <c r="G918" s="79" t="n"/>
      <c r="H918" s="67" t="n"/>
      <c r="I918" s="55" t="n"/>
      <c r="J918" s="55" t="n"/>
      <c r="K918" s="55" t="n"/>
      <c r="L918" s="55" t="n"/>
      <c r="M918" s="55" t="n"/>
      <c r="N918" s="56" t="n"/>
      <c r="O918" s="79" t="n"/>
      <c r="P918" s="79" t="n"/>
      <c r="Q918" s="79" t="n"/>
      <c r="R918" s="79" t="n"/>
      <c r="S918" s="80">
        <f>SUM(O918:R918)</f>
        <v/>
      </c>
      <c r="T918" s="77" t="n"/>
      <c r="U918" s="78" t="n"/>
      <c r="V918" s="79" t="n"/>
      <c r="W918" s="79" t="n"/>
      <c r="X918" s="79" t="n"/>
      <c r="Y918" s="77" t="n"/>
      <c r="Z918" s="79" t="n"/>
      <c r="AA918" s="79" t="n"/>
      <c r="AB918" s="79" t="n"/>
      <c r="AC918" s="79" t="n"/>
      <c r="AD918" s="78" t="n"/>
      <c r="AE918" s="81">
        <f>SUMIFS([1]инфо!$D$15:$D$28,[1]инфо!$A$15:$A$28,F918)</f>
        <v/>
      </c>
      <c r="AF918" s="62">
        <f>IF(H918=0,0,N918/H918)</f>
        <v/>
      </c>
      <c r="AG918" s="82">
        <f>AF918-AE918</f>
        <v/>
      </c>
      <c r="AH918" s="81">
        <f>SUMIFS([1]инфо!$E$15:$E$28,[1]инфо!$A$15:$A$28,F918)</f>
        <v/>
      </c>
      <c r="AI918" s="64">
        <f>IF(H918=0,0,S918/H918)</f>
        <v/>
      </c>
      <c r="AJ918" s="82">
        <f>AI918-AH918</f>
        <v/>
      </c>
      <c r="AK918" s="81">
        <f>SUMIFS([1]инфо!$F$15:$F$28,[1]инфо!$A$15:$A$28,F918)</f>
        <v/>
      </c>
      <c r="AL918" s="64">
        <f>IF(H918=0,0,Y918/H918)</f>
        <v/>
      </c>
      <c r="AM918" s="82">
        <f>AL918-AK918</f>
        <v/>
      </c>
      <c r="AN918" s="81">
        <f>SUMIFS([1]инфо!$G$15:$G$28,[1]инфо!$A$15:$A$28,F918)</f>
        <v/>
      </c>
      <c r="AO918" s="64">
        <f>IF(H918=0,0,AA918/H918)</f>
        <v/>
      </c>
      <c r="AP918" s="82">
        <f>AO918-AN918</f>
        <v/>
      </c>
      <c r="AQ918" s="81">
        <f>SUMIFS([1]инфо!$H$15:$H$28,[1]инфо!$A$15:$A$28,F918)</f>
        <v/>
      </c>
      <c r="AR918" s="85">
        <f>IF(H917=0,0,AC918/H917)</f>
        <v/>
      </c>
      <c r="AS918" s="82">
        <f>AR918-AQ918</f>
        <v/>
      </c>
      <c r="AT918" s="81">
        <f>SUMIFS([1]инфо!$I$15:$I$28,[1]инфо!$A$15:$A$28,F918)</f>
        <v/>
      </c>
      <c r="AU918" s="62">
        <f>IF(H918=0,0,AD918/H918)</f>
        <v/>
      </c>
      <c r="AV918" s="82">
        <f>AU918-AT918</f>
        <v/>
      </c>
      <c r="AX918" s="80">
        <f>SUMIFS([1]инфо!$C$15:$C$28,[1]инфо!$A$15:$A$28,F918)*H917</f>
        <v/>
      </c>
    </row>
    <row r="919">
      <c r="A919" s="71">
        <f>A917+1</f>
        <v/>
      </c>
      <c r="B919" s="89" t="n"/>
      <c r="C919" s="72" t="n"/>
      <c r="D919" s="73" t="n"/>
      <c r="E919" s="91" t="n"/>
      <c r="F919" s="67" t="n"/>
      <c r="G919" s="74" t="n"/>
      <c r="H919" s="55" t="n"/>
      <c r="I919" s="55" t="n"/>
      <c r="J919" s="55" t="n"/>
      <c r="K919" s="55" t="n"/>
      <c r="L919" s="55" t="n"/>
      <c r="M919" s="55" t="n"/>
      <c r="N919" s="67" t="n"/>
      <c r="O919" s="74" t="n"/>
      <c r="P919" s="74" t="n"/>
      <c r="Q919" s="74" t="n"/>
      <c r="R919" s="74" t="n"/>
      <c r="S919" s="70">
        <f>SUM(O919:R919)</f>
        <v/>
      </c>
      <c r="T919" s="72" t="n"/>
      <c r="U919" s="73" t="n"/>
      <c r="V919" s="74" t="n"/>
      <c r="W919" s="74" t="n"/>
      <c r="X919" s="74" t="n"/>
      <c r="Y919" s="72" t="n"/>
      <c r="Z919" s="74" t="n"/>
      <c r="AA919" s="74" t="n"/>
      <c r="AB919" s="74" t="n"/>
      <c r="AC919" s="74" t="n"/>
      <c r="AD919" s="73" t="n"/>
      <c r="AE919" s="75">
        <f>SUMIFS([1]инфо!$D$15:$D$28,[1]инфо!$A$15:$A$28,F919)</f>
        <v/>
      </c>
      <c r="AF919" s="62">
        <f>IF(H919=0,0,N919/H919)</f>
        <v/>
      </c>
      <c r="AG919" s="76">
        <f>AF919-AE919</f>
        <v/>
      </c>
      <c r="AH919" s="75">
        <f>SUMIFS([1]инфо!$E$15:$E$28,[1]инфо!$A$15:$A$28,F919)</f>
        <v/>
      </c>
      <c r="AI919" s="64">
        <f>IF(H919=0,0,S919/H919)</f>
        <v/>
      </c>
      <c r="AJ919" s="76">
        <f>AI919-AH919</f>
        <v/>
      </c>
      <c r="AK919" s="75">
        <f>SUMIFS([1]инфо!$F$15:$F$28,[1]инфо!$A$15:$A$28,F919)</f>
        <v/>
      </c>
      <c r="AL919" s="64">
        <f>IF(H919=0,0,Y919/H919)</f>
        <v/>
      </c>
      <c r="AM919" s="76">
        <f>AL919-AK919</f>
        <v/>
      </c>
      <c r="AN919" s="75">
        <f>SUMIFS([1]инфо!$G$15:$G$28,[1]инфо!$A$15:$A$28,F919)</f>
        <v/>
      </c>
      <c r="AO919" s="64">
        <f>IF(H919=0,0,AA919/H919)</f>
        <v/>
      </c>
      <c r="AP919" s="76">
        <f>AO919-AN919</f>
        <v/>
      </c>
      <c r="AQ919" s="75">
        <f>SUMIFS([1]инфо!$H$15:$H$28,[1]инфо!$A$15:$A$28,F919)</f>
        <v/>
      </c>
      <c r="AR919" s="64">
        <f>IF(H918=0,0,AC919/H918)</f>
        <v/>
      </c>
      <c r="AS919" s="76">
        <f>AR919-AQ919</f>
        <v/>
      </c>
      <c r="AT919" s="75">
        <f>SUMIFS([1]инфо!$I$15:$I$28,[1]инфо!$A$15:$A$28,F919)</f>
        <v/>
      </c>
      <c r="AU919" s="62">
        <f>IF(H919=0,0,AD919/H919)</f>
        <v/>
      </c>
      <c r="AV919" s="76">
        <f>AU919-AT919</f>
        <v/>
      </c>
      <c r="AX919" s="70">
        <f>SUMIFS([1]инфо!$C$15:$C$28,[1]инфо!$A$15:$A$28,F919)*H918</f>
        <v/>
      </c>
    </row>
    <row r="920">
      <c r="A920" s="71">
        <f>A918+1</f>
        <v/>
      </c>
      <c r="B920" s="90" t="n"/>
      <c r="C920" s="52" t="n"/>
      <c r="D920" s="53" t="n"/>
      <c r="E920" s="91" t="n"/>
      <c r="F920" s="67" t="n"/>
      <c r="G920" s="58" t="n"/>
      <c r="H920" s="55" t="n"/>
      <c r="I920" s="55" t="n"/>
      <c r="J920" s="55" t="n"/>
      <c r="K920" s="55" t="n"/>
      <c r="L920" s="55" t="n"/>
      <c r="M920" s="55" t="n"/>
      <c r="N920" s="55" t="n"/>
      <c r="O920" s="58" t="n"/>
      <c r="P920" s="58" t="n"/>
      <c r="Q920" s="58" t="n"/>
      <c r="R920" s="58" t="n"/>
      <c r="S920" s="59">
        <f>SUM(O920:R920)</f>
        <v/>
      </c>
      <c r="T920" s="52" t="n"/>
      <c r="U920" s="53" t="n"/>
      <c r="V920" s="58" t="n"/>
      <c r="W920" s="58" t="n"/>
      <c r="X920" s="58" t="n"/>
      <c r="Y920" s="52" t="n"/>
      <c r="Z920" s="58" t="n"/>
      <c r="AA920" s="58" t="n"/>
      <c r="AB920" s="58" t="n"/>
      <c r="AC920" s="58" t="n"/>
      <c r="AD920" s="53" t="n"/>
      <c r="AE920" s="61">
        <f>SUMIFS([1]инфо!$D$15:$D$28,[1]инфо!$A$15:$A$28,F920)</f>
        <v/>
      </c>
      <c r="AF920" s="62">
        <f>IF(H920=0,0,N920/H920)</f>
        <v/>
      </c>
      <c r="AG920" s="63">
        <f>AF920-AE920</f>
        <v/>
      </c>
      <c r="AH920" s="61">
        <f>SUMIFS([1]инфо!$E$15:$E$28,[1]инфо!$A$15:$A$28,F920)</f>
        <v/>
      </c>
      <c r="AI920" s="64">
        <f>IF(H920=0,0,S920/H920)</f>
        <v/>
      </c>
      <c r="AJ920" s="63">
        <f>AI920-AH920</f>
        <v/>
      </c>
      <c r="AK920" s="61">
        <f>SUMIFS([1]инфо!$F$15:$F$28,[1]инфо!$A$15:$A$28,F920)</f>
        <v/>
      </c>
      <c r="AL920" s="64">
        <f>IF(H920=0,0,Y920/H920)</f>
        <v/>
      </c>
      <c r="AM920" s="63">
        <f>AL920-AK920</f>
        <v/>
      </c>
      <c r="AN920" s="61">
        <f>SUMIFS([1]инфо!$G$15:$G$28,[1]инфо!$A$15:$A$28,F920)</f>
        <v/>
      </c>
      <c r="AO920" s="64">
        <f>IF(H920=0,0,AA920/H920)</f>
        <v/>
      </c>
      <c r="AP920" s="63">
        <f>AO920-AN920</f>
        <v/>
      </c>
      <c r="AQ920" s="61">
        <f>SUMIFS([1]инфо!$H$15:$H$28,[1]инфо!$A$15:$A$28,F920)</f>
        <v/>
      </c>
      <c r="AR920" s="62">
        <f>IF(H919=0,0,AC920/H919)</f>
        <v/>
      </c>
      <c r="AS920" s="63">
        <f>AR920-AQ920</f>
        <v/>
      </c>
      <c r="AT920" s="61">
        <f>SUMIFS([1]инфо!$I$15:$I$28,[1]инфо!$A$15:$A$28,F920)</f>
        <v/>
      </c>
      <c r="AU920" s="62">
        <f>IF(H920=0,0,AD920/H920)</f>
        <v/>
      </c>
      <c r="AV920" s="63">
        <f>AU920-AT920</f>
        <v/>
      </c>
      <c r="AX920" s="59">
        <f>SUMIFS([1]инфо!$C$15:$C$28,[1]инфо!$A$15:$A$28,F920)*H919</f>
        <v/>
      </c>
    </row>
    <row r="921">
      <c r="A921" s="71">
        <f>A919+1</f>
        <v/>
      </c>
      <c r="B921" s="90" t="n"/>
      <c r="C921" s="52" t="n"/>
      <c r="D921" s="53" t="n"/>
      <c r="E921" s="91" t="n"/>
      <c r="F921" s="67" t="n"/>
      <c r="G921" s="58" t="n"/>
      <c r="H921" s="56" t="n"/>
      <c r="I921" s="55" t="n"/>
      <c r="J921" s="55" t="n"/>
      <c r="K921" s="55" t="n"/>
      <c r="L921" s="55" t="n"/>
      <c r="M921" s="55" t="n"/>
      <c r="N921" s="55" t="n"/>
      <c r="O921" s="58" t="n"/>
      <c r="P921" s="58" t="n"/>
      <c r="Q921" s="58" t="n"/>
      <c r="R921" s="58" t="n"/>
      <c r="S921" s="59">
        <f>SUM(O921:R921)</f>
        <v/>
      </c>
      <c r="T921" s="52" t="n"/>
      <c r="U921" s="53" t="n"/>
      <c r="V921" s="58" t="n"/>
      <c r="W921" s="58" t="n"/>
      <c r="X921" s="58" t="n"/>
      <c r="Y921" s="52" t="n"/>
      <c r="Z921" s="58" t="n"/>
      <c r="AA921" s="58" t="n"/>
      <c r="AB921" s="58" t="n"/>
      <c r="AC921" s="58" t="n"/>
      <c r="AD921" s="53" t="n"/>
      <c r="AE921" s="61">
        <f>SUMIFS([1]инфо!$D$15:$D$28,[1]инфо!$A$15:$A$28,F921)</f>
        <v/>
      </c>
      <c r="AF921" s="62">
        <f>IF(H921=0,0,N921/H921)</f>
        <v/>
      </c>
      <c r="AG921" s="63">
        <f>AF921-AE921</f>
        <v/>
      </c>
      <c r="AH921" s="61">
        <f>SUMIFS([1]инфо!$E$15:$E$28,[1]инфо!$A$15:$A$28,F921)</f>
        <v/>
      </c>
      <c r="AI921" s="64">
        <f>IF(H921=0,0,S921/H921)</f>
        <v/>
      </c>
      <c r="AJ921" s="63">
        <f>AI921-AH921</f>
        <v/>
      </c>
      <c r="AK921" s="61">
        <f>SUMIFS([1]инфо!$F$15:$F$28,[1]инфо!$A$15:$A$28,F921)</f>
        <v/>
      </c>
      <c r="AL921" s="64">
        <f>IF(H921=0,0,Y921/H921)</f>
        <v/>
      </c>
      <c r="AM921" s="63">
        <f>AL921-AK921</f>
        <v/>
      </c>
      <c r="AN921" s="61">
        <f>SUMIFS([1]инфо!$G$15:$G$28,[1]инфо!$A$15:$A$28,F921)</f>
        <v/>
      </c>
      <c r="AO921" s="64">
        <f>IF(H921=0,0,AA921/H921)</f>
        <v/>
      </c>
      <c r="AP921" s="63">
        <f>AO921-AN921</f>
        <v/>
      </c>
      <c r="AQ921" s="61">
        <f>SUMIFS([1]инфо!$H$15:$H$28,[1]инфо!$A$15:$A$28,F921)</f>
        <v/>
      </c>
      <c r="AR921" s="62">
        <f>IF(H920=0,0,AC921/H920)</f>
        <v/>
      </c>
      <c r="AS921" s="63">
        <f>AR921-AQ921</f>
        <v/>
      </c>
      <c r="AT921" s="61">
        <f>SUMIFS([1]инфо!$I$15:$I$28,[1]инфо!$A$15:$A$28,F921)</f>
        <v/>
      </c>
      <c r="AU921" s="62">
        <f>IF(H921=0,0,AD921/H921)</f>
        <v/>
      </c>
      <c r="AV921" s="63">
        <f>AU921-AT921</f>
        <v/>
      </c>
      <c r="AX921" s="59">
        <f>SUMIFS([1]инфо!$C$15:$C$28,[1]инфо!$A$15:$A$28,F921)*H920</f>
        <v/>
      </c>
    </row>
    <row r="922">
      <c r="A922" s="71">
        <f>A920+1</f>
        <v/>
      </c>
      <c r="B922" s="88" t="n"/>
      <c r="C922" s="77" t="n"/>
      <c r="D922" s="78" t="n"/>
      <c r="E922" s="91" t="n"/>
      <c r="F922" s="67" t="n"/>
      <c r="G922" s="79" t="n"/>
      <c r="H922" s="67" t="n"/>
      <c r="I922" s="55" t="n"/>
      <c r="J922" s="55" t="n"/>
      <c r="K922" s="55" t="n"/>
      <c r="L922" s="55" t="n"/>
      <c r="M922" s="55" t="n"/>
      <c r="N922" s="56" t="n"/>
      <c r="O922" s="79" t="n"/>
      <c r="P922" s="79" t="n"/>
      <c r="Q922" s="79" t="n"/>
      <c r="R922" s="79" t="n"/>
      <c r="S922" s="80">
        <f>SUM(O922:R922)</f>
        <v/>
      </c>
      <c r="T922" s="77" t="n"/>
      <c r="U922" s="78" t="n"/>
      <c r="V922" s="79" t="n"/>
      <c r="W922" s="79" t="n"/>
      <c r="X922" s="79" t="n"/>
      <c r="Y922" s="77" t="n"/>
      <c r="Z922" s="79" t="n"/>
      <c r="AA922" s="79" t="n"/>
      <c r="AB922" s="79" t="n"/>
      <c r="AC922" s="79" t="n"/>
      <c r="AD922" s="78" t="n"/>
      <c r="AE922" s="81">
        <f>SUMIFS([1]инфо!$D$15:$D$28,[1]инфо!$A$15:$A$28,F922)</f>
        <v/>
      </c>
      <c r="AF922" s="62">
        <f>IF(H922=0,0,N922/H922)</f>
        <v/>
      </c>
      <c r="AG922" s="82">
        <f>AF922-AE922</f>
        <v/>
      </c>
      <c r="AH922" s="81">
        <f>SUMIFS([1]инфо!$E$15:$E$28,[1]инфо!$A$15:$A$28,F922)</f>
        <v/>
      </c>
      <c r="AI922" s="64">
        <f>IF(H922=0,0,S922/H922)</f>
        <v/>
      </c>
      <c r="AJ922" s="82">
        <f>AI922-AH922</f>
        <v/>
      </c>
      <c r="AK922" s="81">
        <f>SUMIFS([1]инфо!$F$15:$F$28,[1]инфо!$A$15:$A$28,F922)</f>
        <v/>
      </c>
      <c r="AL922" s="64">
        <f>IF(H922=0,0,Y922/H922)</f>
        <v/>
      </c>
      <c r="AM922" s="82">
        <f>AL922-AK922</f>
        <v/>
      </c>
      <c r="AN922" s="81">
        <f>SUMIFS([1]инфо!$G$15:$G$28,[1]инфо!$A$15:$A$28,F922)</f>
        <v/>
      </c>
      <c r="AO922" s="64">
        <f>IF(H922=0,0,AA922/H922)</f>
        <v/>
      </c>
      <c r="AP922" s="82">
        <f>AO922-AN922</f>
        <v/>
      </c>
      <c r="AQ922" s="81">
        <f>SUMIFS([1]инфо!$H$15:$H$28,[1]инфо!$A$15:$A$28,F922)</f>
        <v/>
      </c>
      <c r="AR922" s="85">
        <f>IF(H921=0,0,AC922/H921)</f>
        <v/>
      </c>
      <c r="AS922" s="82">
        <f>AR922-AQ922</f>
        <v/>
      </c>
      <c r="AT922" s="81">
        <f>SUMIFS([1]инфо!$I$15:$I$28,[1]инфо!$A$15:$A$28,F922)</f>
        <v/>
      </c>
      <c r="AU922" s="62">
        <f>IF(H922=0,0,AD922/H922)</f>
        <v/>
      </c>
      <c r="AV922" s="82">
        <f>AU922-AT922</f>
        <v/>
      </c>
      <c r="AX922" s="80">
        <f>SUMIFS([1]инфо!$C$15:$C$28,[1]инфо!$A$15:$A$28,F922)*H921</f>
        <v/>
      </c>
    </row>
    <row r="923">
      <c r="A923" s="71">
        <f>A921+1</f>
        <v/>
      </c>
      <c r="B923" s="89" t="n"/>
      <c r="C923" s="72" t="n"/>
      <c r="D923" s="73" t="n"/>
      <c r="E923" s="91" t="n"/>
      <c r="F923" s="67" t="n"/>
      <c r="G923" s="74" t="n"/>
      <c r="H923" s="55" t="n"/>
      <c r="I923" s="55" t="n"/>
      <c r="J923" s="55" t="n"/>
      <c r="K923" s="55" t="n"/>
      <c r="L923" s="55" t="n"/>
      <c r="M923" s="55" t="n"/>
      <c r="N923" s="67" t="n"/>
      <c r="O923" s="74" t="n"/>
      <c r="P923" s="74" t="n"/>
      <c r="Q923" s="74" t="n"/>
      <c r="R923" s="74" t="n"/>
      <c r="S923" s="70">
        <f>SUM(O923:R923)</f>
        <v/>
      </c>
      <c r="T923" s="72" t="n"/>
      <c r="U923" s="73" t="n"/>
      <c r="V923" s="74" t="n"/>
      <c r="W923" s="74" t="n"/>
      <c r="X923" s="74" t="n"/>
      <c r="Y923" s="72" t="n"/>
      <c r="Z923" s="74" t="n"/>
      <c r="AA923" s="74" t="n"/>
      <c r="AB923" s="74" t="n"/>
      <c r="AC923" s="74" t="n"/>
      <c r="AD923" s="73" t="n"/>
      <c r="AE923" s="75">
        <f>SUMIFS([1]инфо!$D$15:$D$28,[1]инфо!$A$15:$A$28,F923)</f>
        <v/>
      </c>
      <c r="AF923" s="62">
        <f>IF(H923=0,0,N923/H923)</f>
        <v/>
      </c>
      <c r="AG923" s="76">
        <f>AF923-AE923</f>
        <v/>
      </c>
      <c r="AH923" s="75">
        <f>SUMIFS([1]инфо!$E$15:$E$28,[1]инфо!$A$15:$A$28,F923)</f>
        <v/>
      </c>
      <c r="AI923" s="64">
        <f>IF(H923=0,0,S923/H923)</f>
        <v/>
      </c>
      <c r="AJ923" s="76">
        <f>AI923-AH923</f>
        <v/>
      </c>
      <c r="AK923" s="75">
        <f>SUMIFS([1]инфо!$F$15:$F$28,[1]инфо!$A$15:$A$28,F923)</f>
        <v/>
      </c>
      <c r="AL923" s="64">
        <f>IF(H923=0,0,Y923/H923)</f>
        <v/>
      </c>
      <c r="AM923" s="76">
        <f>AL923-AK923</f>
        <v/>
      </c>
      <c r="AN923" s="75">
        <f>SUMIFS([1]инфо!$G$15:$G$28,[1]инфо!$A$15:$A$28,F923)</f>
        <v/>
      </c>
      <c r="AO923" s="64">
        <f>IF(H923=0,0,AA923/H923)</f>
        <v/>
      </c>
      <c r="AP923" s="76">
        <f>AO923-AN923</f>
        <v/>
      </c>
      <c r="AQ923" s="75">
        <f>SUMIFS([1]инфо!$H$15:$H$28,[1]инфо!$A$15:$A$28,F923)</f>
        <v/>
      </c>
      <c r="AR923" s="64">
        <f>IF(H922=0,0,AC923/H922)</f>
        <v/>
      </c>
      <c r="AS923" s="76">
        <f>AR923-AQ923</f>
        <v/>
      </c>
      <c r="AT923" s="75">
        <f>SUMIFS([1]инфо!$I$15:$I$28,[1]инфо!$A$15:$A$28,F923)</f>
        <v/>
      </c>
      <c r="AU923" s="62">
        <f>IF(H923=0,0,AD923/H923)</f>
        <v/>
      </c>
      <c r="AV923" s="76">
        <f>AU923-AT923</f>
        <v/>
      </c>
      <c r="AX923" s="70">
        <f>SUMIFS([1]инфо!$C$15:$C$28,[1]инфо!$A$15:$A$28,F923)*H922</f>
        <v/>
      </c>
    </row>
    <row r="924">
      <c r="A924" s="71">
        <f>A922+1</f>
        <v/>
      </c>
      <c r="B924" s="90" t="n"/>
      <c r="C924" s="52" t="n"/>
      <c r="D924" s="53" t="n"/>
      <c r="E924" s="91" t="n"/>
      <c r="F924" s="67" t="n"/>
      <c r="G924" s="58" t="n"/>
      <c r="H924" s="55" t="n"/>
      <c r="I924" s="55" t="n"/>
      <c r="J924" s="55" t="n"/>
      <c r="K924" s="55" t="n"/>
      <c r="L924" s="55" t="n"/>
      <c r="M924" s="55" t="n"/>
      <c r="N924" s="55" t="n"/>
      <c r="O924" s="58" t="n"/>
      <c r="P924" s="58" t="n"/>
      <c r="Q924" s="58" t="n"/>
      <c r="R924" s="58" t="n"/>
      <c r="S924" s="59">
        <f>SUM(O924:R924)</f>
        <v/>
      </c>
      <c r="T924" s="52" t="n"/>
      <c r="U924" s="53" t="n"/>
      <c r="V924" s="58" t="n"/>
      <c r="W924" s="58" t="n"/>
      <c r="X924" s="58" t="n"/>
      <c r="Y924" s="52" t="n"/>
      <c r="Z924" s="58" t="n"/>
      <c r="AA924" s="58" t="n"/>
      <c r="AB924" s="58" t="n"/>
      <c r="AC924" s="58" t="n"/>
      <c r="AD924" s="53" t="n"/>
      <c r="AE924" s="61">
        <f>SUMIFS([1]инфо!$D$15:$D$28,[1]инфо!$A$15:$A$28,F924)</f>
        <v/>
      </c>
      <c r="AF924" s="62">
        <f>IF(H924=0,0,N924/H924)</f>
        <v/>
      </c>
      <c r="AG924" s="63">
        <f>AF924-AE924</f>
        <v/>
      </c>
      <c r="AH924" s="61">
        <f>SUMIFS([1]инфо!$E$15:$E$28,[1]инфо!$A$15:$A$28,F924)</f>
        <v/>
      </c>
      <c r="AI924" s="64">
        <f>IF(H924=0,0,S924/H924)</f>
        <v/>
      </c>
      <c r="AJ924" s="63">
        <f>AI924-AH924</f>
        <v/>
      </c>
      <c r="AK924" s="61">
        <f>SUMIFS([1]инфо!$F$15:$F$28,[1]инфо!$A$15:$A$28,F924)</f>
        <v/>
      </c>
      <c r="AL924" s="64">
        <f>IF(H924=0,0,Y924/H924)</f>
        <v/>
      </c>
      <c r="AM924" s="63">
        <f>AL924-AK924</f>
        <v/>
      </c>
      <c r="AN924" s="61">
        <f>SUMIFS([1]инфо!$G$15:$G$28,[1]инфо!$A$15:$A$28,F924)</f>
        <v/>
      </c>
      <c r="AO924" s="64">
        <f>IF(H924=0,0,AA924/H924)</f>
        <v/>
      </c>
      <c r="AP924" s="63">
        <f>AO924-AN924</f>
        <v/>
      </c>
      <c r="AQ924" s="61">
        <f>SUMIFS([1]инфо!$H$15:$H$28,[1]инфо!$A$15:$A$28,F924)</f>
        <v/>
      </c>
      <c r="AR924" s="62">
        <f>IF(H923=0,0,AC924/H923)</f>
        <v/>
      </c>
      <c r="AS924" s="63">
        <f>AR924-AQ924</f>
        <v/>
      </c>
      <c r="AT924" s="61">
        <f>SUMIFS([1]инфо!$I$15:$I$28,[1]инфо!$A$15:$A$28,F924)</f>
        <v/>
      </c>
      <c r="AU924" s="62">
        <f>IF(H924=0,0,AD924/H924)</f>
        <v/>
      </c>
      <c r="AV924" s="63">
        <f>AU924-AT924</f>
        <v/>
      </c>
      <c r="AX924" s="59">
        <f>SUMIFS([1]инфо!$C$15:$C$28,[1]инфо!$A$15:$A$28,F924)*H923</f>
        <v/>
      </c>
    </row>
    <row r="925">
      <c r="A925" s="71">
        <f>A923+1</f>
        <v/>
      </c>
      <c r="B925" s="90" t="n"/>
      <c r="C925" s="52" t="n"/>
      <c r="D925" s="53" t="n"/>
      <c r="E925" s="91" t="n"/>
      <c r="F925" s="67" t="n"/>
      <c r="G925" s="58" t="n"/>
      <c r="H925" s="56" t="n"/>
      <c r="I925" s="55" t="n"/>
      <c r="J925" s="55" t="n"/>
      <c r="K925" s="55" t="n"/>
      <c r="L925" s="55" t="n"/>
      <c r="M925" s="55" t="n"/>
      <c r="N925" s="55" t="n"/>
      <c r="O925" s="58" t="n"/>
      <c r="P925" s="58" t="n"/>
      <c r="Q925" s="58" t="n"/>
      <c r="R925" s="58" t="n"/>
      <c r="S925" s="59">
        <f>SUM(O925:R925)</f>
        <v/>
      </c>
      <c r="T925" s="52" t="n"/>
      <c r="U925" s="53" t="n"/>
      <c r="V925" s="58" t="n"/>
      <c r="W925" s="58" t="n"/>
      <c r="X925" s="58" t="n"/>
      <c r="Y925" s="52" t="n"/>
      <c r="Z925" s="58" t="n"/>
      <c r="AA925" s="58" t="n"/>
      <c r="AB925" s="58" t="n"/>
      <c r="AC925" s="58" t="n"/>
      <c r="AD925" s="53" t="n"/>
      <c r="AE925" s="61">
        <f>SUMIFS([1]инфо!$D$15:$D$28,[1]инфо!$A$15:$A$28,F925)</f>
        <v/>
      </c>
      <c r="AF925" s="62">
        <f>IF(H925=0,0,N925/H925)</f>
        <v/>
      </c>
      <c r="AG925" s="63">
        <f>AF925-AE925</f>
        <v/>
      </c>
      <c r="AH925" s="61">
        <f>SUMIFS([1]инфо!$E$15:$E$28,[1]инфо!$A$15:$A$28,F925)</f>
        <v/>
      </c>
      <c r="AI925" s="64">
        <f>IF(H925=0,0,S925/H925)</f>
        <v/>
      </c>
      <c r="AJ925" s="63">
        <f>AI925-AH925</f>
        <v/>
      </c>
      <c r="AK925" s="61">
        <f>SUMIFS([1]инфо!$F$15:$F$28,[1]инфо!$A$15:$A$28,F925)</f>
        <v/>
      </c>
      <c r="AL925" s="64">
        <f>IF(H925=0,0,Y925/H925)</f>
        <v/>
      </c>
      <c r="AM925" s="63">
        <f>AL925-AK925</f>
        <v/>
      </c>
      <c r="AN925" s="61">
        <f>SUMIFS([1]инфо!$G$15:$G$28,[1]инфо!$A$15:$A$28,F925)</f>
        <v/>
      </c>
      <c r="AO925" s="64">
        <f>IF(H925=0,0,AA925/H925)</f>
        <v/>
      </c>
      <c r="AP925" s="63">
        <f>AO925-AN925</f>
        <v/>
      </c>
      <c r="AQ925" s="61">
        <f>SUMIFS([1]инфо!$H$15:$H$28,[1]инфо!$A$15:$A$28,F925)</f>
        <v/>
      </c>
      <c r="AR925" s="62">
        <f>IF(H924=0,0,AC925/H924)</f>
        <v/>
      </c>
      <c r="AS925" s="63">
        <f>AR925-AQ925</f>
        <v/>
      </c>
      <c r="AT925" s="61">
        <f>SUMIFS([1]инфо!$I$15:$I$28,[1]инфо!$A$15:$A$28,F925)</f>
        <v/>
      </c>
      <c r="AU925" s="62">
        <f>IF(H925=0,0,AD925/H925)</f>
        <v/>
      </c>
      <c r="AV925" s="63">
        <f>AU925-AT925</f>
        <v/>
      </c>
      <c r="AX925" s="59">
        <f>SUMIFS([1]инфо!$C$15:$C$28,[1]инфо!$A$15:$A$28,F925)*H924</f>
        <v/>
      </c>
    </row>
    <row r="926">
      <c r="A926" s="71">
        <f>A924+1</f>
        <v/>
      </c>
      <c r="B926" s="88" t="n"/>
      <c r="C926" s="77" t="n"/>
      <c r="D926" s="78" t="n"/>
      <c r="E926" s="91" t="n"/>
      <c r="F926" s="67" t="n"/>
      <c r="G926" s="79" t="n"/>
      <c r="H926" s="67" t="n"/>
      <c r="I926" s="55" t="n"/>
      <c r="J926" s="55" t="n"/>
      <c r="K926" s="55" t="n"/>
      <c r="L926" s="55" t="n"/>
      <c r="M926" s="55" t="n"/>
      <c r="N926" s="56" t="n"/>
      <c r="O926" s="79" t="n"/>
      <c r="P926" s="79" t="n"/>
      <c r="Q926" s="79" t="n"/>
      <c r="R926" s="79" t="n"/>
      <c r="S926" s="80">
        <f>SUM(O926:R926)</f>
        <v/>
      </c>
      <c r="T926" s="77" t="n"/>
      <c r="U926" s="78" t="n"/>
      <c r="V926" s="79" t="n"/>
      <c r="W926" s="79" t="n"/>
      <c r="X926" s="79" t="n"/>
      <c r="Y926" s="77" t="n"/>
      <c r="Z926" s="79" t="n"/>
      <c r="AA926" s="79" t="n"/>
      <c r="AB926" s="79" t="n"/>
      <c r="AC926" s="79" t="n"/>
      <c r="AD926" s="78" t="n"/>
      <c r="AE926" s="81">
        <f>SUMIFS([1]инфо!$D$15:$D$28,[1]инфо!$A$15:$A$28,F926)</f>
        <v/>
      </c>
      <c r="AF926" s="62">
        <f>IF(H926=0,0,N926/H926)</f>
        <v/>
      </c>
      <c r="AG926" s="82">
        <f>AF926-AE926</f>
        <v/>
      </c>
      <c r="AH926" s="81">
        <f>SUMIFS([1]инфо!$E$15:$E$28,[1]инфо!$A$15:$A$28,F926)</f>
        <v/>
      </c>
      <c r="AI926" s="64">
        <f>IF(H926=0,0,S926/H926)</f>
        <v/>
      </c>
      <c r="AJ926" s="82">
        <f>AI926-AH926</f>
        <v/>
      </c>
      <c r="AK926" s="81">
        <f>SUMIFS([1]инфо!$F$15:$F$28,[1]инфо!$A$15:$A$28,F926)</f>
        <v/>
      </c>
      <c r="AL926" s="64">
        <f>IF(H926=0,0,Y926/H926)</f>
        <v/>
      </c>
      <c r="AM926" s="82">
        <f>AL926-AK926</f>
        <v/>
      </c>
      <c r="AN926" s="81">
        <f>SUMIFS([1]инфо!$G$15:$G$28,[1]инфо!$A$15:$A$28,F926)</f>
        <v/>
      </c>
      <c r="AO926" s="64">
        <f>IF(H926=0,0,AA926/H926)</f>
        <v/>
      </c>
      <c r="AP926" s="82">
        <f>AO926-AN926</f>
        <v/>
      </c>
      <c r="AQ926" s="81">
        <f>SUMIFS([1]инфо!$H$15:$H$28,[1]инфо!$A$15:$A$28,F926)</f>
        <v/>
      </c>
      <c r="AR926" s="85">
        <f>IF(H925=0,0,AC926/H925)</f>
        <v/>
      </c>
      <c r="AS926" s="82">
        <f>AR926-AQ926</f>
        <v/>
      </c>
      <c r="AT926" s="81">
        <f>SUMIFS([1]инфо!$I$15:$I$28,[1]инфо!$A$15:$A$28,F926)</f>
        <v/>
      </c>
      <c r="AU926" s="62">
        <f>IF(H926=0,0,AD926/H926)</f>
        <v/>
      </c>
      <c r="AV926" s="82">
        <f>AU926-AT926</f>
        <v/>
      </c>
      <c r="AX926" s="80">
        <f>SUMIFS([1]инфо!$C$15:$C$28,[1]инфо!$A$15:$A$28,F926)*H925</f>
        <v/>
      </c>
    </row>
    <row r="927">
      <c r="A927" s="71">
        <f>A925+1</f>
        <v/>
      </c>
      <c r="B927" s="89" t="n"/>
      <c r="C927" s="72" t="n"/>
      <c r="D927" s="73" t="n"/>
      <c r="E927" s="91" t="n"/>
      <c r="F927" s="67" t="n"/>
      <c r="G927" s="74" t="n"/>
      <c r="H927" s="55" t="n"/>
      <c r="I927" s="55" t="n"/>
      <c r="J927" s="55" t="n"/>
      <c r="K927" s="55" t="n"/>
      <c r="L927" s="55" t="n"/>
      <c r="M927" s="55" t="n"/>
      <c r="N927" s="67" t="n"/>
      <c r="O927" s="74" t="n"/>
      <c r="P927" s="74" t="n"/>
      <c r="Q927" s="74" t="n"/>
      <c r="R927" s="74" t="n"/>
      <c r="S927" s="70">
        <f>SUM(O927:R927)</f>
        <v/>
      </c>
      <c r="T927" s="72" t="n"/>
      <c r="U927" s="73" t="n"/>
      <c r="V927" s="74" t="n"/>
      <c r="W927" s="74" t="n"/>
      <c r="X927" s="74" t="n"/>
      <c r="Y927" s="72" t="n"/>
      <c r="Z927" s="74" t="n"/>
      <c r="AA927" s="74" t="n"/>
      <c r="AB927" s="74" t="n"/>
      <c r="AC927" s="74" t="n"/>
      <c r="AD927" s="73" t="n"/>
      <c r="AE927" s="75">
        <f>SUMIFS([1]инфо!$D$15:$D$28,[1]инфо!$A$15:$A$28,F927)</f>
        <v/>
      </c>
      <c r="AF927" s="62">
        <f>IF(H927=0,0,N927/H927)</f>
        <v/>
      </c>
      <c r="AG927" s="76">
        <f>AF927-AE927</f>
        <v/>
      </c>
      <c r="AH927" s="75">
        <f>SUMIFS([1]инфо!$E$15:$E$28,[1]инфо!$A$15:$A$28,F927)</f>
        <v/>
      </c>
      <c r="AI927" s="64">
        <f>IF(H927=0,0,S927/H927)</f>
        <v/>
      </c>
      <c r="AJ927" s="76">
        <f>AI927-AH927</f>
        <v/>
      </c>
      <c r="AK927" s="75">
        <f>SUMIFS([1]инфо!$F$15:$F$28,[1]инфо!$A$15:$A$28,F927)</f>
        <v/>
      </c>
      <c r="AL927" s="64">
        <f>IF(H927=0,0,Y927/H927)</f>
        <v/>
      </c>
      <c r="AM927" s="76">
        <f>AL927-AK927</f>
        <v/>
      </c>
      <c r="AN927" s="75">
        <f>SUMIFS([1]инфо!$G$15:$G$28,[1]инфо!$A$15:$A$28,F927)</f>
        <v/>
      </c>
      <c r="AO927" s="64">
        <f>IF(H927=0,0,AA927/H927)</f>
        <v/>
      </c>
      <c r="AP927" s="76">
        <f>AO927-AN927</f>
        <v/>
      </c>
      <c r="AQ927" s="75">
        <f>SUMIFS([1]инфо!$H$15:$H$28,[1]инфо!$A$15:$A$28,F927)</f>
        <v/>
      </c>
      <c r="AR927" s="64">
        <f>IF(H926=0,0,AC927/H926)</f>
        <v/>
      </c>
      <c r="AS927" s="76">
        <f>AR927-AQ927</f>
        <v/>
      </c>
      <c r="AT927" s="75">
        <f>SUMIFS([1]инфо!$I$15:$I$28,[1]инфо!$A$15:$A$28,F927)</f>
        <v/>
      </c>
      <c r="AU927" s="62">
        <f>IF(H927=0,0,AD927/H927)</f>
        <v/>
      </c>
      <c r="AV927" s="76">
        <f>AU927-AT927</f>
        <v/>
      </c>
      <c r="AX927" s="70">
        <f>SUMIFS([1]инфо!$C$15:$C$28,[1]инфо!$A$15:$A$28,F927)*H926</f>
        <v/>
      </c>
    </row>
    <row r="928">
      <c r="A928" s="71">
        <f>A926+1</f>
        <v/>
      </c>
      <c r="B928" s="90" t="n"/>
      <c r="C928" s="52" t="n"/>
      <c r="D928" s="53" t="n"/>
      <c r="E928" s="91" t="n"/>
      <c r="F928" s="67" t="n"/>
      <c r="G928" s="58" t="n"/>
      <c r="H928" s="55" t="n"/>
      <c r="I928" s="55" t="n"/>
      <c r="J928" s="55" t="n"/>
      <c r="K928" s="55" t="n"/>
      <c r="L928" s="55" t="n"/>
      <c r="M928" s="55" t="n"/>
      <c r="N928" s="55" t="n"/>
      <c r="O928" s="58" t="n"/>
      <c r="P928" s="58" t="n"/>
      <c r="Q928" s="58" t="n"/>
      <c r="R928" s="58" t="n"/>
      <c r="S928" s="59">
        <f>SUM(O928:R928)</f>
        <v/>
      </c>
      <c r="T928" s="52" t="n"/>
      <c r="U928" s="53" t="n"/>
      <c r="V928" s="58" t="n"/>
      <c r="W928" s="58" t="n"/>
      <c r="X928" s="58" t="n"/>
      <c r="Y928" s="52" t="n"/>
      <c r="Z928" s="58" t="n"/>
      <c r="AA928" s="58" t="n"/>
      <c r="AB928" s="58" t="n"/>
      <c r="AC928" s="58" t="n"/>
      <c r="AD928" s="53" t="n"/>
      <c r="AE928" s="61">
        <f>SUMIFS([1]инфо!$D$15:$D$28,[1]инфо!$A$15:$A$28,F928)</f>
        <v/>
      </c>
      <c r="AF928" s="62">
        <f>IF(H928=0,0,N928/H928)</f>
        <v/>
      </c>
      <c r="AG928" s="63">
        <f>AF928-AE928</f>
        <v/>
      </c>
      <c r="AH928" s="61">
        <f>SUMIFS([1]инфо!$E$15:$E$28,[1]инфо!$A$15:$A$28,F928)</f>
        <v/>
      </c>
      <c r="AI928" s="64">
        <f>IF(H928=0,0,S928/H928)</f>
        <v/>
      </c>
      <c r="AJ928" s="63">
        <f>AI928-AH928</f>
        <v/>
      </c>
      <c r="AK928" s="61">
        <f>SUMIFS([1]инфо!$F$15:$F$28,[1]инфо!$A$15:$A$28,F928)</f>
        <v/>
      </c>
      <c r="AL928" s="64">
        <f>IF(H928=0,0,Y928/H928)</f>
        <v/>
      </c>
      <c r="AM928" s="63">
        <f>AL928-AK928</f>
        <v/>
      </c>
      <c r="AN928" s="61">
        <f>SUMIFS([1]инфо!$G$15:$G$28,[1]инфо!$A$15:$A$28,F928)</f>
        <v/>
      </c>
      <c r="AO928" s="64">
        <f>IF(H928=0,0,AA928/H928)</f>
        <v/>
      </c>
      <c r="AP928" s="63">
        <f>AO928-AN928</f>
        <v/>
      </c>
      <c r="AQ928" s="61">
        <f>SUMIFS([1]инфо!$H$15:$H$28,[1]инфо!$A$15:$A$28,F928)</f>
        <v/>
      </c>
      <c r="AR928" s="62">
        <f>IF(H927=0,0,AC928/H927)</f>
        <v/>
      </c>
      <c r="AS928" s="63">
        <f>AR928-AQ928</f>
        <v/>
      </c>
      <c r="AT928" s="61">
        <f>SUMIFS([1]инфо!$I$15:$I$28,[1]инфо!$A$15:$A$28,F928)</f>
        <v/>
      </c>
      <c r="AU928" s="62">
        <f>IF(H928=0,0,AD928/H928)</f>
        <v/>
      </c>
      <c r="AV928" s="63">
        <f>AU928-AT928</f>
        <v/>
      </c>
      <c r="AX928" s="59">
        <f>SUMIFS([1]инфо!$C$15:$C$28,[1]инфо!$A$15:$A$28,F928)*H927</f>
        <v/>
      </c>
    </row>
    <row r="929">
      <c r="A929" s="71">
        <f>A927+1</f>
        <v/>
      </c>
      <c r="B929" s="90" t="n"/>
      <c r="C929" s="52" t="n"/>
      <c r="D929" s="53" t="n"/>
      <c r="E929" s="91" t="n"/>
      <c r="F929" s="67" t="n"/>
      <c r="G929" s="58" t="n"/>
      <c r="H929" s="56" t="n"/>
      <c r="I929" s="55" t="n"/>
      <c r="J929" s="55" t="n"/>
      <c r="K929" s="55" t="n"/>
      <c r="L929" s="55" t="n"/>
      <c r="M929" s="55" t="n"/>
      <c r="N929" s="55" t="n"/>
      <c r="O929" s="58" t="n"/>
      <c r="P929" s="58" t="n"/>
      <c r="Q929" s="58" t="n"/>
      <c r="R929" s="58" t="n"/>
      <c r="S929" s="59">
        <f>SUM(O929:R929)</f>
        <v/>
      </c>
      <c r="T929" s="52" t="n"/>
      <c r="U929" s="53" t="n"/>
      <c r="V929" s="58" t="n"/>
      <c r="W929" s="58" t="n"/>
      <c r="X929" s="58" t="n"/>
      <c r="Y929" s="52" t="n"/>
      <c r="Z929" s="58" t="n"/>
      <c r="AA929" s="58" t="n"/>
      <c r="AB929" s="58" t="n"/>
      <c r="AC929" s="58" t="n"/>
      <c r="AD929" s="53" t="n"/>
      <c r="AE929" s="61">
        <f>SUMIFS([1]инфо!$D$15:$D$28,[1]инфо!$A$15:$A$28,F929)</f>
        <v/>
      </c>
      <c r="AF929" s="62">
        <f>IF(H929=0,0,N929/H929)</f>
        <v/>
      </c>
      <c r="AG929" s="63">
        <f>AF929-AE929</f>
        <v/>
      </c>
      <c r="AH929" s="61">
        <f>SUMIFS([1]инфо!$E$15:$E$28,[1]инфо!$A$15:$A$28,F929)</f>
        <v/>
      </c>
      <c r="AI929" s="64">
        <f>IF(H929=0,0,S929/H929)</f>
        <v/>
      </c>
      <c r="AJ929" s="63">
        <f>AI929-AH929</f>
        <v/>
      </c>
      <c r="AK929" s="61">
        <f>SUMIFS([1]инфо!$F$15:$F$28,[1]инфо!$A$15:$A$28,F929)</f>
        <v/>
      </c>
      <c r="AL929" s="64">
        <f>IF(H929=0,0,Y929/H929)</f>
        <v/>
      </c>
      <c r="AM929" s="63">
        <f>AL929-AK929</f>
        <v/>
      </c>
      <c r="AN929" s="61">
        <f>SUMIFS([1]инфо!$G$15:$G$28,[1]инфо!$A$15:$A$28,F929)</f>
        <v/>
      </c>
      <c r="AO929" s="64">
        <f>IF(H929=0,0,AA929/H929)</f>
        <v/>
      </c>
      <c r="AP929" s="63">
        <f>AO929-AN929</f>
        <v/>
      </c>
      <c r="AQ929" s="61">
        <f>SUMIFS([1]инфо!$H$15:$H$28,[1]инфо!$A$15:$A$28,F929)</f>
        <v/>
      </c>
      <c r="AR929" s="62">
        <f>IF(H928=0,0,AC929/H928)</f>
        <v/>
      </c>
      <c r="AS929" s="63">
        <f>AR929-AQ929</f>
        <v/>
      </c>
      <c r="AT929" s="61">
        <f>SUMIFS([1]инфо!$I$15:$I$28,[1]инфо!$A$15:$A$28,F929)</f>
        <v/>
      </c>
      <c r="AU929" s="62">
        <f>IF(H929=0,0,AD929/H929)</f>
        <v/>
      </c>
      <c r="AV929" s="63">
        <f>AU929-AT929</f>
        <v/>
      </c>
      <c r="AX929" s="59">
        <f>SUMIFS([1]инфо!$C$15:$C$28,[1]инфо!$A$15:$A$28,F929)*H928</f>
        <v/>
      </c>
    </row>
    <row r="930">
      <c r="A930" s="71">
        <f>A928+1</f>
        <v/>
      </c>
      <c r="B930" s="88" t="n"/>
      <c r="C930" s="77" t="n"/>
      <c r="D930" s="78" t="n"/>
      <c r="E930" s="91" t="n"/>
      <c r="F930" s="67" t="n"/>
      <c r="G930" s="79" t="n"/>
      <c r="H930" s="67" t="n"/>
      <c r="I930" s="55" t="n"/>
      <c r="J930" s="55" t="n"/>
      <c r="K930" s="55" t="n"/>
      <c r="L930" s="55" t="n"/>
      <c r="M930" s="55" t="n"/>
      <c r="N930" s="56" t="n"/>
      <c r="O930" s="79" t="n"/>
      <c r="P930" s="79" t="n"/>
      <c r="Q930" s="79" t="n"/>
      <c r="R930" s="79" t="n"/>
      <c r="S930" s="80">
        <f>SUM(O930:R930)</f>
        <v/>
      </c>
      <c r="T930" s="77" t="n"/>
      <c r="U930" s="78" t="n"/>
      <c r="V930" s="79" t="n"/>
      <c r="W930" s="79" t="n"/>
      <c r="X930" s="79" t="n"/>
      <c r="Y930" s="77" t="n"/>
      <c r="Z930" s="79" t="n"/>
      <c r="AA930" s="79" t="n"/>
      <c r="AB930" s="79" t="n"/>
      <c r="AC930" s="79" t="n"/>
      <c r="AD930" s="78" t="n"/>
      <c r="AE930" s="81">
        <f>SUMIFS([1]инфо!$D$15:$D$28,[1]инфо!$A$15:$A$28,F930)</f>
        <v/>
      </c>
      <c r="AF930" s="62">
        <f>IF(H930=0,0,N930/H930)</f>
        <v/>
      </c>
      <c r="AG930" s="82">
        <f>AF930-AE930</f>
        <v/>
      </c>
      <c r="AH930" s="81">
        <f>SUMIFS([1]инфо!$E$15:$E$28,[1]инфо!$A$15:$A$28,F930)</f>
        <v/>
      </c>
      <c r="AI930" s="64">
        <f>IF(H930=0,0,S930/H930)</f>
        <v/>
      </c>
      <c r="AJ930" s="82">
        <f>AI930-AH930</f>
        <v/>
      </c>
      <c r="AK930" s="81">
        <f>SUMIFS([1]инфо!$F$15:$F$28,[1]инфо!$A$15:$A$28,F930)</f>
        <v/>
      </c>
      <c r="AL930" s="64">
        <f>IF(H930=0,0,Y930/H930)</f>
        <v/>
      </c>
      <c r="AM930" s="82">
        <f>AL930-AK930</f>
        <v/>
      </c>
      <c r="AN930" s="81">
        <f>SUMIFS([1]инфо!$G$15:$G$28,[1]инфо!$A$15:$A$28,F930)</f>
        <v/>
      </c>
      <c r="AO930" s="64">
        <f>IF(H930=0,0,AA930/H930)</f>
        <v/>
      </c>
      <c r="AP930" s="82">
        <f>AO930-AN930</f>
        <v/>
      </c>
      <c r="AQ930" s="81">
        <f>SUMIFS([1]инфо!$H$15:$H$28,[1]инфо!$A$15:$A$28,F930)</f>
        <v/>
      </c>
      <c r="AR930" s="85">
        <f>IF(H929=0,0,AC930/H929)</f>
        <v/>
      </c>
      <c r="AS930" s="82">
        <f>AR930-AQ930</f>
        <v/>
      </c>
      <c r="AT930" s="81">
        <f>SUMIFS([1]инфо!$I$15:$I$28,[1]инфо!$A$15:$A$28,F930)</f>
        <v/>
      </c>
      <c r="AU930" s="62">
        <f>IF(H930=0,0,AD930/H930)</f>
        <v/>
      </c>
      <c r="AV930" s="82">
        <f>AU930-AT930</f>
        <v/>
      </c>
      <c r="AX930" s="80">
        <f>SUMIFS([1]инфо!$C$15:$C$28,[1]инфо!$A$15:$A$28,F930)*H929</f>
        <v/>
      </c>
    </row>
    <row r="931">
      <c r="A931" s="71">
        <f>A929+1</f>
        <v/>
      </c>
      <c r="B931" s="89" t="n"/>
      <c r="C931" s="72" t="n"/>
      <c r="D931" s="73" t="n"/>
      <c r="E931" s="91" t="n"/>
      <c r="F931" s="67" t="n"/>
      <c r="G931" s="74" t="n"/>
      <c r="H931" s="55" t="n"/>
      <c r="I931" s="55" t="n"/>
      <c r="J931" s="55" t="n"/>
      <c r="K931" s="55" t="n"/>
      <c r="L931" s="55" t="n"/>
      <c r="M931" s="55" t="n"/>
      <c r="N931" s="67" t="n"/>
      <c r="O931" s="74" t="n"/>
      <c r="P931" s="74" t="n"/>
      <c r="Q931" s="74" t="n"/>
      <c r="R931" s="74" t="n"/>
      <c r="S931" s="70">
        <f>SUM(O931:R931)</f>
        <v/>
      </c>
      <c r="T931" s="72" t="n"/>
      <c r="U931" s="73" t="n"/>
      <c r="V931" s="74" t="n"/>
      <c r="W931" s="74" t="n"/>
      <c r="X931" s="74" t="n"/>
      <c r="Y931" s="72" t="n"/>
      <c r="Z931" s="74" t="n"/>
      <c r="AA931" s="74" t="n"/>
      <c r="AB931" s="74" t="n"/>
      <c r="AC931" s="74" t="n"/>
      <c r="AD931" s="73" t="n"/>
      <c r="AE931" s="75">
        <f>SUMIFS([1]инфо!$D$15:$D$28,[1]инфо!$A$15:$A$28,F931)</f>
        <v/>
      </c>
      <c r="AF931" s="62">
        <f>IF(H931=0,0,N931/H931)</f>
        <v/>
      </c>
      <c r="AG931" s="76">
        <f>AF931-AE931</f>
        <v/>
      </c>
      <c r="AH931" s="75">
        <f>SUMIFS([1]инфо!$E$15:$E$28,[1]инфо!$A$15:$A$28,F931)</f>
        <v/>
      </c>
      <c r="AI931" s="64">
        <f>IF(H931=0,0,S931/H931)</f>
        <v/>
      </c>
      <c r="AJ931" s="76">
        <f>AI931-AH931</f>
        <v/>
      </c>
      <c r="AK931" s="75">
        <f>SUMIFS([1]инфо!$F$15:$F$28,[1]инфо!$A$15:$A$28,F931)</f>
        <v/>
      </c>
      <c r="AL931" s="64">
        <f>IF(H931=0,0,Y931/H931)</f>
        <v/>
      </c>
      <c r="AM931" s="76">
        <f>AL931-AK931</f>
        <v/>
      </c>
      <c r="AN931" s="75">
        <f>SUMIFS([1]инфо!$G$15:$G$28,[1]инфо!$A$15:$A$28,F931)</f>
        <v/>
      </c>
      <c r="AO931" s="64">
        <f>IF(H931=0,0,AA931/H931)</f>
        <v/>
      </c>
      <c r="AP931" s="76">
        <f>AO931-AN931</f>
        <v/>
      </c>
      <c r="AQ931" s="75">
        <f>SUMIFS([1]инфо!$H$15:$H$28,[1]инфо!$A$15:$A$28,F931)</f>
        <v/>
      </c>
      <c r="AR931" s="64">
        <f>IF(H930=0,0,AC931/H930)</f>
        <v/>
      </c>
      <c r="AS931" s="76">
        <f>AR931-AQ931</f>
        <v/>
      </c>
      <c r="AT931" s="75">
        <f>SUMIFS([1]инфо!$I$15:$I$28,[1]инфо!$A$15:$A$28,F931)</f>
        <v/>
      </c>
      <c r="AU931" s="62">
        <f>IF(H931=0,0,AD931/H931)</f>
        <v/>
      </c>
      <c r="AV931" s="76">
        <f>AU931-AT931</f>
        <v/>
      </c>
      <c r="AX931" s="70">
        <f>SUMIFS([1]инфо!$C$15:$C$28,[1]инфо!$A$15:$A$28,F931)*H930</f>
        <v/>
      </c>
    </row>
    <row r="932">
      <c r="A932" s="71">
        <f>A930+1</f>
        <v/>
      </c>
      <c r="B932" s="90" t="n"/>
      <c r="C932" s="52" t="n"/>
      <c r="D932" s="53" t="n"/>
      <c r="E932" s="91" t="n"/>
      <c r="F932" s="67" t="n"/>
      <c r="G932" s="58" t="n"/>
      <c r="H932" s="55" t="n"/>
      <c r="I932" s="55" t="n"/>
      <c r="J932" s="55" t="n"/>
      <c r="K932" s="55" t="n"/>
      <c r="L932" s="55" t="n"/>
      <c r="M932" s="55" t="n"/>
      <c r="N932" s="55" t="n"/>
      <c r="O932" s="58" t="n"/>
      <c r="P932" s="58" t="n"/>
      <c r="Q932" s="58" t="n"/>
      <c r="R932" s="58" t="n"/>
      <c r="S932" s="59">
        <f>SUM(O932:R932)</f>
        <v/>
      </c>
      <c r="T932" s="52" t="n"/>
      <c r="U932" s="53" t="n"/>
      <c r="V932" s="58" t="n"/>
      <c r="W932" s="58" t="n"/>
      <c r="X932" s="58" t="n"/>
      <c r="Y932" s="52" t="n"/>
      <c r="Z932" s="58" t="n"/>
      <c r="AA932" s="58" t="n"/>
      <c r="AB932" s="58" t="n"/>
      <c r="AC932" s="58" t="n"/>
      <c r="AD932" s="53" t="n"/>
      <c r="AE932" s="61">
        <f>SUMIFS([1]инфо!$D$15:$D$28,[1]инфо!$A$15:$A$28,F932)</f>
        <v/>
      </c>
      <c r="AF932" s="62">
        <f>IF(H932=0,0,N932/H932)</f>
        <v/>
      </c>
      <c r="AG932" s="63">
        <f>AF932-AE932</f>
        <v/>
      </c>
      <c r="AH932" s="61">
        <f>SUMIFS([1]инфо!$E$15:$E$28,[1]инфо!$A$15:$A$28,F932)</f>
        <v/>
      </c>
      <c r="AI932" s="64">
        <f>IF(H932=0,0,S932/H932)</f>
        <v/>
      </c>
      <c r="AJ932" s="63">
        <f>AI932-AH932</f>
        <v/>
      </c>
      <c r="AK932" s="61">
        <f>SUMIFS([1]инфо!$F$15:$F$28,[1]инфо!$A$15:$A$28,F932)</f>
        <v/>
      </c>
      <c r="AL932" s="64">
        <f>IF(H932=0,0,Y932/H932)</f>
        <v/>
      </c>
      <c r="AM932" s="63">
        <f>AL932-AK932</f>
        <v/>
      </c>
      <c r="AN932" s="61">
        <f>SUMIFS([1]инфо!$G$15:$G$28,[1]инфо!$A$15:$A$28,F932)</f>
        <v/>
      </c>
      <c r="AO932" s="64">
        <f>IF(H932=0,0,AA932/H932)</f>
        <v/>
      </c>
      <c r="AP932" s="63">
        <f>AO932-AN932</f>
        <v/>
      </c>
      <c r="AQ932" s="61">
        <f>SUMIFS([1]инфо!$H$15:$H$28,[1]инфо!$A$15:$A$28,F932)</f>
        <v/>
      </c>
      <c r="AR932" s="62">
        <f>IF(H931=0,0,AC932/H931)</f>
        <v/>
      </c>
      <c r="AS932" s="63">
        <f>AR932-AQ932</f>
        <v/>
      </c>
      <c r="AT932" s="61">
        <f>SUMIFS([1]инфо!$I$15:$I$28,[1]инфо!$A$15:$A$28,F932)</f>
        <v/>
      </c>
      <c r="AU932" s="62">
        <f>IF(H932=0,0,AD932/H932)</f>
        <v/>
      </c>
      <c r="AV932" s="63">
        <f>AU932-AT932</f>
        <v/>
      </c>
      <c r="AX932" s="59">
        <f>SUMIFS([1]инфо!$C$15:$C$28,[1]инфо!$A$15:$A$28,F932)*H931</f>
        <v/>
      </c>
    </row>
    <row r="933">
      <c r="A933" s="71">
        <f>A931+1</f>
        <v/>
      </c>
      <c r="B933" s="90" t="n"/>
      <c r="C933" s="52" t="n"/>
      <c r="D933" s="53" t="n"/>
      <c r="E933" s="91" t="n"/>
      <c r="F933" s="67" t="n"/>
      <c r="G933" s="58" t="n"/>
      <c r="H933" s="56" t="n"/>
      <c r="I933" s="55" t="n"/>
      <c r="J933" s="55" t="n"/>
      <c r="K933" s="55" t="n"/>
      <c r="L933" s="55" t="n"/>
      <c r="M933" s="55" t="n"/>
      <c r="N933" s="55" t="n"/>
      <c r="O933" s="58" t="n"/>
      <c r="P933" s="58" t="n"/>
      <c r="Q933" s="58" t="n"/>
      <c r="R933" s="58" t="n"/>
      <c r="S933" s="59">
        <f>SUM(O933:R933)</f>
        <v/>
      </c>
      <c r="T933" s="52" t="n"/>
      <c r="U933" s="53" t="n"/>
      <c r="V933" s="58" t="n"/>
      <c r="W933" s="58" t="n"/>
      <c r="X933" s="58" t="n"/>
      <c r="Y933" s="52" t="n"/>
      <c r="Z933" s="58" t="n"/>
      <c r="AA933" s="58" t="n"/>
      <c r="AB933" s="58" t="n"/>
      <c r="AC933" s="58" t="n"/>
      <c r="AD933" s="53" t="n"/>
      <c r="AE933" s="61">
        <f>SUMIFS([1]инфо!$D$15:$D$28,[1]инфо!$A$15:$A$28,F933)</f>
        <v/>
      </c>
      <c r="AF933" s="62">
        <f>IF(H933=0,0,N933/H933)</f>
        <v/>
      </c>
      <c r="AG933" s="63">
        <f>AF933-AE933</f>
        <v/>
      </c>
      <c r="AH933" s="61">
        <f>SUMIFS([1]инфо!$E$15:$E$28,[1]инфо!$A$15:$A$28,F933)</f>
        <v/>
      </c>
      <c r="AI933" s="64">
        <f>IF(H933=0,0,S933/H933)</f>
        <v/>
      </c>
      <c r="AJ933" s="63">
        <f>AI933-AH933</f>
        <v/>
      </c>
      <c r="AK933" s="61">
        <f>SUMIFS([1]инфо!$F$15:$F$28,[1]инфо!$A$15:$A$28,F933)</f>
        <v/>
      </c>
      <c r="AL933" s="64">
        <f>IF(H933=0,0,Y933/H933)</f>
        <v/>
      </c>
      <c r="AM933" s="63">
        <f>AL933-AK933</f>
        <v/>
      </c>
      <c r="AN933" s="61">
        <f>SUMIFS([1]инфо!$G$15:$G$28,[1]инфо!$A$15:$A$28,F933)</f>
        <v/>
      </c>
      <c r="AO933" s="64">
        <f>IF(H933=0,0,AA933/H933)</f>
        <v/>
      </c>
      <c r="AP933" s="63">
        <f>AO933-AN933</f>
        <v/>
      </c>
      <c r="AQ933" s="61">
        <f>SUMIFS([1]инфо!$H$15:$H$28,[1]инфо!$A$15:$A$28,F933)</f>
        <v/>
      </c>
      <c r="AR933" s="62">
        <f>IF(H932=0,0,AC933/H932)</f>
        <v/>
      </c>
      <c r="AS933" s="63">
        <f>AR933-AQ933</f>
        <v/>
      </c>
      <c r="AT933" s="61">
        <f>SUMIFS([1]инфо!$I$15:$I$28,[1]инфо!$A$15:$A$28,F933)</f>
        <v/>
      </c>
      <c r="AU933" s="62">
        <f>IF(H933=0,0,AD933/H933)</f>
        <v/>
      </c>
      <c r="AV933" s="63">
        <f>AU933-AT933</f>
        <v/>
      </c>
      <c r="AX933" s="59">
        <f>SUMIFS([1]инфо!$C$15:$C$28,[1]инфо!$A$15:$A$28,F933)*H932</f>
        <v/>
      </c>
    </row>
    <row r="934">
      <c r="A934" s="71">
        <f>A932+1</f>
        <v/>
      </c>
      <c r="B934" s="88" t="n"/>
      <c r="C934" s="77" t="n"/>
      <c r="D934" s="78" t="n"/>
      <c r="E934" s="91" t="n"/>
      <c r="F934" s="67" t="n"/>
      <c r="G934" s="79" t="n"/>
      <c r="H934" s="67" t="n"/>
      <c r="I934" s="55" t="n"/>
      <c r="J934" s="55" t="n"/>
      <c r="K934" s="55" t="n"/>
      <c r="L934" s="55" t="n"/>
      <c r="M934" s="55" t="n"/>
      <c r="N934" s="56" t="n"/>
      <c r="O934" s="79" t="n"/>
      <c r="P934" s="79" t="n"/>
      <c r="Q934" s="79" t="n"/>
      <c r="R934" s="79" t="n"/>
      <c r="S934" s="80">
        <f>SUM(O934:R934)</f>
        <v/>
      </c>
      <c r="T934" s="77" t="n"/>
      <c r="U934" s="78" t="n"/>
      <c r="V934" s="79" t="n"/>
      <c r="W934" s="79" t="n"/>
      <c r="X934" s="79" t="n"/>
      <c r="Y934" s="77" t="n"/>
      <c r="Z934" s="79" t="n"/>
      <c r="AA934" s="79" t="n"/>
      <c r="AB934" s="79" t="n"/>
      <c r="AC934" s="79" t="n"/>
      <c r="AD934" s="78" t="n"/>
      <c r="AE934" s="81">
        <f>SUMIFS([1]инфо!$D$15:$D$28,[1]инфо!$A$15:$A$28,F934)</f>
        <v/>
      </c>
      <c r="AF934" s="62">
        <f>IF(H934=0,0,N934/H934)</f>
        <v/>
      </c>
      <c r="AG934" s="82">
        <f>AF934-AE934</f>
        <v/>
      </c>
      <c r="AH934" s="81">
        <f>SUMIFS([1]инфо!$E$15:$E$28,[1]инфо!$A$15:$A$28,F934)</f>
        <v/>
      </c>
      <c r="AI934" s="64">
        <f>IF(H934=0,0,S934/H934)</f>
        <v/>
      </c>
      <c r="AJ934" s="82">
        <f>AI934-AH934</f>
        <v/>
      </c>
      <c r="AK934" s="81">
        <f>SUMIFS([1]инфо!$F$15:$F$28,[1]инфо!$A$15:$A$28,F934)</f>
        <v/>
      </c>
      <c r="AL934" s="64">
        <f>IF(H934=0,0,Y934/H934)</f>
        <v/>
      </c>
      <c r="AM934" s="82">
        <f>AL934-AK934</f>
        <v/>
      </c>
      <c r="AN934" s="81">
        <f>SUMIFS([1]инфо!$G$15:$G$28,[1]инфо!$A$15:$A$28,F934)</f>
        <v/>
      </c>
      <c r="AO934" s="64">
        <f>IF(H934=0,0,AA934/H934)</f>
        <v/>
      </c>
      <c r="AP934" s="82">
        <f>AO934-AN934</f>
        <v/>
      </c>
      <c r="AQ934" s="81">
        <f>SUMIFS([1]инфо!$H$15:$H$28,[1]инфо!$A$15:$A$28,F934)</f>
        <v/>
      </c>
      <c r="AR934" s="85">
        <f>IF(H933=0,0,AC934/H933)</f>
        <v/>
      </c>
      <c r="AS934" s="82">
        <f>AR934-AQ934</f>
        <v/>
      </c>
      <c r="AT934" s="81">
        <f>SUMIFS([1]инфо!$I$15:$I$28,[1]инфо!$A$15:$A$28,F934)</f>
        <v/>
      </c>
      <c r="AU934" s="62">
        <f>IF(H934=0,0,AD934/H934)</f>
        <v/>
      </c>
      <c r="AV934" s="82">
        <f>AU934-AT934</f>
        <v/>
      </c>
      <c r="AX934" s="80">
        <f>SUMIFS([1]инфо!$C$15:$C$28,[1]инфо!$A$15:$A$28,F934)*H933</f>
        <v/>
      </c>
    </row>
    <row r="935">
      <c r="A935" s="71">
        <f>A933+1</f>
        <v/>
      </c>
      <c r="B935" s="89" t="n"/>
      <c r="C935" s="72" t="n"/>
      <c r="D935" s="73" t="n"/>
      <c r="E935" s="91" t="n"/>
      <c r="F935" s="67" t="n"/>
      <c r="G935" s="74" t="n"/>
      <c r="H935" s="55" t="n"/>
      <c r="I935" s="55" t="n"/>
      <c r="J935" s="55" t="n"/>
      <c r="K935" s="55" t="n"/>
      <c r="L935" s="55" t="n"/>
      <c r="M935" s="55" t="n"/>
      <c r="N935" s="67" t="n"/>
      <c r="O935" s="74" t="n"/>
      <c r="P935" s="74" t="n"/>
      <c r="Q935" s="74" t="n"/>
      <c r="R935" s="74" t="n"/>
      <c r="S935" s="70">
        <f>SUM(O935:R935)</f>
        <v/>
      </c>
      <c r="T935" s="72" t="n"/>
      <c r="U935" s="73" t="n"/>
      <c r="V935" s="74" t="n"/>
      <c r="W935" s="74" t="n"/>
      <c r="X935" s="74" t="n"/>
      <c r="Y935" s="72" t="n"/>
      <c r="Z935" s="74" t="n"/>
      <c r="AA935" s="74" t="n"/>
      <c r="AB935" s="74" t="n"/>
      <c r="AC935" s="74" t="n"/>
      <c r="AD935" s="73" t="n"/>
      <c r="AE935" s="75">
        <f>SUMIFS([1]инфо!$D$15:$D$28,[1]инфо!$A$15:$A$28,F935)</f>
        <v/>
      </c>
      <c r="AF935" s="62">
        <f>IF(H935=0,0,N935/H935)</f>
        <v/>
      </c>
      <c r="AG935" s="76">
        <f>AF935-AE935</f>
        <v/>
      </c>
      <c r="AH935" s="75">
        <f>SUMIFS([1]инфо!$E$15:$E$28,[1]инфо!$A$15:$A$28,F935)</f>
        <v/>
      </c>
      <c r="AI935" s="64">
        <f>IF(H935=0,0,S935/H935)</f>
        <v/>
      </c>
      <c r="AJ935" s="76">
        <f>AI935-AH935</f>
        <v/>
      </c>
      <c r="AK935" s="75">
        <f>SUMIFS([1]инфо!$F$15:$F$28,[1]инфо!$A$15:$A$28,F935)</f>
        <v/>
      </c>
      <c r="AL935" s="64">
        <f>IF(H935=0,0,Y935/H935)</f>
        <v/>
      </c>
      <c r="AM935" s="76">
        <f>AL935-AK935</f>
        <v/>
      </c>
      <c r="AN935" s="75">
        <f>SUMIFS([1]инфо!$G$15:$G$28,[1]инфо!$A$15:$A$28,F935)</f>
        <v/>
      </c>
      <c r="AO935" s="64">
        <f>IF(H935=0,0,AA935/H935)</f>
        <v/>
      </c>
      <c r="AP935" s="76">
        <f>AO935-AN935</f>
        <v/>
      </c>
      <c r="AQ935" s="75">
        <f>SUMIFS([1]инфо!$H$15:$H$28,[1]инфо!$A$15:$A$28,F935)</f>
        <v/>
      </c>
      <c r="AR935" s="64">
        <f>IF(H934=0,0,AC935/H934)</f>
        <v/>
      </c>
      <c r="AS935" s="76">
        <f>AR935-AQ935</f>
        <v/>
      </c>
      <c r="AT935" s="75">
        <f>SUMIFS([1]инфо!$I$15:$I$28,[1]инфо!$A$15:$A$28,F935)</f>
        <v/>
      </c>
      <c r="AU935" s="62">
        <f>IF(H935=0,0,AD935/H935)</f>
        <v/>
      </c>
      <c r="AV935" s="76">
        <f>AU935-AT935</f>
        <v/>
      </c>
      <c r="AX935" s="70">
        <f>SUMIFS([1]инфо!$C$15:$C$28,[1]инфо!$A$15:$A$28,F935)*H934</f>
        <v/>
      </c>
    </row>
    <row r="936">
      <c r="A936" s="71">
        <f>A934+1</f>
        <v/>
      </c>
      <c r="B936" s="90" t="n"/>
      <c r="C936" s="52" t="n"/>
      <c r="D936" s="53" t="n"/>
      <c r="E936" s="91" t="n"/>
      <c r="F936" s="67" t="n"/>
      <c r="G936" s="58" t="n"/>
      <c r="H936" s="55" t="n"/>
      <c r="I936" s="55" t="n"/>
      <c r="J936" s="55" t="n"/>
      <c r="K936" s="55" t="n"/>
      <c r="L936" s="55" t="n"/>
      <c r="M936" s="55" t="n"/>
      <c r="N936" s="55" t="n"/>
      <c r="O936" s="58" t="n"/>
      <c r="P936" s="58" t="n"/>
      <c r="Q936" s="58" t="n"/>
      <c r="R936" s="58" t="n"/>
      <c r="S936" s="59">
        <f>SUM(O936:R936)</f>
        <v/>
      </c>
      <c r="T936" s="52" t="n"/>
      <c r="U936" s="53" t="n"/>
      <c r="V936" s="58" t="n"/>
      <c r="W936" s="58" t="n"/>
      <c r="X936" s="58" t="n"/>
      <c r="Y936" s="52" t="n"/>
      <c r="Z936" s="58" t="n"/>
      <c r="AA936" s="58" t="n"/>
      <c r="AB936" s="58" t="n"/>
      <c r="AC936" s="58" t="n"/>
      <c r="AD936" s="53" t="n"/>
      <c r="AE936" s="61">
        <f>SUMIFS([1]инфо!$D$15:$D$28,[1]инфо!$A$15:$A$28,F936)</f>
        <v/>
      </c>
      <c r="AF936" s="62">
        <f>IF(H936=0,0,N936/H936)</f>
        <v/>
      </c>
      <c r="AG936" s="63">
        <f>AF936-AE936</f>
        <v/>
      </c>
      <c r="AH936" s="61">
        <f>SUMIFS([1]инфо!$E$15:$E$28,[1]инфо!$A$15:$A$28,F936)</f>
        <v/>
      </c>
      <c r="AI936" s="64">
        <f>IF(H936=0,0,S936/H936)</f>
        <v/>
      </c>
      <c r="AJ936" s="63">
        <f>AI936-AH936</f>
        <v/>
      </c>
      <c r="AK936" s="61">
        <f>SUMIFS([1]инфо!$F$15:$F$28,[1]инфо!$A$15:$A$28,F936)</f>
        <v/>
      </c>
      <c r="AL936" s="64">
        <f>IF(H936=0,0,Y936/H936)</f>
        <v/>
      </c>
      <c r="AM936" s="63">
        <f>AL936-AK936</f>
        <v/>
      </c>
      <c r="AN936" s="61">
        <f>SUMIFS([1]инфо!$G$15:$G$28,[1]инфо!$A$15:$A$28,F936)</f>
        <v/>
      </c>
      <c r="AO936" s="64">
        <f>IF(H936=0,0,AA936/H936)</f>
        <v/>
      </c>
      <c r="AP936" s="63">
        <f>AO936-AN936</f>
        <v/>
      </c>
      <c r="AQ936" s="61">
        <f>SUMIFS([1]инфо!$H$15:$H$28,[1]инфо!$A$15:$A$28,F936)</f>
        <v/>
      </c>
      <c r="AR936" s="62">
        <f>IF(H935=0,0,AC936/H935)</f>
        <v/>
      </c>
      <c r="AS936" s="63">
        <f>AR936-AQ936</f>
        <v/>
      </c>
      <c r="AT936" s="61">
        <f>SUMIFS([1]инфо!$I$15:$I$28,[1]инфо!$A$15:$A$28,F936)</f>
        <v/>
      </c>
      <c r="AU936" s="62">
        <f>IF(H936=0,0,AD936/H936)</f>
        <v/>
      </c>
      <c r="AV936" s="63">
        <f>AU936-AT936</f>
        <v/>
      </c>
      <c r="AX936" s="59">
        <f>SUMIFS([1]инфо!$C$15:$C$28,[1]инфо!$A$15:$A$28,F936)*H935</f>
        <v/>
      </c>
    </row>
    <row r="937">
      <c r="A937" s="71">
        <f>A935+1</f>
        <v/>
      </c>
      <c r="B937" s="90" t="n"/>
      <c r="C937" s="52" t="n"/>
      <c r="D937" s="53" t="n"/>
      <c r="E937" s="91" t="n"/>
      <c r="F937" s="67" t="n"/>
      <c r="G937" s="58" t="n"/>
      <c r="H937" s="56" t="n"/>
      <c r="I937" s="55" t="n"/>
      <c r="J937" s="55" t="n"/>
      <c r="K937" s="55" t="n"/>
      <c r="L937" s="55" t="n"/>
      <c r="M937" s="55" t="n"/>
      <c r="N937" s="55" t="n"/>
      <c r="O937" s="58" t="n"/>
      <c r="P937" s="58" t="n"/>
      <c r="Q937" s="58" t="n"/>
      <c r="R937" s="58" t="n"/>
      <c r="S937" s="59">
        <f>SUM(O937:R937)</f>
        <v/>
      </c>
      <c r="T937" s="52" t="n"/>
      <c r="U937" s="53" t="n"/>
      <c r="V937" s="58" t="n"/>
      <c r="W937" s="58" t="n"/>
      <c r="X937" s="58" t="n"/>
      <c r="Y937" s="52" t="n"/>
      <c r="Z937" s="58" t="n"/>
      <c r="AA937" s="58" t="n"/>
      <c r="AB937" s="58" t="n"/>
      <c r="AC937" s="58" t="n"/>
      <c r="AD937" s="53" t="n"/>
      <c r="AE937" s="61">
        <f>SUMIFS([1]инфо!$D$15:$D$28,[1]инфо!$A$15:$A$28,F937)</f>
        <v/>
      </c>
      <c r="AF937" s="62">
        <f>IF(H937=0,0,N937/H937)</f>
        <v/>
      </c>
      <c r="AG937" s="63">
        <f>AF937-AE937</f>
        <v/>
      </c>
      <c r="AH937" s="61">
        <f>SUMIFS([1]инфо!$E$15:$E$28,[1]инфо!$A$15:$A$28,F937)</f>
        <v/>
      </c>
      <c r="AI937" s="64">
        <f>IF(H937=0,0,S937/H937)</f>
        <v/>
      </c>
      <c r="AJ937" s="63">
        <f>AI937-AH937</f>
        <v/>
      </c>
      <c r="AK937" s="61">
        <f>SUMIFS([1]инфо!$F$15:$F$28,[1]инфо!$A$15:$A$28,F937)</f>
        <v/>
      </c>
      <c r="AL937" s="64">
        <f>IF(H937=0,0,Y937/H937)</f>
        <v/>
      </c>
      <c r="AM937" s="63">
        <f>AL937-AK937</f>
        <v/>
      </c>
      <c r="AN937" s="61">
        <f>SUMIFS([1]инфо!$G$15:$G$28,[1]инфо!$A$15:$A$28,F937)</f>
        <v/>
      </c>
      <c r="AO937" s="64">
        <f>IF(H937=0,0,AA937/H937)</f>
        <v/>
      </c>
      <c r="AP937" s="63">
        <f>AO937-AN937</f>
        <v/>
      </c>
      <c r="AQ937" s="61">
        <f>SUMIFS([1]инфо!$H$15:$H$28,[1]инфо!$A$15:$A$28,F937)</f>
        <v/>
      </c>
      <c r="AR937" s="62">
        <f>IF(H936=0,0,AC937/H936)</f>
        <v/>
      </c>
      <c r="AS937" s="63">
        <f>AR937-AQ937</f>
        <v/>
      </c>
      <c r="AT937" s="61">
        <f>SUMIFS([1]инфо!$I$15:$I$28,[1]инфо!$A$15:$A$28,F937)</f>
        <v/>
      </c>
      <c r="AU937" s="62">
        <f>IF(H937=0,0,AD937/H937)</f>
        <v/>
      </c>
      <c r="AV937" s="63">
        <f>AU937-AT937</f>
        <v/>
      </c>
      <c r="AX937" s="59">
        <f>SUMIFS([1]инфо!$C$15:$C$28,[1]инфо!$A$15:$A$28,F937)*H936</f>
        <v/>
      </c>
    </row>
    <row r="938">
      <c r="A938" s="71">
        <f>A936+1</f>
        <v/>
      </c>
      <c r="B938" s="88" t="n"/>
      <c r="C938" s="77" t="n"/>
      <c r="D938" s="78" t="n"/>
      <c r="E938" s="91" t="n"/>
      <c r="F938" s="67" t="n"/>
      <c r="G938" s="79" t="n"/>
      <c r="H938" s="67" t="n"/>
      <c r="I938" s="55" t="n"/>
      <c r="J938" s="55" t="n"/>
      <c r="K938" s="55" t="n"/>
      <c r="L938" s="55" t="n"/>
      <c r="M938" s="55" t="n"/>
      <c r="N938" s="56" t="n"/>
      <c r="O938" s="79" t="n"/>
      <c r="P938" s="79" t="n"/>
      <c r="Q938" s="79" t="n"/>
      <c r="R938" s="79" t="n"/>
      <c r="S938" s="80">
        <f>SUM(O938:R938)</f>
        <v/>
      </c>
      <c r="T938" s="77" t="n"/>
      <c r="U938" s="78" t="n"/>
      <c r="V938" s="79" t="n"/>
      <c r="W938" s="79" t="n"/>
      <c r="X938" s="79" t="n"/>
      <c r="Y938" s="77" t="n"/>
      <c r="Z938" s="79" t="n"/>
      <c r="AA938" s="79" t="n"/>
      <c r="AB938" s="79" t="n"/>
      <c r="AC938" s="79" t="n"/>
      <c r="AD938" s="78" t="n"/>
      <c r="AE938" s="81">
        <f>SUMIFS([1]инфо!$D$15:$D$28,[1]инфо!$A$15:$A$28,F938)</f>
        <v/>
      </c>
      <c r="AF938" s="62">
        <f>IF(H938=0,0,N938/H938)</f>
        <v/>
      </c>
      <c r="AG938" s="82">
        <f>AF938-AE938</f>
        <v/>
      </c>
      <c r="AH938" s="81">
        <f>SUMIFS([1]инфо!$E$15:$E$28,[1]инфо!$A$15:$A$28,F938)</f>
        <v/>
      </c>
      <c r="AI938" s="64">
        <f>IF(H938=0,0,S938/H938)</f>
        <v/>
      </c>
      <c r="AJ938" s="82">
        <f>AI938-AH938</f>
        <v/>
      </c>
      <c r="AK938" s="81">
        <f>SUMIFS([1]инфо!$F$15:$F$28,[1]инфо!$A$15:$A$28,F938)</f>
        <v/>
      </c>
      <c r="AL938" s="64">
        <f>IF(H938=0,0,Y938/H938)</f>
        <v/>
      </c>
      <c r="AM938" s="82">
        <f>AL938-AK938</f>
        <v/>
      </c>
      <c r="AN938" s="81">
        <f>SUMIFS([1]инфо!$G$15:$G$28,[1]инфо!$A$15:$A$28,F938)</f>
        <v/>
      </c>
      <c r="AO938" s="64">
        <f>IF(H938=0,0,AA938/H938)</f>
        <v/>
      </c>
      <c r="AP938" s="82">
        <f>AO938-AN938</f>
        <v/>
      </c>
      <c r="AQ938" s="81">
        <f>SUMIFS([1]инфо!$H$15:$H$28,[1]инфо!$A$15:$A$28,F938)</f>
        <v/>
      </c>
      <c r="AR938" s="85">
        <f>IF(H937=0,0,AC938/H937)</f>
        <v/>
      </c>
      <c r="AS938" s="82">
        <f>AR938-AQ938</f>
        <v/>
      </c>
      <c r="AT938" s="81">
        <f>SUMIFS([1]инфо!$I$15:$I$28,[1]инфо!$A$15:$A$28,F938)</f>
        <v/>
      </c>
      <c r="AU938" s="62">
        <f>IF(H938=0,0,AD938/H938)</f>
        <v/>
      </c>
      <c r="AV938" s="82">
        <f>AU938-AT938</f>
        <v/>
      </c>
      <c r="AX938" s="80">
        <f>SUMIFS([1]инфо!$C$15:$C$28,[1]инфо!$A$15:$A$28,F938)*H937</f>
        <v/>
      </c>
    </row>
    <row r="939">
      <c r="A939" s="71">
        <f>A937+1</f>
        <v/>
      </c>
      <c r="B939" s="89" t="n"/>
      <c r="C939" s="72" t="n"/>
      <c r="D939" s="73" t="n"/>
      <c r="E939" s="91" t="n"/>
      <c r="F939" s="67" t="n"/>
      <c r="G939" s="74" t="n"/>
      <c r="H939" s="55" t="n"/>
      <c r="I939" s="55" t="n"/>
      <c r="J939" s="55" t="n"/>
      <c r="K939" s="55" t="n"/>
      <c r="L939" s="55" t="n"/>
      <c r="M939" s="55" t="n"/>
      <c r="N939" s="67" t="n"/>
      <c r="O939" s="74" t="n"/>
      <c r="P939" s="74" t="n"/>
      <c r="Q939" s="74" t="n"/>
      <c r="R939" s="74" t="n"/>
      <c r="S939" s="70">
        <f>SUM(O939:R939)</f>
        <v/>
      </c>
      <c r="T939" s="72" t="n"/>
      <c r="U939" s="73" t="n"/>
      <c r="V939" s="74" t="n"/>
      <c r="W939" s="74" t="n"/>
      <c r="X939" s="74" t="n"/>
      <c r="Y939" s="72" t="n"/>
      <c r="Z939" s="74" t="n"/>
      <c r="AA939" s="74" t="n"/>
      <c r="AB939" s="74" t="n"/>
      <c r="AC939" s="74" t="n"/>
      <c r="AD939" s="73" t="n"/>
      <c r="AE939" s="75">
        <f>SUMIFS([1]инфо!$D$15:$D$28,[1]инфо!$A$15:$A$28,F939)</f>
        <v/>
      </c>
      <c r="AF939" s="62">
        <f>IF(H939=0,0,N939/H939)</f>
        <v/>
      </c>
      <c r="AG939" s="76">
        <f>AF939-AE939</f>
        <v/>
      </c>
      <c r="AH939" s="75">
        <f>SUMIFS([1]инфо!$E$15:$E$28,[1]инфо!$A$15:$A$28,F939)</f>
        <v/>
      </c>
      <c r="AI939" s="64">
        <f>IF(H939=0,0,S939/H939)</f>
        <v/>
      </c>
      <c r="AJ939" s="76">
        <f>AI939-AH939</f>
        <v/>
      </c>
      <c r="AK939" s="75">
        <f>SUMIFS([1]инфо!$F$15:$F$28,[1]инфо!$A$15:$A$28,F939)</f>
        <v/>
      </c>
      <c r="AL939" s="64">
        <f>IF(H939=0,0,Y939/H939)</f>
        <v/>
      </c>
      <c r="AM939" s="76">
        <f>AL939-AK939</f>
        <v/>
      </c>
      <c r="AN939" s="75">
        <f>SUMIFS([1]инфо!$G$15:$G$28,[1]инфо!$A$15:$A$28,F939)</f>
        <v/>
      </c>
      <c r="AO939" s="64">
        <f>IF(H939=0,0,AA939/H939)</f>
        <v/>
      </c>
      <c r="AP939" s="76">
        <f>AO939-AN939</f>
        <v/>
      </c>
      <c r="AQ939" s="75">
        <f>SUMIFS([1]инфо!$H$15:$H$28,[1]инфо!$A$15:$A$28,F939)</f>
        <v/>
      </c>
      <c r="AR939" s="64">
        <f>IF(H938=0,0,AC939/H938)</f>
        <v/>
      </c>
      <c r="AS939" s="76">
        <f>AR939-AQ939</f>
        <v/>
      </c>
      <c r="AT939" s="75">
        <f>SUMIFS([1]инфо!$I$15:$I$28,[1]инфо!$A$15:$A$28,F939)</f>
        <v/>
      </c>
      <c r="AU939" s="62">
        <f>IF(H939=0,0,AD939/H939)</f>
        <v/>
      </c>
      <c r="AV939" s="76">
        <f>AU939-AT939</f>
        <v/>
      </c>
      <c r="AX939" s="70">
        <f>SUMIFS([1]инфо!$C$15:$C$28,[1]инфо!$A$15:$A$28,F939)*H938</f>
        <v/>
      </c>
    </row>
    <row r="940">
      <c r="A940" s="71">
        <f>A938+1</f>
        <v/>
      </c>
      <c r="B940" s="90" t="n"/>
      <c r="C940" s="52" t="n"/>
      <c r="D940" s="53" t="n"/>
      <c r="E940" s="91" t="n"/>
      <c r="F940" s="67" t="n"/>
      <c r="G940" s="58" t="n"/>
      <c r="H940" s="55" t="n"/>
      <c r="I940" s="55" t="n"/>
      <c r="J940" s="55" t="n"/>
      <c r="K940" s="55" t="n"/>
      <c r="L940" s="55" t="n"/>
      <c r="M940" s="55" t="n"/>
      <c r="N940" s="55" t="n"/>
      <c r="O940" s="58" t="n"/>
      <c r="P940" s="58" t="n"/>
      <c r="Q940" s="58" t="n"/>
      <c r="R940" s="58" t="n"/>
      <c r="S940" s="59">
        <f>SUM(O940:R940)</f>
        <v/>
      </c>
      <c r="T940" s="52" t="n"/>
      <c r="U940" s="53" t="n"/>
      <c r="V940" s="58" t="n"/>
      <c r="W940" s="58" t="n"/>
      <c r="X940" s="58" t="n"/>
      <c r="Y940" s="52" t="n"/>
      <c r="Z940" s="58" t="n"/>
      <c r="AA940" s="58" t="n"/>
      <c r="AB940" s="58" t="n"/>
      <c r="AC940" s="58" t="n"/>
      <c r="AD940" s="53" t="n"/>
      <c r="AE940" s="61">
        <f>SUMIFS([1]инфо!$D$15:$D$28,[1]инфо!$A$15:$A$28,F940)</f>
        <v/>
      </c>
      <c r="AF940" s="62">
        <f>IF(H940=0,0,N940/H940)</f>
        <v/>
      </c>
      <c r="AG940" s="63">
        <f>AF940-AE940</f>
        <v/>
      </c>
      <c r="AH940" s="61">
        <f>SUMIFS([1]инфо!$E$15:$E$28,[1]инфо!$A$15:$A$28,F940)</f>
        <v/>
      </c>
      <c r="AI940" s="64">
        <f>IF(H940=0,0,S940/H940)</f>
        <v/>
      </c>
      <c r="AJ940" s="63">
        <f>AI940-AH940</f>
        <v/>
      </c>
      <c r="AK940" s="61">
        <f>SUMIFS([1]инфо!$F$15:$F$28,[1]инфо!$A$15:$A$28,F940)</f>
        <v/>
      </c>
      <c r="AL940" s="64">
        <f>IF(H940=0,0,Y940/H940)</f>
        <v/>
      </c>
      <c r="AM940" s="63">
        <f>AL940-AK940</f>
        <v/>
      </c>
      <c r="AN940" s="61">
        <f>SUMIFS([1]инфо!$G$15:$G$28,[1]инфо!$A$15:$A$28,F940)</f>
        <v/>
      </c>
      <c r="AO940" s="64">
        <f>IF(H940=0,0,AA940/H940)</f>
        <v/>
      </c>
      <c r="AP940" s="63">
        <f>AO940-AN940</f>
        <v/>
      </c>
      <c r="AQ940" s="61">
        <f>SUMIFS([1]инфо!$H$15:$H$28,[1]инфо!$A$15:$A$28,F940)</f>
        <v/>
      </c>
      <c r="AR940" s="62">
        <f>IF(H939=0,0,AC940/H939)</f>
        <v/>
      </c>
      <c r="AS940" s="63">
        <f>AR940-AQ940</f>
        <v/>
      </c>
      <c r="AT940" s="61">
        <f>SUMIFS([1]инфо!$I$15:$I$28,[1]инфо!$A$15:$A$28,F940)</f>
        <v/>
      </c>
      <c r="AU940" s="62">
        <f>IF(H940=0,0,AD940/H940)</f>
        <v/>
      </c>
      <c r="AV940" s="63">
        <f>AU940-AT940</f>
        <v/>
      </c>
      <c r="AX940" s="59">
        <f>SUMIFS([1]инфо!$C$15:$C$28,[1]инфо!$A$15:$A$28,F940)*H939</f>
        <v/>
      </c>
    </row>
    <row r="941">
      <c r="A941" s="71">
        <f>A939+1</f>
        <v/>
      </c>
      <c r="B941" s="90" t="n"/>
      <c r="C941" s="52" t="n"/>
      <c r="D941" s="53" t="n"/>
      <c r="E941" s="91" t="n"/>
      <c r="F941" s="67" t="n"/>
      <c r="G941" s="58" t="n"/>
      <c r="H941" s="56" t="n"/>
      <c r="I941" s="55" t="n"/>
      <c r="J941" s="55" t="n"/>
      <c r="K941" s="55" t="n"/>
      <c r="L941" s="55" t="n"/>
      <c r="M941" s="55" t="n"/>
      <c r="N941" s="55" t="n"/>
      <c r="O941" s="58" t="n"/>
      <c r="P941" s="58" t="n"/>
      <c r="Q941" s="58" t="n"/>
      <c r="R941" s="58" t="n"/>
      <c r="S941" s="59">
        <f>SUM(O941:R941)</f>
        <v/>
      </c>
      <c r="T941" s="52" t="n"/>
      <c r="U941" s="53" t="n"/>
      <c r="V941" s="58" t="n"/>
      <c r="W941" s="58" t="n"/>
      <c r="X941" s="58" t="n"/>
      <c r="Y941" s="52" t="n"/>
      <c r="Z941" s="58" t="n"/>
      <c r="AA941" s="58" t="n"/>
      <c r="AB941" s="58" t="n"/>
      <c r="AC941" s="58" t="n"/>
      <c r="AD941" s="53" t="n"/>
      <c r="AE941" s="61">
        <f>SUMIFS([1]инфо!$D$15:$D$28,[1]инфо!$A$15:$A$28,F941)</f>
        <v/>
      </c>
      <c r="AF941" s="62">
        <f>IF(H941=0,0,N941/H941)</f>
        <v/>
      </c>
      <c r="AG941" s="63">
        <f>AF941-AE941</f>
        <v/>
      </c>
      <c r="AH941" s="61">
        <f>SUMIFS([1]инфо!$E$15:$E$28,[1]инфо!$A$15:$A$28,F941)</f>
        <v/>
      </c>
      <c r="AI941" s="64">
        <f>IF(H941=0,0,S941/H941)</f>
        <v/>
      </c>
      <c r="AJ941" s="63">
        <f>AI941-AH941</f>
        <v/>
      </c>
      <c r="AK941" s="61">
        <f>SUMIFS([1]инфо!$F$15:$F$28,[1]инфо!$A$15:$A$28,F941)</f>
        <v/>
      </c>
      <c r="AL941" s="64">
        <f>IF(H941=0,0,Y941/H941)</f>
        <v/>
      </c>
      <c r="AM941" s="63">
        <f>AL941-AK941</f>
        <v/>
      </c>
      <c r="AN941" s="61">
        <f>SUMIFS([1]инфо!$G$15:$G$28,[1]инфо!$A$15:$A$28,F941)</f>
        <v/>
      </c>
      <c r="AO941" s="64">
        <f>IF(H941=0,0,AA941/H941)</f>
        <v/>
      </c>
      <c r="AP941" s="63">
        <f>AO941-AN941</f>
        <v/>
      </c>
      <c r="AQ941" s="61">
        <f>SUMIFS([1]инфо!$H$15:$H$28,[1]инфо!$A$15:$A$28,F941)</f>
        <v/>
      </c>
      <c r="AR941" s="62">
        <f>IF(H940=0,0,AC941/H940)</f>
        <v/>
      </c>
      <c r="AS941" s="63">
        <f>AR941-AQ941</f>
        <v/>
      </c>
      <c r="AT941" s="61">
        <f>SUMIFS([1]инфо!$I$15:$I$28,[1]инфо!$A$15:$A$28,F941)</f>
        <v/>
      </c>
      <c r="AU941" s="62">
        <f>IF(H941=0,0,AD941/H941)</f>
        <v/>
      </c>
      <c r="AV941" s="63">
        <f>AU941-AT941</f>
        <v/>
      </c>
      <c r="AX941" s="59">
        <f>SUMIFS([1]инфо!$C$15:$C$28,[1]инфо!$A$15:$A$28,F941)*H940</f>
        <v/>
      </c>
    </row>
    <row r="942">
      <c r="A942" s="71">
        <f>A940+1</f>
        <v/>
      </c>
      <c r="B942" s="88" t="n"/>
      <c r="C942" s="77" t="n"/>
      <c r="D942" s="78" t="n"/>
      <c r="E942" s="91" t="n"/>
      <c r="F942" s="67" t="n"/>
      <c r="G942" s="79" t="n"/>
      <c r="H942" s="67" t="n"/>
      <c r="I942" s="55" t="n"/>
      <c r="J942" s="55" t="n"/>
      <c r="K942" s="55" t="n"/>
      <c r="L942" s="55" t="n"/>
      <c r="M942" s="55" t="n"/>
      <c r="N942" s="56" t="n"/>
      <c r="O942" s="79" t="n"/>
      <c r="P942" s="79" t="n"/>
      <c r="Q942" s="79" t="n"/>
      <c r="R942" s="79" t="n"/>
      <c r="S942" s="80">
        <f>SUM(O942:R942)</f>
        <v/>
      </c>
      <c r="T942" s="77" t="n"/>
      <c r="U942" s="78" t="n"/>
      <c r="V942" s="79" t="n"/>
      <c r="W942" s="79" t="n"/>
      <c r="X942" s="79" t="n"/>
      <c r="Y942" s="77" t="n"/>
      <c r="Z942" s="79" t="n"/>
      <c r="AA942" s="79" t="n"/>
      <c r="AB942" s="79" t="n"/>
      <c r="AC942" s="79" t="n"/>
      <c r="AD942" s="78" t="n"/>
      <c r="AE942" s="81">
        <f>SUMIFS([1]инфо!$D$15:$D$28,[1]инфо!$A$15:$A$28,F942)</f>
        <v/>
      </c>
      <c r="AF942" s="62">
        <f>IF(H942=0,0,N942/H942)</f>
        <v/>
      </c>
      <c r="AG942" s="82">
        <f>AF942-AE942</f>
        <v/>
      </c>
      <c r="AH942" s="81">
        <f>SUMIFS([1]инфо!$E$15:$E$28,[1]инфо!$A$15:$A$28,F942)</f>
        <v/>
      </c>
      <c r="AI942" s="64">
        <f>IF(H942=0,0,S942/H942)</f>
        <v/>
      </c>
      <c r="AJ942" s="82">
        <f>AI942-AH942</f>
        <v/>
      </c>
      <c r="AK942" s="81">
        <f>SUMIFS([1]инфо!$F$15:$F$28,[1]инфо!$A$15:$A$28,F942)</f>
        <v/>
      </c>
      <c r="AL942" s="64">
        <f>IF(H942=0,0,Y942/H942)</f>
        <v/>
      </c>
      <c r="AM942" s="82">
        <f>AL942-AK942</f>
        <v/>
      </c>
      <c r="AN942" s="81">
        <f>SUMIFS([1]инфо!$G$15:$G$28,[1]инфо!$A$15:$A$28,F942)</f>
        <v/>
      </c>
      <c r="AO942" s="64">
        <f>IF(H942=0,0,AA942/H942)</f>
        <v/>
      </c>
      <c r="AP942" s="82">
        <f>AO942-AN942</f>
        <v/>
      </c>
      <c r="AQ942" s="81">
        <f>SUMIFS([1]инфо!$H$15:$H$28,[1]инфо!$A$15:$A$28,F942)</f>
        <v/>
      </c>
      <c r="AR942" s="85">
        <f>IF(H941=0,0,AC942/H941)</f>
        <v/>
      </c>
      <c r="AS942" s="82">
        <f>AR942-AQ942</f>
        <v/>
      </c>
      <c r="AT942" s="81">
        <f>SUMIFS([1]инфо!$I$15:$I$28,[1]инфо!$A$15:$A$28,F942)</f>
        <v/>
      </c>
      <c r="AU942" s="62">
        <f>IF(H942=0,0,AD942/H942)</f>
        <v/>
      </c>
      <c r="AV942" s="82">
        <f>AU942-AT942</f>
        <v/>
      </c>
      <c r="AX942" s="80">
        <f>SUMIFS([1]инфо!$C$15:$C$28,[1]инфо!$A$15:$A$28,F942)*H941</f>
        <v/>
      </c>
    </row>
    <row r="943">
      <c r="A943" s="71">
        <f>A941+1</f>
        <v/>
      </c>
      <c r="B943" s="89" t="n"/>
      <c r="C943" s="72" t="n"/>
      <c r="D943" s="73" t="n"/>
      <c r="E943" s="91" t="n"/>
      <c r="F943" s="67" t="n"/>
      <c r="G943" s="74" t="n"/>
      <c r="H943" s="55" t="n"/>
      <c r="I943" s="55" t="n"/>
      <c r="J943" s="55" t="n"/>
      <c r="K943" s="55" t="n"/>
      <c r="L943" s="55" t="n"/>
      <c r="M943" s="55" t="n"/>
      <c r="N943" s="67" t="n"/>
      <c r="O943" s="74" t="n"/>
      <c r="P943" s="74" t="n"/>
      <c r="Q943" s="74" t="n"/>
      <c r="R943" s="74" t="n"/>
      <c r="S943" s="70">
        <f>SUM(O943:R943)</f>
        <v/>
      </c>
      <c r="T943" s="72" t="n"/>
      <c r="U943" s="73" t="n"/>
      <c r="V943" s="74" t="n"/>
      <c r="W943" s="74" t="n"/>
      <c r="X943" s="74" t="n"/>
      <c r="Y943" s="72" t="n"/>
      <c r="Z943" s="74" t="n"/>
      <c r="AA943" s="74" t="n"/>
      <c r="AB943" s="74" t="n"/>
      <c r="AC943" s="74" t="n"/>
      <c r="AD943" s="73" t="n"/>
      <c r="AE943" s="75">
        <f>SUMIFS([1]инфо!$D$15:$D$28,[1]инфо!$A$15:$A$28,F943)</f>
        <v/>
      </c>
      <c r="AF943" s="62">
        <f>IF(H943=0,0,N943/H943)</f>
        <v/>
      </c>
      <c r="AG943" s="76">
        <f>AF943-AE943</f>
        <v/>
      </c>
      <c r="AH943" s="75">
        <f>SUMIFS([1]инфо!$E$15:$E$28,[1]инфо!$A$15:$A$28,F943)</f>
        <v/>
      </c>
      <c r="AI943" s="64">
        <f>IF(H943=0,0,S943/H943)</f>
        <v/>
      </c>
      <c r="AJ943" s="76">
        <f>AI943-AH943</f>
        <v/>
      </c>
      <c r="AK943" s="75">
        <f>SUMIFS([1]инфо!$F$15:$F$28,[1]инфо!$A$15:$A$28,F943)</f>
        <v/>
      </c>
      <c r="AL943" s="64">
        <f>IF(H943=0,0,Y943/H943)</f>
        <v/>
      </c>
      <c r="AM943" s="76">
        <f>AL943-AK943</f>
        <v/>
      </c>
      <c r="AN943" s="75">
        <f>SUMIFS([1]инфо!$G$15:$G$28,[1]инфо!$A$15:$A$28,F943)</f>
        <v/>
      </c>
      <c r="AO943" s="64">
        <f>IF(H943=0,0,AA943/H943)</f>
        <v/>
      </c>
      <c r="AP943" s="76">
        <f>AO943-AN943</f>
        <v/>
      </c>
      <c r="AQ943" s="75">
        <f>SUMIFS([1]инфо!$H$15:$H$28,[1]инфо!$A$15:$A$28,F943)</f>
        <v/>
      </c>
      <c r="AR943" s="64">
        <f>IF(H942=0,0,AC943/H942)</f>
        <v/>
      </c>
      <c r="AS943" s="76">
        <f>AR943-AQ943</f>
        <v/>
      </c>
      <c r="AT943" s="75">
        <f>SUMIFS([1]инфо!$I$15:$I$28,[1]инфо!$A$15:$A$28,F943)</f>
        <v/>
      </c>
      <c r="AU943" s="62">
        <f>IF(H943=0,0,AD943/H943)</f>
        <v/>
      </c>
      <c r="AV943" s="76">
        <f>AU943-AT943</f>
        <v/>
      </c>
      <c r="AX943" s="70">
        <f>SUMIFS([1]инфо!$C$15:$C$28,[1]инфо!$A$15:$A$28,F943)*H942</f>
        <v/>
      </c>
    </row>
    <row r="944">
      <c r="A944" s="71">
        <f>A942+1</f>
        <v/>
      </c>
      <c r="B944" s="90" t="n"/>
      <c r="C944" s="52" t="n"/>
      <c r="D944" s="53" t="n"/>
      <c r="E944" s="91" t="n"/>
      <c r="F944" s="67" t="n"/>
      <c r="G944" s="58" t="n"/>
      <c r="H944" s="55" t="n"/>
      <c r="I944" s="55" t="n"/>
      <c r="J944" s="55" t="n"/>
      <c r="K944" s="55" t="n"/>
      <c r="L944" s="55" t="n"/>
      <c r="M944" s="55" t="n"/>
      <c r="N944" s="55" t="n"/>
      <c r="O944" s="58" t="n"/>
      <c r="P944" s="58" t="n"/>
      <c r="Q944" s="58" t="n"/>
      <c r="R944" s="58" t="n"/>
      <c r="S944" s="59">
        <f>SUM(O944:R944)</f>
        <v/>
      </c>
      <c r="T944" s="52" t="n"/>
      <c r="U944" s="53" t="n"/>
      <c r="V944" s="58" t="n"/>
      <c r="W944" s="58" t="n"/>
      <c r="X944" s="58" t="n"/>
      <c r="Y944" s="52" t="n"/>
      <c r="Z944" s="58" t="n"/>
      <c r="AA944" s="58" t="n"/>
      <c r="AB944" s="58" t="n"/>
      <c r="AC944" s="58" t="n"/>
      <c r="AD944" s="53" t="n"/>
      <c r="AE944" s="61">
        <f>SUMIFS([1]инфо!$D$15:$D$28,[1]инфо!$A$15:$A$28,F944)</f>
        <v/>
      </c>
      <c r="AF944" s="62">
        <f>IF(H944=0,0,N944/H944)</f>
        <v/>
      </c>
      <c r="AG944" s="63">
        <f>AF944-AE944</f>
        <v/>
      </c>
      <c r="AH944" s="61">
        <f>SUMIFS([1]инфо!$E$15:$E$28,[1]инфо!$A$15:$A$28,F944)</f>
        <v/>
      </c>
      <c r="AI944" s="64">
        <f>IF(H944=0,0,S944/H944)</f>
        <v/>
      </c>
      <c r="AJ944" s="63">
        <f>AI944-AH944</f>
        <v/>
      </c>
      <c r="AK944" s="61">
        <f>SUMIFS([1]инфо!$F$15:$F$28,[1]инфо!$A$15:$A$28,F944)</f>
        <v/>
      </c>
      <c r="AL944" s="64">
        <f>IF(H944=0,0,Y944/H944)</f>
        <v/>
      </c>
      <c r="AM944" s="63">
        <f>AL944-AK944</f>
        <v/>
      </c>
      <c r="AN944" s="61">
        <f>SUMIFS([1]инфо!$G$15:$G$28,[1]инфо!$A$15:$A$28,F944)</f>
        <v/>
      </c>
      <c r="AO944" s="64">
        <f>IF(H944=0,0,AA944/H944)</f>
        <v/>
      </c>
      <c r="AP944" s="63">
        <f>AO944-AN944</f>
        <v/>
      </c>
      <c r="AQ944" s="61">
        <f>SUMIFS([1]инфо!$H$15:$H$28,[1]инфо!$A$15:$A$28,F944)</f>
        <v/>
      </c>
      <c r="AR944" s="62">
        <f>IF(H943=0,0,AC944/H943)</f>
        <v/>
      </c>
      <c r="AS944" s="63">
        <f>AR944-AQ944</f>
        <v/>
      </c>
      <c r="AT944" s="61">
        <f>SUMIFS([1]инфо!$I$15:$I$28,[1]инфо!$A$15:$A$28,F944)</f>
        <v/>
      </c>
      <c r="AU944" s="62">
        <f>IF(H944=0,0,AD944/H944)</f>
        <v/>
      </c>
      <c r="AV944" s="63">
        <f>AU944-AT944</f>
        <v/>
      </c>
      <c r="AX944" s="59">
        <f>SUMIFS([1]инфо!$C$15:$C$28,[1]инфо!$A$15:$A$28,F944)*H943</f>
        <v/>
      </c>
    </row>
    <row r="945">
      <c r="A945" s="71">
        <f>A943+1</f>
        <v/>
      </c>
      <c r="B945" s="90" t="n"/>
      <c r="C945" s="52" t="n"/>
      <c r="D945" s="53" t="n"/>
      <c r="E945" s="91" t="n"/>
      <c r="F945" s="67" t="n"/>
      <c r="G945" s="58" t="n"/>
      <c r="H945" s="56" t="n"/>
      <c r="I945" s="55" t="n"/>
      <c r="J945" s="55" t="n"/>
      <c r="K945" s="55" t="n"/>
      <c r="L945" s="55" t="n"/>
      <c r="M945" s="55" t="n"/>
      <c r="N945" s="55" t="n"/>
      <c r="O945" s="58" t="n"/>
      <c r="P945" s="58" t="n"/>
      <c r="Q945" s="58" t="n"/>
      <c r="R945" s="58" t="n"/>
      <c r="S945" s="59">
        <f>SUM(O945:R945)</f>
        <v/>
      </c>
      <c r="T945" s="52" t="n"/>
      <c r="U945" s="53" t="n"/>
      <c r="V945" s="58" t="n"/>
      <c r="W945" s="58" t="n"/>
      <c r="X945" s="58" t="n"/>
      <c r="Y945" s="52" t="n"/>
      <c r="Z945" s="58" t="n"/>
      <c r="AA945" s="58" t="n"/>
      <c r="AB945" s="58" t="n"/>
      <c r="AC945" s="58" t="n"/>
      <c r="AD945" s="53" t="n"/>
      <c r="AE945" s="61">
        <f>SUMIFS([1]инфо!$D$15:$D$28,[1]инфо!$A$15:$A$28,F945)</f>
        <v/>
      </c>
      <c r="AF945" s="62">
        <f>IF(H945=0,0,N945/H945)</f>
        <v/>
      </c>
      <c r="AG945" s="63">
        <f>AF945-AE945</f>
        <v/>
      </c>
      <c r="AH945" s="61">
        <f>SUMIFS([1]инфо!$E$15:$E$28,[1]инфо!$A$15:$A$28,F945)</f>
        <v/>
      </c>
      <c r="AI945" s="64">
        <f>IF(H945=0,0,S945/H945)</f>
        <v/>
      </c>
      <c r="AJ945" s="63">
        <f>AI945-AH945</f>
        <v/>
      </c>
      <c r="AK945" s="61">
        <f>SUMIFS([1]инфо!$F$15:$F$28,[1]инфо!$A$15:$A$28,F945)</f>
        <v/>
      </c>
      <c r="AL945" s="64">
        <f>IF(H945=0,0,Y945/H945)</f>
        <v/>
      </c>
      <c r="AM945" s="63">
        <f>AL945-AK945</f>
        <v/>
      </c>
      <c r="AN945" s="61">
        <f>SUMIFS([1]инфо!$G$15:$G$28,[1]инфо!$A$15:$A$28,F945)</f>
        <v/>
      </c>
      <c r="AO945" s="64">
        <f>IF(H945=0,0,AA945/H945)</f>
        <v/>
      </c>
      <c r="AP945" s="63">
        <f>AO945-AN945</f>
        <v/>
      </c>
      <c r="AQ945" s="61">
        <f>SUMIFS([1]инфо!$H$15:$H$28,[1]инфо!$A$15:$A$28,F945)</f>
        <v/>
      </c>
      <c r="AR945" s="62">
        <f>IF(H944=0,0,AC945/H944)</f>
        <v/>
      </c>
      <c r="AS945" s="63">
        <f>AR945-AQ945</f>
        <v/>
      </c>
      <c r="AT945" s="61">
        <f>SUMIFS([1]инфо!$I$15:$I$28,[1]инфо!$A$15:$A$28,F945)</f>
        <v/>
      </c>
      <c r="AU945" s="62">
        <f>IF(H945=0,0,AD945/H945)</f>
        <v/>
      </c>
      <c r="AV945" s="63">
        <f>AU945-AT945</f>
        <v/>
      </c>
      <c r="AX945" s="59">
        <f>SUMIFS([1]инфо!$C$15:$C$28,[1]инфо!$A$15:$A$28,F945)*H944</f>
        <v/>
      </c>
    </row>
    <row r="946">
      <c r="A946" s="71">
        <f>A944+1</f>
        <v/>
      </c>
      <c r="B946" s="88" t="n"/>
      <c r="C946" s="77" t="n"/>
      <c r="D946" s="78" t="n"/>
      <c r="E946" s="91" t="n"/>
      <c r="F946" s="67" t="n"/>
      <c r="G946" s="79" t="n"/>
      <c r="H946" s="67" t="n"/>
      <c r="I946" s="55" t="n"/>
      <c r="J946" s="55" t="n"/>
      <c r="K946" s="55" t="n"/>
      <c r="L946" s="55" t="n"/>
      <c r="M946" s="55" t="n"/>
      <c r="N946" s="56" t="n"/>
      <c r="O946" s="79" t="n"/>
      <c r="P946" s="79" t="n"/>
      <c r="Q946" s="79" t="n"/>
      <c r="R946" s="79" t="n"/>
      <c r="S946" s="80">
        <f>SUM(O946:R946)</f>
        <v/>
      </c>
      <c r="T946" s="77" t="n"/>
      <c r="U946" s="78" t="n"/>
      <c r="V946" s="79" t="n"/>
      <c r="W946" s="79" t="n"/>
      <c r="X946" s="79" t="n"/>
      <c r="Y946" s="77" t="n"/>
      <c r="Z946" s="79" t="n"/>
      <c r="AA946" s="79" t="n"/>
      <c r="AB946" s="79" t="n"/>
      <c r="AC946" s="79" t="n"/>
      <c r="AD946" s="78" t="n"/>
      <c r="AE946" s="81">
        <f>SUMIFS([1]инфо!$D$15:$D$28,[1]инфо!$A$15:$A$28,F946)</f>
        <v/>
      </c>
      <c r="AF946" s="62">
        <f>IF(H946=0,0,N946/H946)</f>
        <v/>
      </c>
      <c r="AG946" s="82">
        <f>AF946-AE946</f>
        <v/>
      </c>
      <c r="AH946" s="81">
        <f>SUMIFS([1]инфо!$E$15:$E$28,[1]инфо!$A$15:$A$28,F946)</f>
        <v/>
      </c>
      <c r="AI946" s="64">
        <f>IF(H946=0,0,S946/H946)</f>
        <v/>
      </c>
      <c r="AJ946" s="82">
        <f>AI946-AH946</f>
        <v/>
      </c>
      <c r="AK946" s="81">
        <f>SUMIFS([1]инфо!$F$15:$F$28,[1]инфо!$A$15:$A$28,F946)</f>
        <v/>
      </c>
      <c r="AL946" s="64">
        <f>IF(H946=0,0,Y946/H946)</f>
        <v/>
      </c>
      <c r="AM946" s="82">
        <f>AL946-AK946</f>
        <v/>
      </c>
      <c r="AN946" s="81">
        <f>SUMIFS([1]инфо!$G$15:$G$28,[1]инфо!$A$15:$A$28,F946)</f>
        <v/>
      </c>
      <c r="AO946" s="64">
        <f>IF(H946=0,0,AA946/H946)</f>
        <v/>
      </c>
      <c r="AP946" s="82">
        <f>AO946-AN946</f>
        <v/>
      </c>
      <c r="AQ946" s="81">
        <f>SUMIFS([1]инфо!$H$15:$H$28,[1]инфо!$A$15:$A$28,F946)</f>
        <v/>
      </c>
      <c r="AR946" s="85">
        <f>IF(H945=0,0,AC946/H945)</f>
        <v/>
      </c>
      <c r="AS946" s="82">
        <f>AR946-AQ946</f>
        <v/>
      </c>
      <c r="AT946" s="81">
        <f>SUMIFS([1]инфо!$I$15:$I$28,[1]инфо!$A$15:$A$28,F946)</f>
        <v/>
      </c>
      <c r="AU946" s="62">
        <f>IF(H946=0,0,AD946/H946)</f>
        <v/>
      </c>
      <c r="AV946" s="82">
        <f>AU946-AT946</f>
        <v/>
      </c>
      <c r="AX946" s="80">
        <f>SUMIFS([1]инфо!$C$15:$C$28,[1]инфо!$A$15:$A$28,F946)*H945</f>
        <v/>
      </c>
    </row>
    <row r="947">
      <c r="A947" s="71">
        <f>A945+1</f>
        <v/>
      </c>
      <c r="B947" s="89" t="n"/>
      <c r="C947" s="72" t="n"/>
      <c r="D947" s="73" t="n"/>
      <c r="E947" s="91" t="n"/>
      <c r="F947" s="67" t="n"/>
      <c r="G947" s="74" t="n"/>
      <c r="H947" s="55" t="n"/>
      <c r="I947" s="55" t="n"/>
      <c r="J947" s="55" t="n"/>
      <c r="K947" s="55" t="n"/>
      <c r="L947" s="55" t="n"/>
      <c r="M947" s="55" t="n"/>
      <c r="N947" s="67" t="n"/>
      <c r="O947" s="74" t="n"/>
      <c r="P947" s="74" t="n"/>
      <c r="Q947" s="74" t="n"/>
      <c r="R947" s="74" t="n"/>
      <c r="S947" s="70">
        <f>SUM(O947:R947)</f>
        <v/>
      </c>
      <c r="T947" s="72" t="n"/>
      <c r="U947" s="73" t="n"/>
      <c r="V947" s="74" t="n"/>
      <c r="W947" s="74" t="n"/>
      <c r="X947" s="74" t="n"/>
      <c r="Y947" s="72" t="n"/>
      <c r="Z947" s="74" t="n"/>
      <c r="AA947" s="74" t="n"/>
      <c r="AB947" s="74" t="n"/>
      <c r="AC947" s="74" t="n"/>
      <c r="AD947" s="73" t="n"/>
      <c r="AE947" s="75">
        <f>SUMIFS([1]инфо!$D$15:$D$28,[1]инфо!$A$15:$A$28,F947)</f>
        <v/>
      </c>
      <c r="AF947" s="62">
        <f>IF(H947=0,0,N947/H947)</f>
        <v/>
      </c>
      <c r="AG947" s="76">
        <f>AF947-AE947</f>
        <v/>
      </c>
      <c r="AH947" s="75">
        <f>SUMIFS([1]инфо!$E$15:$E$28,[1]инфо!$A$15:$A$28,F947)</f>
        <v/>
      </c>
      <c r="AI947" s="64">
        <f>IF(H947=0,0,S947/H947)</f>
        <v/>
      </c>
      <c r="AJ947" s="76">
        <f>AI947-AH947</f>
        <v/>
      </c>
      <c r="AK947" s="75">
        <f>SUMIFS([1]инфо!$F$15:$F$28,[1]инфо!$A$15:$A$28,F947)</f>
        <v/>
      </c>
      <c r="AL947" s="64">
        <f>IF(H947=0,0,Y947/H947)</f>
        <v/>
      </c>
      <c r="AM947" s="76">
        <f>AL947-AK947</f>
        <v/>
      </c>
      <c r="AN947" s="75">
        <f>SUMIFS([1]инфо!$G$15:$G$28,[1]инфо!$A$15:$A$28,F947)</f>
        <v/>
      </c>
      <c r="AO947" s="64">
        <f>IF(H947=0,0,AA947/H947)</f>
        <v/>
      </c>
      <c r="AP947" s="76">
        <f>AO947-AN947</f>
        <v/>
      </c>
      <c r="AQ947" s="75">
        <f>SUMIFS([1]инфо!$H$15:$H$28,[1]инфо!$A$15:$A$28,F947)</f>
        <v/>
      </c>
      <c r="AR947" s="64">
        <f>IF(H946=0,0,AC947/H946)</f>
        <v/>
      </c>
      <c r="AS947" s="76">
        <f>AR947-AQ947</f>
        <v/>
      </c>
      <c r="AT947" s="75">
        <f>SUMIFS([1]инфо!$I$15:$I$28,[1]инфо!$A$15:$A$28,F947)</f>
        <v/>
      </c>
      <c r="AU947" s="62">
        <f>IF(H947=0,0,AD947/H947)</f>
        <v/>
      </c>
      <c r="AV947" s="76">
        <f>AU947-AT947</f>
        <v/>
      </c>
      <c r="AX947" s="70">
        <f>SUMIFS([1]инфо!$C$15:$C$28,[1]инфо!$A$15:$A$28,F947)*H946</f>
        <v/>
      </c>
    </row>
    <row r="948">
      <c r="A948" s="71">
        <f>A946+1</f>
        <v/>
      </c>
      <c r="B948" s="90" t="n"/>
      <c r="C948" s="52" t="n"/>
      <c r="D948" s="53" t="n"/>
      <c r="E948" s="91" t="n"/>
      <c r="F948" s="67" t="n"/>
      <c r="G948" s="58" t="n"/>
      <c r="H948" s="55" t="n"/>
      <c r="I948" s="55" t="n"/>
      <c r="J948" s="55" t="n"/>
      <c r="K948" s="55" t="n"/>
      <c r="L948" s="55" t="n"/>
      <c r="M948" s="55" t="n"/>
      <c r="N948" s="55" t="n"/>
      <c r="O948" s="58" t="n"/>
      <c r="P948" s="58" t="n"/>
      <c r="Q948" s="58" t="n"/>
      <c r="R948" s="58" t="n"/>
      <c r="S948" s="59">
        <f>SUM(O948:R948)</f>
        <v/>
      </c>
      <c r="T948" s="52" t="n"/>
      <c r="U948" s="53" t="n"/>
      <c r="V948" s="58" t="n"/>
      <c r="W948" s="58" t="n"/>
      <c r="X948" s="58" t="n"/>
      <c r="Y948" s="52" t="n"/>
      <c r="Z948" s="58" t="n"/>
      <c r="AA948" s="58" t="n"/>
      <c r="AB948" s="58" t="n"/>
      <c r="AC948" s="58" t="n"/>
      <c r="AD948" s="53" t="n"/>
      <c r="AE948" s="61">
        <f>SUMIFS([1]инфо!$D$15:$D$28,[1]инфо!$A$15:$A$28,F948)</f>
        <v/>
      </c>
      <c r="AF948" s="62">
        <f>IF(H948=0,0,N948/H948)</f>
        <v/>
      </c>
      <c r="AG948" s="63">
        <f>AF948-AE948</f>
        <v/>
      </c>
      <c r="AH948" s="61">
        <f>SUMIFS([1]инфо!$E$15:$E$28,[1]инфо!$A$15:$A$28,F948)</f>
        <v/>
      </c>
      <c r="AI948" s="64">
        <f>IF(H948=0,0,S948/H948)</f>
        <v/>
      </c>
      <c r="AJ948" s="63">
        <f>AI948-AH948</f>
        <v/>
      </c>
      <c r="AK948" s="61">
        <f>SUMIFS([1]инфо!$F$15:$F$28,[1]инфо!$A$15:$A$28,F948)</f>
        <v/>
      </c>
      <c r="AL948" s="64">
        <f>IF(H948=0,0,Y948/H948)</f>
        <v/>
      </c>
      <c r="AM948" s="63">
        <f>AL948-AK948</f>
        <v/>
      </c>
      <c r="AN948" s="61">
        <f>SUMIFS([1]инфо!$G$15:$G$28,[1]инфо!$A$15:$A$28,F948)</f>
        <v/>
      </c>
      <c r="AO948" s="64">
        <f>IF(H948=0,0,AA948/H948)</f>
        <v/>
      </c>
      <c r="AP948" s="63">
        <f>AO948-AN948</f>
        <v/>
      </c>
      <c r="AQ948" s="61">
        <f>SUMIFS([1]инфо!$H$15:$H$28,[1]инфо!$A$15:$A$28,F948)</f>
        <v/>
      </c>
      <c r="AR948" s="62">
        <f>IF(H947=0,0,AC948/H947)</f>
        <v/>
      </c>
      <c r="AS948" s="63">
        <f>AR948-AQ948</f>
        <v/>
      </c>
      <c r="AT948" s="61">
        <f>SUMIFS([1]инфо!$I$15:$I$28,[1]инфо!$A$15:$A$28,F948)</f>
        <v/>
      </c>
      <c r="AU948" s="62">
        <f>IF(H948=0,0,AD948/H948)</f>
        <v/>
      </c>
      <c r="AV948" s="63">
        <f>AU948-AT948</f>
        <v/>
      </c>
      <c r="AX948" s="59">
        <f>SUMIFS([1]инфо!$C$15:$C$28,[1]инфо!$A$15:$A$28,F948)*H947</f>
        <v/>
      </c>
    </row>
    <row r="949">
      <c r="A949" s="71">
        <f>A947+1</f>
        <v/>
      </c>
      <c r="B949" s="90" t="n"/>
      <c r="C949" s="52" t="n"/>
      <c r="D949" s="53" t="n"/>
      <c r="E949" s="91" t="n"/>
      <c r="F949" s="67" t="n"/>
      <c r="G949" s="58" t="n"/>
      <c r="H949" s="56" t="n"/>
      <c r="I949" s="55" t="n"/>
      <c r="J949" s="55" t="n"/>
      <c r="K949" s="55" t="n"/>
      <c r="L949" s="55" t="n"/>
      <c r="M949" s="55" t="n"/>
      <c r="N949" s="55" t="n"/>
      <c r="O949" s="58" t="n"/>
      <c r="P949" s="58" t="n"/>
      <c r="Q949" s="58" t="n"/>
      <c r="R949" s="58" t="n"/>
      <c r="S949" s="59">
        <f>SUM(O949:R949)</f>
        <v/>
      </c>
      <c r="T949" s="52" t="n"/>
      <c r="U949" s="53" t="n"/>
      <c r="V949" s="58" t="n"/>
      <c r="W949" s="58" t="n"/>
      <c r="X949" s="58" t="n"/>
      <c r="Y949" s="52" t="n"/>
      <c r="Z949" s="58" t="n"/>
      <c r="AA949" s="58" t="n"/>
      <c r="AB949" s="58" t="n"/>
      <c r="AC949" s="58" t="n"/>
      <c r="AD949" s="53" t="n"/>
      <c r="AE949" s="61">
        <f>SUMIFS([1]инфо!$D$15:$D$28,[1]инфо!$A$15:$A$28,F949)</f>
        <v/>
      </c>
      <c r="AF949" s="62">
        <f>IF(H949=0,0,N949/H949)</f>
        <v/>
      </c>
      <c r="AG949" s="63">
        <f>AF949-AE949</f>
        <v/>
      </c>
      <c r="AH949" s="61">
        <f>SUMIFS([1]инфо!$E$15:$E$28,[1]инфо!$A$15:$A$28,F949)</f>
        <v/>
      </c>
      <c r="AI949" s="64">
        <f>IF(H949=0,0,S949/H949)</f>
        <v/>
      </c>
      <c r="AJ949" s="63">
        <f>AI949-AH949</f>
        <v/>
      </c>
      <c r="AK949" s="61">
        <f>SUMIFS([1]инфо!$F$15:$F$28,[1]инфо!$A$15:$A$28,F949)</f>
        <v/>
      </c>
      <c r="AL949" s="64">
        <f>IF(H949=0,0,Y949/H949)</f>
        <v/>
      </c>
      <c r="AM949" s="63">
        <f>AL949-AK949</f>
        <v/>
      </c>
      <c r="AN949" s="61">
        <f>SUMIFS([1]инфо!$G$15:$G$28,[1]инфо!$A$15:$A$28,F949)</f>
        <v/>
      </c>
      <c r="AO949" s="64">
        <f>IF(H949=0,0,AA949/H949)</f>
        <v/>
      </c>
      <c r="AP949" s="63">
        <f>AO949-AN949</f>
        <v/>
      </c>
      <c r="AQ949" s="61">
        <f>SUMIFS([1]инфо!$H$15:$H$28,[1]инфо!$A$15:$A$28,F949)</f>
        <v/>
      </c>
      <c r="AR949" s="62">
        <f>IF(H948=0,0,AC949/H948)</f>
        <v/>
      </c>
      <c r="AS949" s="63">
        <f>AR949-AQ949</f>
        <v/>
      </c>
      <c r="AT949" s="61">
        <f>SUMIFS([1]инфо!$I$15:$I$28,[1]инфо!$A$15:$A$28,F949)</f>
        <v/>
      </c>
      <c r="AU949" s="62">
        <f>IF(H949=0,0,AD949/H949)</f>
        <v/>
      </c>
      <c r="AV949" s="63">
        <f>AU949-AT949</f>
        <v/>
      </c>
      <c r="AX949" s="59">
        <f>SUMIFS([1]инфо!$C$15:$C$28,[1]инфо!$A$15:$A$28,F949)*H948</f>
        <v/>
      </c>
    </row>
    <row r="950">
      <c r="A950" s="71">
        <f>A948+1</f>
        <v/>
      </c>
      <c r="B950" s="88" t="n"/>
      <c r="C950" s="77" t="n"/>
      <c r="D950" s="78" t="n"/>
      <c r="E950" s="91" t="n"/>
      <c r="F950" s="67" t="n"/>
      <c r="G950" s="79" t="n"/>
      <c r="H950" s="67" t="n"/>
      <c r="I950" s="55" t="n"/>
      <c r="J950" s="55" t="n"/>
      <c r="K950" s="55" t="n"/>
      <c r="L950" s="55" t="n"/>
      <c r="M950" s="55" t="n"/>
      <c r="N950" s="56" t="n"/>
      <c r="O950" s="79" t="n"/>
      <c r="P950" s="79" t="n"/>
      <c r="Q950" s="79" t="n"/>
      <c r="R950" s="79" t="n"/>
      <c r="S950" s="80">
        <f>SUM(O950:R950)</f>
        <v/>
      </c>
      <c r="T950" s="77" t="n"/>
      <c r="U950" s="78" t="n"/>
      <c r="V950" s="79" t="n"/>
      <c r="W950" s="79" t="n"/>
      <c r="X950" s="79" t="n"/>
      <c r="Y950" s="77" t="n"/>
      <c r="Z950" s="79" t="n"/>
      <c r="AA950" s="79" t="n"/>
      <c r="AB950" s="79" t="n"/>
      <c r="AC950" s="79" t="n"/>
      <c r="AD950" s="78" t="n"/>
      <c r="AE950" s="81">
        <f>SUMIFS([1]инфо!$D$15:$D$28,[1]инфо!$A$15:$A$28,F950)</f>
        <v/>
      </c>
      <c r="AF950" s="62">
        <f>IF(H950=0,0,N950/H950)</f>
        <v/>
      </c>
      <c r="AG950" s="82">
        <f>AF950-AE950</f>
        <v/>
      </c>
      <c r="AH950" s="81">
        <f>SUMIFS([1]инфо!$E$15:$E$28,[1]инфо!$A$15:$A$28,F950)</f>
        <v/>
      </c>
      <c r="AI950" s="64">
        <f>IF(H950=0,0,S950/H950)</f>
        <v/>
      </c>
      <c r="AJ950" s="82">
        <f>AI950-AH950</f>
        <v/>
      </c>
      <c r="AK950" s="81">
        <f>SUMIFS([1]инфо!$F$15:$F$28,[1]инфо!$A$15:$A$28,F950)</f>
        <v/>
      </c>
      <c r="AL950" s="64">
        <f>IF(H950=0,0,Y950/H950)</f>
        <v/>
      </c>
      <c r="AM950" s="82">
        <f>AL950-AK950</f>
        <v/>
      </c>
      <c r="AN950" s="81">
        <f>SUMIFS([1]инфо!$G$15:$G$28,[1]инфо!$A$15:$A$28,F950)</f>
        <v/>
      </c>
      <c r="AO950" s="64">
        <f>IF(H950=0,0,AA950/H950)</f>
        <v/>
      </c>
      <c r="AP950" s="82">
        <f>AO950-AN950</f>
        <v/>
      </c>
      <c r="AQ950" s="81">
        <f>SUMIFS([1]инфо!$H$15:$H$28,[1]инфо!$A$15:$A$28,F950)</f>
        <v/>
      </c>
      <c r="AR950" s="85">
        <f>IF(H949=0,0,AC950/H949)</f>
        <v/>
      </c>
      <c r="AS950" s="82">
        <f>AR950-AQ950</f>
        <v/>
      </c>
      <c r="AT950" s="81">
        <f>SUMIFS([1]инфо!$I$15:$I$28,[1]инфо!$A$15:$A$28,F950)</f>
        <v/>
      </c>
      <c r="AU950" s="62">
        <f>IF(H950=0,0,AD950/H950)</f>
        <v/>
      </c>
      <c r="AV950" s="82">
        <f>AU950-AT950</f>
        <v/>
      </c>
      <c r="AX950" s="80">
        <f>SUMIFS([1]инфо!$C$15:$C$28,[1]инфо!$A$15:$A$28,F950)*H949</f>
        <v/>
      </c>
    </row>
    <row r="951">
      <c r="A951" s="71">
        <f>A949+1</f>
        <v/>
      </c>
      <c r="B951" s="89" t="n"/>
      <c r="C951" s="72" t="n"/>
      <c r="D951" s="73" t="n"/>
      <c r="E951" s="91" t="n"/>
      <c r="F951" s="67" t="n"/>
      <c r="G951" s="74" t="n"/>
      <c r="H951" s="55" t="n"/>
      <c r="I951" s="55" t="n"/>
      <c r="J951" s="55" t="n"/>
      <c r="K951" s="55" t="n"/>
      <c r="L951" s="55" t="n"/>
      <c r="M951" s="55" t="n"/>
      <c r="N951" s="67" t="n"/>
      <c r="O951" s="74" t="n"/>
      <c r="P951" s="74" t="n"/>
      <c r="Q951" s="74" t="n"/>
      <c r="R951" s="74" t="n"/>
      <c r="S951" s="70">
        <f>SUM(O951:R951)</f>
        <v/>
      </c>
      <c r="T951" s="72" t="n"/>
      <c r="U951" s="73" t="n"/>
      <c r="V951" s="74" t="n"/>
      <c r="W951" s="74" t="n"/>
      <c r="X951" s="74" t="n"/>
      <c r="Y951" s="72" t="n"/>
      <c r="Z951" s="74" t="n"/>
      <c r="AA951" s="74" t="n"/>
      <c r="AB951" s="74" t="n"/>
      <c r="AC951" s="74" t="n"/>
      <c r="AD951" s="73" t="n"/>
      <c r="AE951" s="75">
        <f>SUMIFS([1]инфо!$D$15:$D$28,[1]инфо!$A$15:$A$28,F951)</f>
        <v/>
      </c>
      <c r="AF951" s="62">
        <f>IF(H951=0,0,N951/H951)</f>
        <v/>
      </c>
      <c r="AG951" s="76">
        <f>AF951-AE951</f>
        <v/>
      </c>
      <c r="AH951" s="75">
        <f>SUMIFS([1]инфо!$E$15:$E$28,[1]инфо!$A$15:$A$28,F951)</f>
        <v/>
      </c>
      <c r="AI951" s="64">
        <f>IF(H951=0,0,S951/H951)</f>
        <v/>
      </c>
      <c r="AJ951" s="76">
        <f>AI951-AH951</f>
        <v/>
      </c>
      <c r="AK951" s="75">
        <f>SUMIFS([1]инфо!$F$15:$F$28,[1]инфо!$A$15:$A$28,F951)</f>
        <v/>
      </c>
      <c r="AL951" s="64">
        <f>IF(H951=0,0,Y951/H951)</f>
        <v/>
      </c>
      <c r="AM951" s="76">
        <f>AL951-AK951</f>
        <v/>
      </c>
      <c r="AN951" s="75">
        <f>SUMIFS([1]инфо!$G$15:$G$28,[1]инфо!$A$15:$A$28,F951)</f>
        <v/>
      </c>
      <c r="AO951" s="64">
        <f>IF(H951=0,0,AA951/H951)</f>
        <v/>
      </c>
      <c r="AP951" s="76">
        <f>AO951-AN951</f>
        <v/>
      </c>
      <c r="AQ951" s="75">
        <f>SUMIFS([1]инфо!$H$15:$H$28,[1]инфо!$A$15:$A$28,F951)</f>
        <v/>
      </c>
      <c r="AR951" s="64">
        <f>IF(H950=0,0,AC951/H950)</f>
        <v/>
      </c>
      <c r="AS951" s="76">
        <f>AR951-AQ951</f>
        <v/>
      </c>
      <c r="AT951" s="75">
        <f>SUMIFS([1]инфо!$I$15:$I$28,[1]инфо!$A$15:$A$28,F951)</f>
        <v/>
      </c>
      <c r="AU951" s="62">
        <f>IF(H951=0,0,AD951/H951)</f>
        <v/>
      </c>
      <c r="AV951" s="76">
        <f>AU951-AT951</f>
        <v/>
      </c>
      <c r="AX951" s="70">
        <f>SUMIFS([1]инфо!$C$15:$C$28,[1]инфо!$A$15:$A$28,F951)*H950</f>
        <v/>
      </c>
    </row>
    <row r="952">
      <c r="A952" s="71">
        <f>A950+1</f>
        <v/>
      </c>
      <c r="B952" s="90" t="n"/>
      <c r="C952" s="52" t="n"/>
      <c r="D952" s="53" t="n"/>
      <c r="E952" s="91" t="n"/>
      <c r="F952" s="67" t="n"/>
      <c r="G952" s="58" t="n"/>
      <c r="H952" s="55" t="n"/>
      <c r="I952" s="55" t="n"/>
      <c r="J952" s="55" t="n"/>
      <c r="K952" s="55" t="n"/>
      <c r="L952" s="55" t="n"/>
      <c r="M952" s="55" t="n"/>
      <c r="N952" s="55" t="n"/>
      <c r="O952" s="58" t="n"/>
      <c r="P952" s="58" t="n"/>
      <c r="Q952" s="58" t="n"/>
      <c r="R952" s="58" t="n"/>
      <c r="S952" s="59">
        <f>SUM(O952:R952)</f>
        <v/>
      </c>
      <c r="T952" s="52" t="n"/>
      <c r="U952" s="53" t="n"/>
      <c r="V952" s="58" t="n"/>
      <c r="W952" s="58" t="n"/>
      <c r="X952" s="58" t="n"/>
      <c r="Y952" s="52" t="n"/>
      <c r="Z952" s="58" t="n"/>
      <c r="AA952" s="58" t="n"/>
      <c r="AB952" s="58" t="n"/>
      <c r="AC952" s="58" t="n"/>
      <c r="AD952" s="53" t="n"/>
      <c r="AE952" s="61">
        <f>SUMIFS([1]инфо!$D$15:$D$28,[1]инфо!$A$15:$A$28,F952)</f>
        <v/>
      </c>
      <c r="AF952" s="62">
        <f>IF(H952=0,0,N952/H952)</f>
        <v/>
      </c>
      <c r="AG952" s="63">
        <f>AF952-AE952</f>
        <v/>
      </c>
      <c r="AH952" s="61">
        <f>SUMIFS([1]инфо!$E$15:$E$28,[1]инфо!$A$15:$A$28,F952)</f>
        <v/>
      </c>
      <c r="AI952" s="64">
        <f>IF(H952=0,0,S952/H952)</f>
        <v/>
      </c>
      <c r="AJ952" s="63">
        <f>AI952-AH952</f>
        <v/>
      </c>
      <c r="AK952" s="61">
        <f>SUMIFS([1]инфо!$F$15:$F$28,[1]инфо!$A$15:$A$28,F952)</f>
        <v/>
      </c>
      <c r="AL952" s="64">
        <f>IF(H952=0,0,Y952/H952)</f>
        <v/>
      </c>
      <c r="AM952" s="63">
        <f>AL952-AK952</f>
        <v/>
      </c>
      <c r="AN952" s="61">
        <f>SUMIFS([1]инфо!$G$15:$G$28,[1]инфо!$A$15:$A$28,F952)</f>
        <v/>
      </c>
      <c r="AO952" s="64">
        <f>IF(H952=0,0,AA952/H952)</f>
        <v/>
      </c>
      <c r="AP952" s="63">
        <f>AO952-AN952</f>
        <v/>
      </c>
      <c r="AQ952" s="61">
        <f>SUMIFS([1]инфо!$H$15:$H$28,[1]инфо!$A$15:$A$28,F952)</f>
        <v/>
      </c>
      <c r="AR952" s="62">
        <f>IF(H951=0,0,AC952/H951)</f>
        <v/>
      </c>
      <c r="AS952" s="63">
        <f>AR952-AQ952</f>
        <v/>
      </c>
      <c r="AT952" s="61">
        <f>SUMIFS([1]инфо!$I$15:$I$28,[1]инфо!$A$15:$A$28,F952)</f>
        <v/>
      </c>
      <c r="AU952" s="62">
        <f>IF(H952=0,0,AD952/H952)</f>
        <v/>
      </c>
      <c r="AV952" s="63">
        <f>AU952-AT952</f>
        <v/>
      </c>
      <c r="AX952" s="59">
        <f>SUMIFS([1]инфо!$C$15:$C$28,[1]инфо!$A$15:$A$28,F952)*H951</f>
        <v/>
      </c>
    </row>
    <row r="953">
      <c r="A953" s="71">
        <f>A951+1</f>
        <v/>
      </c>
      <c r="B953" s="90" t="n"/>
      <c r="C953" s="52" t="n"/>
      <c r="D953" s="53" t="n"/>
      <c r="E953" s="91" t="n"/>
      <c r="F953" s="67" t="n"/>
      <c r="G953" s="58" t="n"/>
      <c r="H953" s="56" t="n"/>
      <c r="I953" s="55" t="n"/>
      <c r="J953" s="55" t="n"/>
      <c r="K953" s="55" t="n"/>
      <c r="L953" s="55" t="n"/>
      <c r="M953" s="55" t="n"/>
      <c r="N953" s="55" t="n"/>
      <c r="O953" s="58" t="n"/>
      <c r="P953" s="58" t="n"/>
      <c r="Q953" s="58" t="n"/>
      <c r="R953" s="58" t="n"/>
      <c r="S953" s="59">
        <f>SUM(O953:R953)</f>
        <v/>
      </c>
      <c r="T953" s="52" t="n"/>
      <c r="U953" s="53" t="n"/>
      <c r="V953" s="58" t="n"/>
      <c r="W953" s="58" t="n"/>
      <c r="X953" s="58" t="n"/>
      <c r="Y953" s="52" t="n"/>
      <c r="Z953" s="58" t="n"/>
      <c r="AA953" s="58" t="n"/>
      <c r="AB953" s="58" t="n"/>
      <c r="AC953" s="58" t="n"/>
      <c r="AD953" s="53" t="n"/>
      <c r="AE953" s="61">
        <f>SUMIFS([1]инфо!$D$15:$D$28,[1]инфо!$A$15:$A$28,F953)</f>
        <v/>
      </c>
      <c r="AF953" s="62">
        <f>IF(H953=0,0,N953/H953)</f>
        <v/>
      </c>
      <c r="AG953" s="63">
        <f>AF953-AE953</f>
        <v/>
      </c>
      <c r="AH953" s="61">
        <f>SUMIFS([1]инфо!$E$15:$E$28,[1]инфо!$A$15:$A$28,F953)</f>
        <v/>
      </c>
      <c r="AI953" s="64">
        <f>IF(H953=0,0,S953/H953)</f>
        <v/>
      </c>
      <c r="AJ953" s="63">
        <f>AI953-AH953</f>
        <v/>
      </c>
      <c r="AK953" s="61">
        <f>SUMIFS([1]инфо!$F$15:$F$28,[1]инфо!$A$15:$A$28,F953)</f>
        <v/>
      </c>
      <c r="AL953" s="64">
        <f>IF(H953=0,0,Y953/H953)</f>
        <v/>
      </c>
      <c r="AM953" s="63">
        <f>AL953-AK953</f>
        <v/>
      </c>
      <c r="AN953" s="61">
        <f>SUMIFS([1]инфо!$G$15:$G$28,[1]инфо!$A$15:$A$28,F953)</f>
        <v/>
      </c>
      <c r="AO953" s="64">
        <f>IF(H953=0,0,AA953/H953)</f>
        <v/>
      </c>
      <c r="AP953" s="63">
        <f>AO953-AN953</f>
        <v/>
      </c>
      <c r="AQ953" s="61">
        <f>SUMIFS([1]инфо!$H$15:$H$28,[1]инфо!$A$15:$A$28,F953)</f>
        <v/>
      </c>
      <c r="AR953" s="62">
        <f>IF(H952=0,0,AC953/H952)</f>
        <v/>
      </c>
      <c r="AS953" s="63">
        <f>AR953-AQ953</f>
        <v/>
      </c>
      <c r="AT953" s="61">
        <f>SUMIFS([1]инфо!$I$15:$I$28,[1]инфо!$A$15:$A$28,F953)</f>
        <v/>
      </c>
      <c r="AU953" s="62">
        <f>IF(H953=0,0,AD953/H953)</f>
        <v/>
      </c>
      <c r="AV953" s="63">
        <f>AU953-AT953</f>
        <v/>
      </c>
      <c r="AX953" s="59">
        <f>SUMIFS([1]инфо!$C$15:$C$28,[1]инфо!$A$15:$A$28,F953)*H952</f>
        <v/>
      </c>
    </row>
    <row r="954">
      <c r="A954" s="71">
        <f>A952+1</f>
        <v/>
      </c>
      <c r="B954" s="88" t="n"/>
      <c r="C954" s="77" t="n"/>
      <c r="D954" s="78" t="n"/>
      <c r="E954" s="91" t="n"/>
      <c r="F954" s="67" t="n"/>
      <c r="G954" s="79" t="n"/>
      <c r="H954" s="67" t="n"/>
      <c r="I954" s="55" t="n"/>
      <c r="J954" s="55" t="n"/>
      <c r="K954" s="55" t="n"/>
      <c r="L954" s="55" t="n"/>
      <c r="M954" s="55" t="n"/>
      <c r="N954" s="56" t="n"/>
      <c r="O954" s="79" t="n"/>
      <c r="P954" s="79" t="n"/>
      <c r="Q954" s="79" t="n"/>
      <c r="R954" s="79" t="n"/>
      <c r="S954" s="80">
        <f>SUM(O954:R954)</f>
        <v/>
      </c>
      <c r="T954" s="77" t="n"/>
      <c r="U954" s="78" t="n"/>
      <c r="V954" s="79" t="n"/>
      <c r="W954" s="79" t="n"/>
      <c r="X954" s="79" t="n"/>
      <c r="Y954" s="77" t="n"/>
      <c r="Z954" s="79" t="n"/>
      <c r="AA954" s="79" t="n"/>
      <c r="AB954" s="79" t="n"/>
      <c r="AC954" s="79" t="n"/>
      <c r="AD954" s="78" t="n"/>
      <c r="AE954" s="81">
        <f>SUMIFS([1]инфо!$D$15:$D$28,[1]инфо!$A$15:$A$28,F954)</f>
        <v/>
      </c>
      <c r="AF954" s="62">
        <f>IF(H954=0,0,N954/H954)</f>
        <v/>
      </c>
      <c r="AG954" s="82">
        <f>AF954-AE954</f>
        <v/>
      </c>
      <c r="AH954" s="81">
        <f>SUMIFS([1]инфо!$E$15:$E$28,[1]инфо!$A$15:$A$28,F954)</f>
        <v/>
      </c>
      <c r="AI954" s="64">
        <f>IF(H954=0,0,S954/H954)</f>
        <v/>
      </c>
      <c r="AJ954" s="82">
        <f>AI954-AH954</f>
        <v/>
      </c>
      <c r="AK954" s="81">
        <f>SUMIFS([1]инфо!$F$15:$F$28,[1]инфо!$A$15:$A$28,F954)</f>
        <v/>
      </c>
      <c r="AL954" s="64">
        <f>IF(H954=0,0,Y954/H954)</f>
        <v/>
      </c>
      <c r="AM954" s="82">
        <f>AL954-AK954</f>
        <v/>
      </c>
      <c r="AN954" s="81">
        <f>SUMIFS([1]инфо!$G$15:$G$28,[1]инфо!$A$15:$A$28,F954)</f>
        <v/>
      </c>
      <c r="AO954" s="64">
        <f>IF(H954=0,0,AA954/H954)</f>
        <v/>
      </c>
      <c r="AP954" s="82">
        <f>AO954-AN954</f>
        <v/>
      </c>
      <c r="AQ954" s="81">
        <f>SUMIFS([1]инфо!$H$15:$H$28,[1]инфо!$A$15:$A$28,F954)</f>
        <v/>
      </c>
      <c r="AR954" s="85">
        <f>IF(H953=0,0,AC954/H953)</f>
        <v/>
      </c>
      <c r="AS954" s="82">
        <f>AR954-AQ954</f>
        <v/>
      </c>
      <c r="AT954" s="81">
        <f>SUMIFS([1]инфо!$I$15:$I$28,[1]инфо!$A$15:$A$28,F954)</f>
        <v/>
      </c>
      <c r="AU954" s="62">
        <f>IF(H954=0,0,AD954/H954)</f>
        <v/>
      </c>
      <c r="AV954" s="82">
        <f>AU954-AT954</f>
        <v/>
      </c>
      <c r="AX954" s="80">
        <f>SUMIFS([1]инфо!$C$15:$C$28,[1]инфо!$A$15:$A$28,F954)*H953</f>
        <v/>
      </c>
    </row>
    <row r="955">
      <c r="A955" s="71">
        <f>A953+1</f>
        <v/>
      </c>
      <c r="B955" s="89" t="n"/>
      <c r="C955" s="72" t="n"/>
      <c r="D955" s="73" t="n"/>
      <c r="E955" s="91" t="n"/>
      <c r="F955" s="67" t="n"/>
      <c r="G955" s="74" t="n"/>
      <c r="H955" s="55" t="n"/>
      <c r="I955" s="55" t="n"/>
      <c r="J955" s="55" t="n"/>
      <c r="K955" s="55" t="n"/>
      <c r="L955" s="55" t="n"/>
      <c r="M955" s="55" t="n"/>
      <c r="N955" s="67" t="n"/>
      <c r="O955" s="74" t="n"/>
      <c r="P955" s="74" t="n"/>
      <c r="Q955" s="74" t="n"/>
      <c r="R955" s="74" t="n"/>
      <c r="S955" s="70">
        <f>SUM(O955:R955)</f>
        <v/>
      </c>
      <c r="T955" s="72" t="n"/>
      <c r="U955" s="73" t="n"/>
      <c r="V955" s="74" t="n"/>
      <c r="W955" s="74" t="n"/>
      <c r="X955" s="74" t="n"/>
      <c r="Y955" s="72" t="n"/>
      <c r="Z955" s="74" t="n"/>
      <c r="AA955" s="74" t="n"/>
      <c r="AB955" s="74" t="n"/>
      <c r="AC955" s="74" t="n"/>
      <c r="AD955" s="73" t="n"/>
      <c r="AE955" s="75">
        <f>SUMIFS([1]инфо!$D$15:$D$28,[1]инфо!$A$15:$A$28,F955)</f>
        <v/>
      </c>
      <c r="AF955" s="62">
        <f>IF(H955=0,0,N955/H955)</f>
        <v/>
      </c>
      <c r="AG955" s="76">
        <f>AF955-AE955</f>
        <v/>
      </c>
      <c r="AH955" s="75">
        <f>SUMIFS([1]инфо!$E$15:$E$28,[1]инфо!$A$15:$A$28,F955)</f>
        <v/>
      </c>
      <c r="AI955" s="64">
        <f>IF(H955=0,0,S955/H955)</f>
        <v/>
      </c>
      <c r="AJ955" s="76">
        <f>AI955-AH955</f>
        <v/>
      </c>
      <c r="AK955" s="75">
        <f>SUMIFS([1]инфо!$F$15:$F$28,[1]инфо!$A$15:$A$28,F955)</f>
        <v/>
      </c>
      <c r="AL955" s="64">
        <f>IF(H955=0,0,Y955/H955)</f>
        <v/>
      </c>
      <c r="AM955" s="76">
        <f>AL955-AK955</f>
        <v/>
      </c>
      <c r="AN955" s="75">
        <f>SUMIFS([1]инфо!$G$15:$G$28,[1]инфо!$A$15:$A$28,F955)</f>
        <v/>
      </c>
      <c r="AO955" s="64">
        <f>IF(H955=0,0,AA955/H955)</f>
        <v/>
      </c>
      <c r="AP955" s="76">
        <f>AO955-AN955</f>
        <v/>
      </c>
      <c r="AQ955" s="75">
        <f>SUMIFS([1]инфо!$H$15:$H$28,[1]инфо!$A$15:$A$28,F955)</f>
        <v/>
      </c>
      <c r="AR955" s="64">
        <f>IF(H954=0,0,AC955/H954)</f>
        <v/>
      </c>
      <c r="AS955" s="76">
        <f>AR955-AQ955</f>
        <v/>
      </c>
      <c r="AT955" s="75">
        <f>SUMIFS([1]инфо!$I$15:$I$28,[1]инфо!$A$15:$A$28,F955)</f>
        <v/>
      </c>
      <c r="AU955" s="62">
        <f>IF(H955=0,0,AD955/H955)</f>
        <v/>
      </c>
      <c r="AV955" s="76">
        <f>AU955-AT955</f>
        <v/>
      </c>
      <c r="AX955" s="70">
        <f>SUMIFS([1]инфо!$C$15:$C$28,[1]инфо!$A$15:$A$28,F955)*H954</f>
        <v/>
      </c>
    </row>
    <row r="956">
      <c r="A956" s="71">
        <f>A954+1</f>
        <v/>
      </c>
      <c r="B956" s="90" t="n"/>
      <c r="C956" s="52" t="n"/>
      <c r="D956" s="53" t="n"/>
      <c r="E956" s="91" t="n"/>
      <c r="F956" s="67" t="n"/>
      <c r="G956" s="58" t="n"/>
      <c r="H956" s="55" t="n"/>
      <c r="I956" s="55" t="n"/>
      <c r="J956" s="55" t="n"/>
      <c r="K956" s="55" t="n"/>
      <c r="L956" s="55" t="n"/>
      <c r="M956" s="55" t="n"/>
      <c r="N956" s="55" t="n"/>
      <c r="O956" s="58" t="n"/>
      <c r="P956" s="58" t="n"/>
      <c r="Q956" s="58" t="n"/>
      <c r="R956" s="58" t="n"/>
      <c r="S956" s="59">
        <f>SUM(O956:R956)</f>
        <v/>
      </c>
      <c r="T956" s="52" t="n"/>
      <c r="U956" s="53" t="n"/>
      <c r="V956" s="58" t="n"/>
      <c r="W956" s="58" t="n"/>
      <c r="X956" s="58" t="n"/>
      <c r="Y956" s="52" t="n"/>
      <c r="Z956" s="58" t="n"/>
      <c r="AA956" s="58" t="n"/>
      <c r="AB956" s="58" t="n"/>
      <c r="AC956" s="58" t="n"/>
      <c r="AD956" s="53" t="n"/>
      <c r="AE956" s="61">
        <f>SUMIFS([1]инфо!$D$15:$D$28,[1]инфо!$A$15:$A$28,F956)</f>
        <v/>
      </c>
      <c r="AF956" s="62">
        <f>IF(H956=0,0,N956/H956)</f>
        <v/>
      </c>
      <c r="AG956" s="63">
        <f>AF956-AE956</f>
        <v/>
      </c>
      <c r="AH956" s="61">
        <f>SUMIFS([1]инфо!$E$15:$E$28,[1]инфо!$A$15:$A$28,F956)</f>
        <v/>
      </c>
      <c r="AI956" s="64">
        <f>IF(H956=0,0,S956/H956)</f>
        <v/>
      </c>
      <c r="AJ956" s="63">
        <f>AI956-AH956</f>
        <v/>
      </c>
      <c r="AK956" s="61">
        <f>SUMIFS([1]инфо!$F$15:$F$28,[1]инфо!$A$15:$A$28,F956)</f>
        <v/>
      </c>
      <c r="AL956" s="64">
        <f>IF(H956=0,0,Y956/H956)</f>
        <v/>
      </c>
      <c r="AM956" s="63">
        <f>AL956-AK956</f>
        <v/>
      </c>
      <c r="AN956" s="61">
        <f>SUMIFS([1]инфо!$G$15:$G$28,[1]инфо!$A$15:$A$28,F956)</f>
        <v/>
      </c>
      <c r="AO956" s="64">
        <f>IF(H956=0,0,AA956/H956)</f>
        <v/>
      </c>
      <c r="AP956" s="63">
        <f>AO956-AN956</f>
        <v/>
      </c>
      <c r="AQ956" s="61">
        <f>SUMIFS([1]инфо!$H$15:$H$28,[1]инфо!$A$15:$A$28,F956)</f>
        <v/>
      </c>
      <c r="AR956" s="62">
        <f>IF(H955=0,0,AC956/H955)</f>
        <v/>
      </c>
      <c r="AS956" s="63">
        <f>AR956-AQ956</f>
        <v/>
      </c>
      <c r="AT956" s="61">
        <f>SUMIFS([1]инфо!$I$15:$I$28,[1]инфо!$A$15:$A$28,F956)</f>
        <v/>
      </c>
      <c r="AU956" s="62">
        <f>IF(H956=0,0,AD956/H956)</f>
        <v/>
      </c>
      <c r="AV956" s="63">
        <f>AU956-AT956</f>
        <v/>
      </c>
      <c r="AX956" s="59">
        <f>SUMIFS([1]инфо!$C$15:$C$28,[1]инфо!$A$15:$A$28,F956)*H955</f>
        <v/>
      </c>
    </row>
    <row r="957">
      <c r="A957" s="71">
        <f>A955+1</f>
        <v/>
      </c>
      <c r="B957" s="90" t="n"/>
      <c r="C957" s="52" t="n"/>
      <c r="D957" s="53" t="n"/>
      <c r="E957" s="91" t="n"/>
      <c r="F957" s="67" t="n"/>
      <c r="G957" s="58" t="n"/>
      <c r="H957" s="56" t="n"/>
      <c r="I957" s="55" t="n"/>
      <c r="J957" s="55" t="n"/>
      <c r="K957" s="55" t="n"/>
      <c r="L957" s="55" t="n"/>
      <c r="M957" s="55" t="n"/>
      <c r="N957" s="55" t="n"/>
      <c r="O957" s="58" t="n"/>
      <c r="P957" s="58" t="n"/>
      <c r="Q957" s="58" t="n"/>
      <c r="R957" s="58" t="n"/>
      <c r="S957" s="59">
        <f>SUM(O957:R957)</f>
        <v/>
      </c>
      <c r="T957" s="52" t="n"/>
      <c r="U957" s="53" t="n"/>
      <c r="V957" s="58" t="n"/>
      <c r="W957" s="58" t="n"/>
      <c r="X957" s="58" t="n"/>
      <c r="Y957" s="52" t="n"/>
      <c r="Z957" s="58" t="n"/>
      <c r="AA957" s="58" t="n"/>
      <c r="AB957" s="58" t="n"/>
      <c r="AC957" s="58" t="n"/>
      <c r="AD957" s="53" t="n"/>
      <c r="AE957" s="61">
        <f>SUMIFS([1]инфо!$D$15:$D$28,[1]инфо!$A$15:$A$28,F957)</f>
        <v/>
      </c>
      <c r="AF957" s="62">
        <f>IF(H957=0,0,N957/H957)</f>
        <v/>
      </c>
      <c r="AG957" s="63">
        <f>AF957-AE957</f>
        <v/>
      </c>
      <c r="AH957" s="61">
        <f>SUMIFS([1]инфо!$E$15:$E$28,[1]инфо!$A$15:$A$28,F957)</f>
        <v/>
      </c>
      <c r="AI957" s="64">
        <f>IF(H957=0,0,S957/H957)</f>
        <v/>
      </c>
      <c r="AJ957" s="63">
        <f>AI957-AH957</f>
        <v/>
      </c>
      <c r="AK957" s="61">
        <f>SUMIFS([1]инфо!$F$15:$F$28,[1]инфо!$A$15:$A$28,F957)</f>
        <v/>
      </c>
      <c r="AL957" s="64">
        <f>IF(H957=0,0,Y957/H957)</f>
        <v/>
      </c>
      <c r="AM957" s="63">
        <f>AL957-AK957</f>
        <v/>
      </c>
      <c r="AN957" s="61">
        <f>SUMIFS([1]инфо!$G$15:$G$28,[1]инфо!$A$15:$A$28,F957)</f>
        <v/>
      </c>
      <c r="AO957" s="64">
        <f>IF(H957=0,0,AA957/H957)</f>
        <v/>
      </c>
      <c r="AP957" s="63">
        <f>AO957-AN957</f>
        <v/>
      </c>
      <c r="AQ957" s="61">
        <f>SUMIFS([1]инфо!$H$15:$H$28,[1]инфо!$A$15:$A$28,F957)</f>
        <v/>
      </c>
      <c r="AR957" s="62">
        <f>IF(H956=0,0,AC957/H956)</f>
        <v/>
      </c>
      <c r="AS957" s="63">
        <f>AR957-AQ957</f>
        <v/>
      </c>
      <c r="AT957" s="61">
        <f>SUMIFS([1]инфо!$I$15:$I$28,[1]инфо!$A$15:$A$28,F957)</f>
        <v/>
      </c>
      <c r="AU957" s="62">
        <f>IF(H957=0,0,AD957/H957)</f>
        <v/>
      </c>
      <c r="AV957" s="63">
        <f>AU957-AT957</f>
        <v/>
      </c>
      <c r="AX957" s="59">
        <f>SUMIFS([1]инфо!$C$15:$C$28,[1]инфо!$A$15:$A$28,F957)*H956</f>
        <v/>
      </c>
    </row>
    <row r="958">
      <c r="A958" s="71">
        <f>A956+1</f>
        <v/>
      </c>
      <c r="B958" s="88" t="n"/>
      <c r="C958" s="77" t="n"/>
      <c r="D958" s="78" t="n"/>
      <c r="E958" s="91" t="n"/>
      <c r="F958" s="67" t="n"/>
      <c r="G958" s="79" t="n"/>
      <c r="H958" s="67" t="n"/>
      <c r="I958" s="55" t="n"/>
      <c r="J958" s="55" t="n"/>
      <c r="K958" s="55" t="n"/>
      <c r="L958" s="55" t="n"/>
      <c r="M958" s="55" t="n"/>
      <c r="N958" s="56" t="n"/>
      <c r="O958" s="79" t="n"/>
      <c r="P958" s="79" t="n"/>
      <c r="Q958" s="79" t="n"/>
      <c r="R958" s="79" t="n"/>
      <c r="S958" s="80">
        <f>SUM(O958:R958)</f>
        <v/>
      </c>
      <c r="T958" s="77" t="n"/>
      <c r="U958" s="78" t="n"/>
      <c r="V958" s="79" t="n"/>
      <c r="W958" s="79" t="n"/>
      <c r="X958" s="79" t="n"/>
      <c r="Y958" s="77" t="n"/>
      <c r="Z958" s="79" t="n"/>
      <c r="AA958" s="79" t="n"/>
      <c r="AB958" s="79" t="n"/>
      <c r="AC958" s="79" t="n"/>
      <c r="AD958" s="78" t="n"/>
      <c r="AE958" s="81">
        <f>SUMIFS([1]инфо!$D$15:$D$28,[1]инфо!$A$15:$A$28,F958)</f>
        <v/>
      </c>
      <c r="AF958" s="62">
        <f>IF(H958=0,0,N958/H958)</f>
        <v/>
      </c>
      <c r="AG958" s="82">
        <f>AF958-AE958</f>
        <v/>
      </c>
      <c r="AH958" s="81">
        <f>SUMIFS([1]инфо!$E$15:$E$28,[1]инфо!$A$15:$A$28,F958)</f>
        <v/>
      </c>
      <c r="AI958" s="64">
        <f>IF(H958=0,0,S958/H958)</f>
        <v/>
      </c>
      <c r="AJ958" s="82">
        <f>AI958-AH958</f>
        <v/>
      </c>
      <c r="AK958" s="81">
        <f>SUMIFS([1]инфо!$F$15:$F$28,[1]инфо!$A$15:$A$28,F958)</f>
        <v/>
      </c>
      <c r="AL958" s="64">
        <f>IF(H958=0,0,Y958/H958)</f>
        <v/>
      </c>
      <c r="AM958" s="82">
        <f>AL958-AK958</f>
        <v/>
      </c>
      <c r="AN958" s="81">
        <f>SUMIFS([1]инфо!$G$15:$G$28,[1]инфо!$A$15:$A$28,F958)</f>
        <v/>
      </c>
      <c r="AO958" s="64">
        <f>IF(H958=0,0,AA958/H958)</f>
        <v/>
      </c>
      <c r="AP958" s="82">
        <f>AO958-AN958</f>
        <v/>
      </c>
      <c r="AQ958" s="81">
        <f>SUMIFS([1]инфо!$H$15:$H$28,[1]инфо!$A$15:$A$28,F958)</f>
        <v/>
      </c>
      <c r="AR958" s="85">
        <f>IF(H957=0,0,AC958/H957)</f>
        <v/>
      </c>
      <c r="AS958" s="82">
        <f>AR958-AQ958</f>
        <v/>
      </c>
      <c r="AT958" s="81">
        <f>SUMIFS([1]инфо!$I$15:$I$28,[1]инфо!$A$15:$A$28,F958)</f>
        <v/>
      </c>
      <c r="AU958" s="62">
        <f>IF(H958=0,0,AD958/H958)</f>
        <v/>
      </c>
      <c r="AV958" s="82">
        <f>AU958-AT958</f>
        <v/>
      </c>
      <c r="AX958" s="80">
        <f>SUMIFS([1]инфо!$C$15:$C$28,[1]инфо!$A$15:$A$28,F958)*H957</f>
        <v/>
      </c>
    </row>
    <row r="959">
      <c r="A959" s="71">
        <f>A957+1</f>
        <v/>
      </c>
      <c r="B959" s="89" t="n"/>
      <c r="C959" s="72" t="n"/>
      <c r="D959" s="73" t="n"/>
      <c r="E959" s="91" t="n"/>
      <c r="F959" s="67" t="n"/>
      <c r="G959" s="74" t="n"/>
      <c r="H959" s="55" t="n"/>
      <c r="I959" s="55" t="n"/>
      <c r="J959" s="55" t="n"/>
      <c r="K959" s="55" t="n"/>
      <c r="L959" s="55" t="n"/>
      <c r="M959" s="55" t="n"/>
      <c r="N959" s="67" t="n"/>
      <c r="O959" s="74" t="n"/>
      <c r="P959" s="74" t="n"/>
      <c r="Q959" s="74" t="n"/>
      <c r="R959" s="74" t="n"/>
      <c r="S959" s="70">
        <f>SUM(O959:R959)</f>
        <v/>
      </c>
      <c r="T959" s="72" t="n"/>
      <c r="U959" s="73" t="n"/>
      <c r="V959" s="74" t="n"/>
      <c r="W959" s="74" t="n"/>
      <c r="X959" s="74" t="n"/>
      <c r="Y959" s="72" t="n"/>
      <c r="Z959" s="74" t="n"/>
      <c r="AA959" s="74" t="n"/>
      <c r="AB959" s="74" t="n"/>
      <c r="AC959" s="74" t="n"/>
      <c r="AD959" s="73" t="n"/>
      <c r="AE959" s="75">
        <f>SUMIFS([1]инфо!$D$15:$D$28,[1]инфо!$A$15:$A$28,F959)</f>
        <v/>
      </c>
      <c r="AF959" s="62">
        <f>IF(H959=0,0,N959/H959)</f>
        <v/>
      </c>
      <c r="AG959" s="76">
        <f>AF959-AE959</f>
        <v/>
      </c>
      <c r="AH959" s="75">
        <f>SUMIFS([1]инфо!$E$15:$E$28,[1]инфо!$A$15:$A$28,F959)</f>
        <v/>
      </c>
      <c r="AI959" s="64">
        <f>IF(H959=0,0,S959/H959)</f>
        <v/>
      </c>
      <c r="AJ959" s="76">
        <f>AI959-AH959</f>
        <v/>
      </c>
      <c r="AK959" s="75">
        <f>SUMIFS([1]инфо!$F$15:$F$28,[1]инфо!$A$15:$A$28,F959)</f>
        <v/>
      </c>
      <c r="AL959" s="64">
        <f>IF(H959=0,0,Y959/H959)</f>
        <v/>
      </c>
      <c r="AM959" s="76">
        <f>AL959-AK959</f>
        <v/>
      </c>
      <c r="AN959" s="75">
        <f>SUMIFS([1]инфо!$G$15:$G$28,[1]инфо!$A$15:$A$28,F959)</f>
        <v/>
      </c>
      <c r="AO959" s="64">
        <f>IF(H959=0,0,AA959/H959)</f>
        <v/>
      </c>
      <c r="AP959" s="76">
        <f>AO959-AN959</f>
        <v/>
      </c>
      <c r="AQ959" s="75">
        <f>SUMIFS([1]инфо!$H$15:$H$28,[1]инфо!$A$15:$A$28,F959)</f>
        <v/>
      </c>
      <c r="AR959" s="64">
        <f>IF(H958=0,0,AC959/H958)</f>
        <v/>
      </c>
      <c r="AS959" s="76">
        <f>AR959-AQ959</f>
        <v/>
      </c>
      <c r="AT959" s="75">
        <f>SUMIFS([1]инфо!$I$15:$I$28,[1]инфо!$A$15:$A$28,F959)</f>
        <v/>
      </c>
      <c r="AU959" s="62">
        <f>IF(H959=0,0,AD959/H959)</f>
        <v/>
      </c>
      <c r="AV959" s="76">
        <f>AU959-AT959</f>
        <v/>
      </c>
      <c r="AX959" s="70">
        <f>SUMIFS([1]инфо!$C$15:$C$28,[1]инфо!$A$15:$A$28,F959)*H958</f>
        <v/>
      </c>
    </row>
    <row r="960">
      <c r="A960" s="71">
        <f>A958+1</f>
        <v/>
      </c>
      <c r="B960" s="90" t="n"/>
      <c r="C960" s="52" t="n"/>
      <c r="D960" s="53" t="n"/>
      <c r="E960" s="91" t="n"/>
      <c r="F960" s="67" t="n"/>
      <c r="G960" s="58" t="n"/>
      <c r="H960" s="55" t="n"/>
      <c r="I960" s="55" t="n"/>
      <c r="J960" s="55" t="n"/>
      <c r="K960" s="55" t="n"/>
      <c r="L960" s="55" t="n"/>
      <c r="M960" s="55" t="n"/>
      <c r="N960" s="55" t="n"/>
      <c r="O960" s="58" t="n"/>
      <c r="P960" s="58" t="n"/>
      <c r="Q960" s="58" t="n"/>
      <c r="R960" s="58" t="n"/>
      <c r="S960" s="59">
        <f>SUM(O960:R960)</f>
        <v/>
      </c>
      <c r="T960" s="52" t="n"/>
      <c r="U960" s="53" t="n"/>
      <c r="V960" s="58" t="n"/>
      <c r="W960" s="58" t="n"/>
      <c r="X960" s="58" t="n"/>
      <c r="Y960" s="52" t="n"/>
      <c r="Z960" s="58" t="n"/>
      <c r="AA960" s="58" t="n"/>
      <c r="AB960" s="58" t="n"/>
      <c r="AC960" s="58" t="n"/>
      <c r="AD960" s="53" t="n"/>
      <c r="AE960" s="61">
        <f>SUMIFS([1]инфо!$D$15:$D$28,[1]инфо!$A$15:$A$28,F960)</f>
        <v/>
      </c>
      <c r="AF960" s="62">
        <f>IF(H960=0,0,N960/H960)</f>
        <v/>
      </c>
      <c r="AG960" s="63">
        <f>AF960-AE960</f>
        <v/>
      </c>
      <c r="AH960" s="61">
        <f>SUMIFS([1]инфо!$E$15:$E$28,[1]инфо!$A$15:$A$28,F960)</f>
        <v/>
      </c>
      <c r="AI960" s="64">
        <f>IF(H960=0,0,S960/H960)</f>
        <v/>
      </c>
      <c r="AJ960" s="63">
        <f>AI960-AH960</f>
        <v/>
      </c>
      <c r="AK960" s="61">
        <f>SUMIFS([1]инфо!$F$15:$F$28,[1]инфо!$A$15:$A$28,F960)</f>
        <v/>
      </c>
      <c r="AL960" s="64">
        <f>IF(H960=0,0,Y960/H960)</f>
        <v/>
      </c>
      <c r="AM960" s="63">
        <f>AL960-AK960</f>
        <v/>
      </c>
      <c r="AN960" s="61">
        <f>SUMIFS([1]инфо!$G$15:$G$28,[1]инфо!$A$15:$A$28,F960)</f>
        <v/>
      </c>
      <c r="AO960" s="64">
        <f>IF(H960=0,0,AA960/H960)</f>
        <v/>
      </c>
      <c r="AP960" s="63">
        <f>AO960-AN960</f>
        <v/>
      </c>
      <c r="AQ960" s="61">
        <f>SUMIFS([1]инфо!$H$15:$H$28,[1]инфо!$A$15:$A$28,F960)</f>
        <v/>
      </c>
      <c r="AR960" s="62">
        <f>IF(H959=0,0,AC960/H959)</f>
        <v/>
      </c>
      <c r="AS960" s="63">
        <f>AR960-AQ960</f>
        <v/>
      </c>
      <c r="AT960" s="61">
        <f>SUMIFS([1]инфо!$I$15:$I$28,[1]инфо!$A$15:$A$28,F960)</f>
        <v/>
      </c>
      <c r="AU960" s="62">
        <f>IF(H960=0,0,AD960/H960)</f>
        <v/>
      </c>
      <c r="AV960" s="63">
        <f>AU960-AT960</f>
        <v/>
      </c>
      <c r="AX960" s="59">
        <f>SUMIFS([1]инфо!$C$15:$C$28,[1]инфо!$A$15:$A$28,F960)*H959</f>
        <v/>
      </c>
    </row>
    <row r="961">
      <c r="A961" s="71">
        <f>A959+1</f>
        <v/>
      </c>
      <c r="B961" s="90" t="n"/>
      <c r="C961" s="52" t="n"/>
      <c r="D961" s="53" t="n"/>
      <c r="E961" s="91" t="n"/>
      <c r="F961" s="67" t="n"/>
      <c r="G961" s="58" t="n"/>
      <c r="H961" s="56" t="n"/>
      <c r="I961" s="55" t="n"/>
      <c r="J961" s="55" t="n"/>
      <c r="K961" s="55" t="n"/>
      <c r="L961" s="55" t="n"/>
      <c r="M961" s="55" t="n"/>
      <c r="N961" s="55" t="n"/>
      <c r="O961" s="58" t="n"/>
      <c r="P961" s="58" t="n"/>
      <c r="Q961" s="58" t="n"/>
      <c r="R961" s="58" t="n"/>
      <c r="S961" s="59">
        <f>SUM(O961:R961)</f>
        <v/>
      </c>
      <c r="T961" s="52" t="n"/>
      <c r="U961" s="53" t="n"/>
      <c r="V961" s="58" t="n"/>
      <c r="W961" s="58" t="n"/>
      <c r="X961" s="58" t="n"/>
      <c r="Y961" s="52" t="n"/>
      <c r="Z961" s="58" t="n"/>
      <c r="AA961" s="58" t="n"/>
      <c r="AB961" s="58" t="n"/>
      <c r="AC961" s="58" t="n"/>
      <c r="AD961" s="53" t="n"/>
      <c r="AE961" s="61">
        <f>SUMIFS([1]инфо!$D$15:$D$28,[1]инфо!$A$15:$A$28,F961)</f>
        <v/>
      </c>
      <c r="AF961" s="62">
        <f>IF(H961=0,0,N961/H961)</f>
        <v/>
      </c>
      <c r="AG961" s="63">
        <f>AF961-AE961</f>
        <v/>
      </c>
      <c r="AH961" s="61">
        <f>SUMIFS([1]инфо!$E$15:$E$28,[1]инфо!$A$15:$A$28,F961)</f>
        <v/>
      </c>
      <c r="AI961" s="64">
        <f>IF(H961=0,0,S961/H961)</f>
        <v/>
      </c>
      <c r="AJ961" s="63">
        <f>AI961-AH961</f>
        <v/>
      </c>
      <c r="AK961" s="61">
        <f>SUMIFS([1]инфо!$F$15:$F$28,[1]инфо!$A$15:$A$28,F961)</f>
        <v/>
      </c>
      <c r="AL961" s="64">
        <f>IF(H961=0,0,Y961/H961)</f>
        <v/>
      </c>
      <c r="AM961" s="63">
        <f>AL961-AK961</f>
        <v/>
      </c>
      <c r="AN961" s="61">
        <f>SUMIFS([1]инфо!$G$15:$G$28,[1]инфо!$A$15:$A$28,F961)</f>
        <v/>
      </c>
      <c r="AO961" s="64">
        <f>IF(H961=0,0,AA961/H961)</f>
        <v/>
      </c>
      <c r="AP961" s="63">
        <f>AO961-AN961</f>
        <v/>
      </c>
      <c r="AQ961" s="61">
        <f>SUMIFS([1]инфо!$H$15:$H$28,[1]инфо!$A$15:$A$28,F961)</f>
        <v/>
      </c>
      <c r="AR961" s="62">
        <f>IF(H960=0,0,AC961/H960)</f>
        <v/>
      </c>
      <c r="AS961" s="63">
        <f>AR961-AQ961</f>
        <v/>
      </c>
      <c r="AT961" s="61">
        <f>SUMIFS([1]инфо!$I$15:$I$28,[1]инфо!$A$15:$A$28,F961)</f>
        <v/>
      </c>
      <c r="AU961" s="62">
        <f>IF(H961=0,0,AD961/H961)</f>
        <v/>
      </c>
      <c r="AV961" s="63">
        <f>AU961-AT961</f>
        <v/>
      </c>
      <c r="AX961" s="59">
        <f>SUMIFS([1]инфо!$C$15:$C$28,[1]инфо!$A$15:$A$28,F961)*H960</f>
        <v/>
      </c>
    </row>
    <row r="962">
      <c r="A962" s="71">
        <f>A960+1</f>
        <v/>
      </c>
      <c r="B962" s="88" t="n"/>
      <c r="C962" s="77" t="n"/>
      <c r="D962" s="78" t="n"/>
      <c r="E962" s="91" t="n"/>
      <c r="F962" s="67" t="n"/>
      <c r="G962" s="79" t="n"/>
      <c r="H962" s="67" t="n"/>
      <c r="I962" s="55" t="n"/>
      <c r="J962" s="55" t="n"/>
      <c r="K962" s="55" t="n"/>
      <c r="L962" s="55" t="n"/>
      <c r="M962" s="55" t="n"/>
      <c r="N962" s="56" t="n"/>
      <c r="O962" s="79" t="n"/>
      <c r="P962" s="79" t="n"/>
      <c r="Q962" s="79" t="n"/>
      <c r="R962" s="79" t="n"/>
      <c r="S962" s="80">
        <f>SUM(O962:R962)</f>
        <v/>
      </c>
      <c r="T962" s="77" t="n"/>
      <c r="U962" s="78" t="n"/>
      <c r="V962" s="79" t="n"/>
      <c r="W962" s="79" t="n"/>
      <c r="X962" s="79" t="n"/>
      <c r="Y962" s="77" t="n"/>
      <c r="Z962" s="79" t="n"/>
      <c r="AA962" s="79" t="n"/>
      <c r="AB962" s="79" t="n"/>
      <c r="AC962" s="79" t="n"/>
      <c r="AD962" s="78" t="n"/>
      <c r="AE962" s="81">
        <f>SUMIFS([1]инфо!$D$15:$D$28,[1]инфо!$A$15:$A$28,F962)</f>
        <v/>
      </c>
      <c r="AF962" s="62">
        <f>IF(H962=0,0,N962/H962)</f>
        <v/>
      </c>
      <c r="AG962" s="82">
        <f>AF962-AE962</f>
        <v/>
      </c>
      <c r="AH962" s="81">
        <f>SUMIFS([1]инфо!$E$15:$E$28,[1]инфо!$A$15:$A$28,F962)</f>
        <v/>
      </c>
      <c r="AI962" s="64">
        <f>IF(H962=0,0,S962/H962)</f>
        <v/>
      </c>
      <c r="AJ962" s="82">
        <f>AI962-AH962</f>
        <v/>
      </c>
      <c r="AK962" s="81">
        <f>SUMIFS([1]инфо!$F$15:$F$28,[1]инфо!$A$15:$A$28,F962)</f>
        <v/>
      </c>
      <c r="AL962" s="64">
        <f>IF(H962=0,0,Y962/H962)</f>
        <v/>
      </c>
      <c r="AM962" s="82">
        <f>AL962-AK962</f>
        <v/>
      </c>
      <c r="AN962" s="81">
        <f>SUMIFS([1]инфо!$G$15:$G$28,[1]инфо!$A$15:$A$28,F962)</f>
        <v/>
      </c>
      <c r="AO962" s="64">
        <f>IF(H962=0,0,AA962/H962)</f>
        <v/>
      </c>
      <c r="AP962" s="82">
        <f>AO962-AN962</f>
        <v/>
      </c>
      <c r="AQ962" s="81">
        <f>SUMIFS([1]инфо!$H$15:$H$28,[1]инфо!$A$15:$A$28,F962)</f>
        <v/>
      </c>
      <c r="AR962" s="85">
        <f>IF(H961=0,0,AC962/H961)</f>
        <v/>
      </c>
      <c r="AS962" s="82">
        <f>AR962-AQ962</f>
        <v/>
      </c>
      <c r="AT962" s="81">
        <f>SUMIFS([1]инфо!$I$15:$I$28,[1]инфо!$A$15:$A$28,F962)</f>
        <v/>
      </c>
      <c r="AU962" s="62">
        <f>IF(H962=0,0,AD962/H962)</f>
        <v/>
      </c>
      <c r="AV962" s="82">
        <f>AU962-AT962</f>
        <v/>
      </c>
      <c r="AX962" s="80">
        <f>SUMIFS([1]инфо!$C$15:$C$28,[1]инфо!$A$15:$A$28,F962)*H961</f>
        <v/>
      </c>
    </row>
    <row r="963">
      <c r="A963" s="71">
        <f>A961+1</f>
        <v/>
      </c>
      <c r="B963" s="89" t="n"/>
      <c r="C963" s="72" t="n"/>
      <c r="D963" s="73" t="n"/>
      <c r="E963" s="91" t="n"/>
      <c r="F963" s="67" t="n"/>
      <c r="G963" s="74" t="n"/>
      <c r="H963" s="55" t="n"/>
      <c r="I963" s="55" t="n"/>
      <c r="J963" s="55" t="n"/>
      <c r="K963" s="55" t="n"/>
      <c r="L963" s="55" t="n"/>
      <c r="M963" s="55" t="n"/>
      <c r="N963" s="67" t="n"/>
      <c r="O963" s="74" t="n"/>
      <c r="P963" s="74" t="n"/>
      <c r="Q963" s="74" t="n"/>
      <c r="R963" s="74" t="n"/>
      <c r="S963" s="70">
        <f>SUM(O963:R963)</f>
        <v/>
      </c>
      <c r="T963" s="72" t="n"/>
      <c r="U963" s="73" t="n"/>
      <c r="V963" s="74" t="n"/>
      <c r="W963" s="74" t="n"/>
      <c r="X963" s="74" t="n"/>
      <c r="Y963" s="72" t="n"/>
      <c r="Z963" s="74" t="n"/>
      <c r="AA963" s="74" t="n"/>
      <c r="AB963" s="74" t="n"/>
      <c r="AC963" s="74" t="n"/>
      <c r="AD963" s="73" t="n"/>
      <c r="AE963" s="75">
        <f>SUMIFS([1]инфо!$D$15:$D$28,[1]инфо!$A$15:$A$28,F963)</f>
        <v/>
      </c>
      <c r="AF963" s="62">
        <f>IF(H963=0,0,N963/H963)</f>
        <v/>
      </c>
      <c r="AG963" s="76">
        <f>AF963-AE963</f>
        <v/>
      </c>
      <c r="AH963" s="75">
        <f>SUMIFS([1]инфо!$E$15:$E$28,[1]инфо!$A$15:$A$28,F963)</f>
        <v/>
      </c>
      <c r="AI963" s="64">
        <f>IF(H963=0,0,S963/H963)</f>
        <v/>
      </c>
      <c r="AJ963" s="76">
        <f>AI963-AH963</f>
        <v/>
      </c>
      <c r="AK963" s="75">
        <f>SUMIFS([1]инфо!$F$15:$F$28,[1]инфо!$A$15:$A$28,F963)</f>
        <v/>
      </c>
      <c r="AL963" s="64">
        <f>IF(H963=0,0,Y963/H963)</f>
        <v/>
      </c>
      <c r="AM963" s="76">
        <f>AL963-AK963</f>
        <v/>
      </c>
      <c r="AN963" s="75">
        <f>SUMIFS([1]инфо!$G$15:$G$28,[1]инфо!$A$15:$A$28,F963)</f>
        <v/>
      </c>
      <c r="AO963" s="64">
        <f>IF(H963=0,0,AA963/H963)</f>
        <v/>
      </c>
      <c r="AP963" s="76">
        <f>AO963-AN963</f>
        <v/>
      </c>
      <c r="AQ963" s="75">
        <f>SUMIFS([1]инфо!$H$15:$H$28,[1]инфо!$A$15:$A$28,F963)</f>
        <v/>
      </c>
      <c r="AR963" s="64">
        <f>IF(H962=0,0,AC963/H962)</f>
        <v/>
      </c>
      <c r="AS963" s="76">
        <f>AR963-AQ963</f>
        <v/>
      </c>
      <c r="AT963" s="75">
        <f>SUMIFS([1]инфо!$I$15:$I$28,[1]инфо!$A$15:$A$28,F963)</f>
        <v/>
      </c>
      <c r="AU963" s="62">
        <f>IF(H963=0,0,AD963/H963)</f>
        <v/>
      </c>
      <c r="AV963" s="76">
        <f>AU963-AT963</f>
        <v/>
      </c>
      <c r="AX963" s="70">
        <f>SUMIFS([1]инфо!$C$15:$C$28,[1]инфо!$A$15:$A$28,F963)*H962</f>
        <v/>
      </c>
    </row>
    <row r="964">
      <c r="A964" s="71">
        <f>A962+1</f>
        <v/>
      </c>
      <c r="B964" s="90" t="n"/>
      <c r="C964" s="52" t="n"/>
      <c r="D964" s="53" t="n"/>
      <c r="E964" s="91" t="n"/>
      <c r="F964" s="67" t="n"/>
      <c r="G964" s="58" t="n"/>
      <c r="H964" s="55" t="n"/>
      <c r="I964" s="55" t="n"/>
      <c r="J964" s="55" t="n"/>
      <c r="K964" s="55" t="n"/>
      <c r="L964" s="55" t="n"/>
      <c r="M964" s="55" t="n"/>
      <c r="N964" s="55" t="n"/>
      <c r="O964" s="58" t="n"/>
      <c r="P964" s="58" t="n"/>
      <c r="Q964" s="58" t="n"/>
      <c r="R964" s="58" t="n"/>
      <c r="S964" s="59">
        <f>SUM(O964:R964)</f>
        <v/>
      </c>
      <c r="T964" s="52" t="n"/>
      <c r="U964" s="53" t="n"/>
      <c r="V964" s="58" t="n"/>
      <c r="W964" s="58" t="n"/>
      <c r="X964" s="58" t="n"/>
      <c r="Y964" s="52" t="n"/>
      <c r="Z964" s="58" t="n"/>
      <c r="AA964" s="58" t="n"/>
      <c r="AB964" s="58" t="n"/>
      <c r="AC964" s="58" t="n"/>
      <c r="AD964" s="53" t="n"/>
      <c r="AE964" s="61">
        <f>SUMIFS([1]инфо!$D$15:$D$28,[1]инфо!$A$15:$A$28,F964)</f>
        <v/>
      </c>
      <c r="AF964" s="62">
        <f>IF(H964=0,0,N964/H964)</f>
        <v/>
      </c>
      <c r="AG964" s="63">
        <f>AF964-AE964</f>
        <v/>
      </c>
      <c r="AH964" s="61">
        <f>SUMIFS([1]инфо!$E$15:$E$28,[1]инфо!$A$15:$A$28,F964)</f>
        <v/>
      </c>
      <c r="AI964" s="64">
        <f>IF(H964=0,0,S964/H964)</f>
        <v/>
      </c>
      <c r="AJ964" s="63">
        <f>AI964-AH964</f>
        <v/>
      </c>
      <c r="AK964" s="61">
        <f>SUMIFS([1]инфо!$F$15:$F$28,[1]инфо!$A$15:$A$28,F964)</f>
        <v/>
      </c>
      <c r="AL964" s="64">
        <f>IF(H964=0,0,Y964/H964)</f>
        <v/>
      </c>
      <c r="AM964" s="63">
        <f>AL964-AK964</f>
        <v/>
      </c>
      <c r="AN964" s="61">
        <f>SUMIFS([1]инфо!$G$15:$G$28,[1]инфо!$A$15:$A$28,F964)</f>
        <v/>
      </c>
      <c r="AO964" s="64">
        <f>IF(H964=0,0,AA964/H964)</f>
        <v/>
      </c>
      <c r="AP964" s="63">
        <f>AO964-AN964</f>
        <v/>
      </c>
      <c r="AQ964" s="61">
        <f>SUMIFS([1]инфо!$H$15:$H$28,[1]инфо!$A$15:$A$28,F964)</f>
        <v/>
      </c>
      <c r="AR964" s="62">
        <f>IF(H963=0,0,AC964/H963)</f>
        <v/>
      </c>
      <c r="AS964" s="63">
        <f>AR964-AQ964</f>
        <v/>
      </c>
      <c r="AT964" s="61">
        <f>SUMIFS([1]инфо!$I$15:$I$28,[1]инфо!$A$15:$A$28,F964)</f>
        <v/>
      </c>
      <c r="AU964" s="62">
        <f>IF(H964=0,0,AD964/H964)</f>
        <v/>
      </c>
      <c r="AV964" s="63">
        <f>AU964-AT964</f>
        <v/>
      </c>
      <c r="AX964" s="59">
        <f>SUMIFS([1]инфо!$C$15:$C$28,[1]инфо!$A$15:$A$28,F964)*H963</f>
        <v/>
      </c>
    </row>
    <row r="965">
      <c r="A965" s="71">
        <f>A963+1</f>
        <v/>
      </c>
      <c r="B965" s="90" t="n"/>
      <c r="C965" s="52" t="n"/>
      <c r="D965" s="53" t="n"/>
      <c r="E965" s="91" t="n"/>
      <c r="F965" s="67" t="n"/>
      <c r="G965" s="58" t="n"/>
      <c r="H965" s="56" t="n"/>
      <c r="I965" s="55" t="n"/>
      <c r="J965" s="55" t="n"/>
      <c r="K965" s="55" t="n"/>
      <c r="L965" s="55" t="n"/>
      <c r="M965" s="55" t="n"/>
      <c r="N965" s="55" t="n"/>
      <c r="O965" s="58" t="n"/>
      <c r="P965" s="58" t="n"/>
      <c r="Q965" s="58" t="n"/>
      <c r="R965" s="58" t="n"/>
      <c r="S965" s="59">
        <f>SUM(O965:R965)</f>
        <v/>
      </c>
      <c r="T965" s="52" t="n"/>
      <c r="U965" s="53" t="n"/>
      <c r="V965" s="58" t="n"/>
      <c r="W965" s="58" t="n"/>
      <c r="X965" s="58" t="n"/>
      <c r="Y965" s="52" t="n"/>
      <c r="Z965" s="58" t="n"/>
      <c r="AA965" s="58" t="n"/>
      <c r="AB965" s="58" t="n"/>
      <c r="AC965" s="58" t="n"/>
      <c r="AD965" s="53" t="n"/>
      <c r="AE965" s="61">
        <f>SUMIFS([1]инфо!$D$15:$D$28,[1]инфо!$A$15:$A$28,F965)</f>
        <v/>
      </c>
      <c r="AF965" s="62">
        <f>IF(H965=0,0,N965/H965)</f>
        <v/>
      </c>
      <c r="AG965" s="63">
        <f>AF965-AE965</f>
        <v/>
      </c>
      <c r="AH965" s="61">
        <f>SUMIFS([1]инфо!$E$15:$E$28,[1]инфо!$A$15:$A$28,F965)</f>
        <v/>
      </c>
      <c r="AI965" s="64">
        <f>IF(H965=0,0,S965/H965)</f>
        <v/>
      </c>
      <c r="AJ965" s="63">
        <f>AI965-AH965</f>
        <v/>
      </c>
      <c r="AK965" s="61">
        <f>SUMIFS([1]инфо!$F$15:$F$28,[1]инфо!$A$15:$A$28,F965)</f>
        <v/>
      </c>
      <c r="AL965" s="64">
        <f>IF(H965=0,0,Y965/H965)</f>
        <v/>
      </c>
      <c r="AM965" s="63">
        <f>AL965-AK965</f>
        <v/>
      </c>
      <c r="AN965" s="61">
        <f>SUMIFS([1]инфо!$G$15:$G$28,[1]инфо!$A$15:$A$28,F965)</f>
        <v/>
      </c>
      <c r="AO965" s="64">
        <f>IF(H965=0,0,AA965/H965)</f>
        <v/>
      </c>
      <c r="AP965" s="63">
        <f>AO965-AN965</f>
        <v/>
      </c>
      <c r="AQ965" s="61">
        <f>SUMIFS([1]инфо!$H$15:$H$28,[1]инфо!$A$15:$A$28,F965)</f>
        <v/>
      </c>
      <c r="AR965" s="62">
        <f>IF(H964=0,0,AC965/H964)</f>
        <v/>
      </c>
      <c r="AS965" s="63">
        <f>AR965-AQ965</f>
        <v/>
      </c>
      <c r="AT965" s="61">
        <f>SUMIFS([1]инфо!$I$15:$I$28,[1]инфо!$A$15:$A$28,F965)</f>
        <v/>
      </c>
      <c r="AU965" s="62">
        <f>IF(H965=0,0,AD965/H965)</f>
        <v/>
      </c>
      <c r="AV965" s="63">
        <f>AU965-AT965</f>
        <v/>
      </c>
      <c r="AX965" s="59">
        <f>SUMIFS([1]инфо!$C$15:$C$28,[1]инфо!$A$15:$A$28,F965)*H964</f>
        <v/>
      </c>
    </row>
    <row r="966">
      <c r="A966" s="71">
        <f>A964+1</f>
        <v/>
      </c>
      <c r="B966" s="88" t="n"/>
      <c r="C966" s="77" t="n"/>
      <c r="D966" s="78" t="n"/>
      <c r="E966" s="91" t="n"/>
      <c r="F966" s="67" t="n"/>
      <c r="G966" s="79" t="n"/>
      <c r="H966" s="67" t="n"/>
      <c r="I966" s="55" t="n"/>
      <c r="J966" s="55" t="n"/>
      <c r="K966" s="55" t="n"/>
      <c r="L966" s="55" t="n"/>
      <c r="M966" s="55" t="n"/>
      <c r="N966" s="56" t="n"/>
      <c r="O966" s="79" t="n"/>
      <c r="P966" s="79" t="n"/>
      <c r="Q966" s="79" t="n"/>
      <c r="R966" s="79" t="n"/>
      <c r="S966" s="80">
        <f>SUM(O966:R966)</f>
        <v/>
      </c>
      <c r="T966" s="77" t="n"/>
      <c r="U966" s="78" t="n"/>
      <c r="V966" s="79" t="n"/>
      <c r="W966" s="79" t="n"/>
      <c r="X966" s="79" t="n"/>
      <c r="Y966" s="77" t="n"/>
      <c r="Z966" s="79" t="n"/>
      <c r="AA966" s="79" t="n"/>
      <c r="AB966" s="79" t="n"/>
      <c r="AC966" s="79" t="n"/>
      <c r="AD966" s="78" t="n"/>
      <c r="AE966" s="81">
        <f>SUMIFS([1]инфо!$D$15:$D$28,[1]инфо!$A$15:$A$28,F966)</f>
        <v/>
      </c>
      <c r="AF966" s="62">
        <f>IF(H966=0,0,N966/H966)</f>
        <v/>
      </c>
      <c r="AG966" s="82">
        <f>AF966-AE966</f>
        <v/>
      </c>
      <c r="AH966" s="81">
        <f>SUMIFS([1]инфо!$E$15:$E$28,[1]инфо!$A$15:$A$28,F966)</f>
        <v/>
      </c>
      <c r="AI966" s="64">
        <f>IF(H966=0,0,S966/H966)</f>
        <v/>
      </c>
      <c r="AJ966" s="82">
        <f>AI966-AH966</f>
        <v/>
      </c>
      <c r="AK966" s="81">
        <f>SUMIFS([1]инфо!$F$15:$F$28,[1]инфо!$A$15:$A$28,F966)</f>
        <v/>
      </c>
      <c r="AL966" s="64">
        <f>IF(H966=0,0,Y966/H966)</f>
        <v/>
      </c>
      <c r="AM966" s="82">
        <f>AL966-AK966</f>
        <v/>
      </c>
      <c r="AN966" s="81">
        <f>SUMIFS([1]инфо!$G$15:$G$28,[1]инфо!$A$15:$A$28,F966)</f>
        <v/>
      </c>
      <c r="AO966" s="64">
        <f>IF(H966=0,0,AA966/H966)</f>
        <v/>
      </c>
      <c r="AP966" s="82">
        <f>AO966-AN966</f>
        <v/>
      </c>
      <c r="AQ966" s="81">
        <f>SUMIFS([1]инфо!$H$15:$H$28,[1]инфо!$A$15:$A$28,F966)</f>
        <v/>
      </c>
      <c r="AR966" s="85">
        <f>IF(H965=0,0,AC966/H965)</f>
        <v/>
      </c>
      <c r="AS966" s="82">
        <f>AR966-AQ966</f>
        <v/>
      </c>
      <c r="AT966" s="81">
        <f>SUMIFS([1]инфо!$I$15:$I$28,[1]инфо!$A$15:$A$28,F966)</f>
        <v/>
      </c>
      <c r="AU966" s="62">
        <f>IF(H966=0,0,AD966/H966)</f>
        <v/>
      </c>
      <c r="AV966" s="82">
        <f>AU966-AT966</f>
        <v/>
      </c>
      <c r="AX966" s="80">
        <f>SUMIFS([1]инфо!$C$15:$C$28,[1]инфо!$A$15:$A$28,F966)*H965</f>
        <v/>
      </c>
    </row>
    <row r="967">
      <c r="A967" s="71">
        <f>A965+1</f>
        <v/>
      </c>
      <c r="B967" s="89" t="n"/>
      <c r="C967" s="72" t="n"/>
      <c r="D967" s="73" t="n"/>
      <c r="E967" s="91" t="n"/>
      <c r="F967" s="67" t="n"/>
      <c r="G967" s="74" t="n"/>
      <c r="H967" s="55" t="n"/>
      <c r="I967" s="55" t="n"/>
      <c r="J967" s="55" t="n"/>
      <c r="K967" s="55" t="n"/>
      <c r="L967" s="55" t="n"/>
      <c r="M967" s="55" t="n"/>
      <c r="N967" s="67" t="n"/>
      <c r="O967" s="74" t="n"/>
      <c r="P967" s="74" t="n"/>
      <c r="Q967" s="74" t="n"/>
      <c r="R967" s="74" t="n"/>
      <c r="S967" s="70">
        <f>SUM(O967:R967)</f>
        <v/>
      </c>
      <c r="T967" s="72" t="n"/>
      <c r="U967" s="73" t="n"/>
      <c r="V967" s="74" t="n"/>
      <c r="W967" s="74" t="n"/>
      <c r="X967" s="74" t="n"/>
      <c r="Y967" s="72" t="n"/>
      <c r="Z967" s="74" t="n"/>
      <c r="AA967" s="74" t="n"/>
      <c r="AB967" s="74" t="n"/>
      <c r="AC967" s="74" t="n"/>
      <c r="AD967" s="73" t="n"/>
      <c r="AE967" s="75">
        <f>SUMIFS([1]инфо!$D$15:$D$28,[1]инфо!$A$15:$A$28,F967)</f>
        <v/>
      </c>
      <c r="AF967" s="62">
        <f>IF(H967=0,0,N967/H967)</f>
        <v/>
      </c>
      <c r="AG967" s="76">
        <f>AF967-AE967</f>
        <v/>
      </c>
      <c r="AH967" s="75">
        <f>SUMIFS([1]инфо!$E$15:$E$28,[1]инфо!$A$15:$A$28,F967)</f>
        <v/>
      </c>
      <c r="AI967" s="64">
        <f>IF(H967=0,0,S967/H967)</f>
        <v/>
      </c>
      <c r="AJ967" s="76">
        <f>AI967-AH967</f>
        <v/>
      </c>
      <c r="AK967" s="75">
        <f>SUMIFS([1]инфо!$F$15:$F$28,[1]инфо!$A$15:$A$28,F967)</f>
        <v/>
      </c>
      <c r="AL967" s="64">
        <f>IF(H967=0,0,Y967/H967)</f>
        <v/>
      </c>
      <c r="AM967" s="76">
        <f>AL967-AK967</f>
        <v/>
      </c>
      <c r="AN967" s="75">
        <f>SUMIFS([1]инфо!$G$15:$G$28,[1]инфо!$A$15:$A$28,F967)</f>
        <v/>
      </c>
      <c r="AO967" s="64">
        <f>IF(H967=0,0,AA967/H967)</f>
        <v/>
      </c>
      <c r="AP967" s="76">
        <f>AO967-AN967</f>
        <v/>
      </c>
      <c r="AQ967" s="75">
        <f>SUMIFS([1]инфо!$H$15:$H$28,[1]инфо!$A$15:$A$28,F967)</f>
        <v/>
      </c>
      <c r="AR967" s="64">
        <f>IF(H966=0,0,AC967/H966)</f>
        <v/>
      </c>
      <c r="AS967" s="76">
        <f>AR967-AQ967</f>
        <v/>
      </c>
      <c r="AT967" s="75">
        <f>SUMIFS([1]инфо!$I$15:$I$28,[1]инфо!$A$15:$A$28,F967)</f>
        <v/>
      </c>
      <c r="AU967" s="62">
        <f>IF(H967=0,0,AD967/H967)</f>
        <v/>
      </c>
      <c r="AV967" s="76">
        <f>AU967-AT967</f>
        <v/>
      </c>
      <c r="AX967" s="70">
        <f>SUMIFS([1]инфо!$C$15:$C$28,[1]инфо!$A$15:$A$28,F967)*H966</f>
        <v/>
      </c>
    </row>
    <row r="968">
      <c r="A968" s="71">
        <f>A966+1</f>
        <v/>
      </c>
      <c r="B968" s="90" t="n"/>
      <c r="C968" s="52" t="n"/>
      <c r="D968" s="53" t="n"/>
      <c r="E968" s="91" t="n"/>
      <c r="F968" s="67" t="n"/>
      <c r="G968" s="58" t="n"/>
      <c r="H968" s="55" t="n"/>
      <c r="I968" s="55" t="n"/>
      <c r="J968" s="55" t="n"/>
      <c r="K968" s="55" t="n"/>
      <c r="L968" s="55" t="n"/>
      <c r="M968" s="55" t="n"/>
      <c r="N968" s="55" t="n"/>
      <c r="O968" s="58" t="n"/>
      <c r="P968" s="58" t="n"/>
      <c r="Q968" s="58" t="n"/>
      <c r="R968" s="58" t="n"/>
      <c r="S968" s="59">
        <f>SUM(O968:R968)</f>
        <v/>
      </c>
      <c r="T968" s="52" t="n"/>
      <c r="U968" s="53" t="n"/>
      <c r="V968" s="58" t="n"/>
      <c r="W968" s="58" t="n"/>
      <c r="X968" s="58" t="n"/>
      <c r="Y968" s="52" t="n"/>
      <c r="Z968" s="58" t="n"/>
      <c r="AA968" s="58" t="n"/>
      <c r="AB968" s="58" t="n"/>
      <c r="AC968" s="58" t="n"/>
      <c r="AD968" s="53" t="n"/>
      <c r="AE968" s="61">
        <f>SUMIFS([1]инфо!$D$15:$D$28,[1]инфо!$A$15:$A$28,F968)</f>
        <v/>
      </c>
      <c r="AF968" s="62">
        <f>IF(H968=0,0,N968/H968)</f>
        <v/>
      </c>
      <c r="AG968" s="63">
        <f>AF968-AE968</f>
        <v/>
      </c>
      <c r="AH968" s="61">
        <f>SUMIFS([1]инфо!$E$15:$E$28,[1]инфо!$A$15:$A$28,F968)</f>
        <v/>
      </c>
      <c r="AI968" s="64">
        <f>IF(H968=0,0,S968/H968)</f>
        <v/>
      </c>
      <c r="AJ968" s="63">
        <f>AI968-AH968</f>
        <v/>
      </c>
      <c r="AK968" s="61">
        <f>SUMIFS([1]инфо!$F$15:$F$28,[1]инфо!$A$15:$A$28,F968)</f>
        <v/>
      </c>
      <c r="AL968" s="64">
        <f>IF(H968=0,0,Y968/H968)</f>
        <v/>
      </c>
      <c r="AM968" s="63">
        <f>AL968-AK968</f>
        <v/>
      </c>
      <c r="AN968" s="61">
        <f>SUMIFS([1]инфо!$G$15:$G$28,[1]инфо!$A$15:$A$28,F968)</f>
        <v/>
      </c>
      <c r="AO968" s="64">
        <f>IF(H968=0,0,AA968/H968)</f>
        <v/>
      </c>
      <c r="AP968" s="63">
        <f>AO968-AN968</f>
        <v/>
      </c>
      <c r="AQ968" s="61">
        <f>SUMIFS([1]инфо!$H$15:$H$28,[1]инфо!$A$15:$A$28,F968)</f>
        <v/>
      </c>
      <c r="AR968" s="62">
        <f>IF(H967=0,0,AC968/H967)</f>
        <v/>
      </c>
      <c r="AS968" s="63">
        <f>AR968-AQ968</f>
        <v/>
      </c>
      <c r="AT968" s="61">
        <f>SUMIFS([1]инфо!$I$15:$I$28,[1]инфо!$A$15:$A$28,F968)</f>
        <v/>
      </c>
      <c r="AU968" s="62">
        <f>IF(H968=0,0,AD968/H968)</f>
        <v/>
      </c>
      <c r="AV968" s="63">
        <f>AU968-AT968</f>
        <v/>
      </c>
      <c r="AX968" s="59">
        <f>SUMIFS([1]инфо!$C$15:$C$28,[1]инфо!$A$15:$A$28,F968)*H967</f>
        <v/>
      </c>
    </row>
    <row r="969">
      <c r="A969" s="71">
        <f>A967+1</f>
        <v/>
      </c>
      <c r="B969" s="90" t="n"/>
      <c r="C969" s="52" t="n"/>
      <c r="D969" s="53" t="n"/>
      <c r="E969" s="91" t="n"/>
      <c r="F969" s="67" t="n"/>
      <c r="G969" s="58" t="n"/>
      <c r="H969" s="56" t="n"/>
      <c r="I969" s="55" t="n"/>
      <c r="J969" s="55" t="n"/>
      <c r="K969" s="55" t="n"/>
      <c r="L969" s="55" t="n"/>
      <c r="M969" s="55" t="n"/>
      <c r="N969" s="55" t="n"/>
      <c r="O969" s="58" t="n"/>
      <c r="P969" s="58" t="n"/>
      <c r="Q969" s="58" t="n"/>
      <c r="R969" s="58" t="n"/>
      <c r="S969" s="59">
        <f>SUM(O969:R969)</f>
        <v/>
      </c>
      <c r="T969" s="52" t="n"/>
      <c r="U969" s="53" t="n"/>
      <c r="V969" s="58" t="n"/>
      <c r="W969" s="58" t="n"/>
      <c r="X969" s="58" t="n"/>
      <c r="Y969" s="52" t="n"/>
      <c r="Z969" s="58" t="n"/>
      <c r="AA969" s="58" t="n"/>
      <c r="AB969" s="58" t="n"/>
      <c r="AC969" s="58" t="n"/>
      <c r="AD969" s="53" t="n"/>
      <c r="AE969" s="61">
        <f>SUMIFS([1]инфо!$D$15:$D$28,[1]инфо!$A$15:$A$28,F969)</f>
        <v/>
      </c>
      <c r="AF969" s="62">
        <f>IF(H969=0,0,N969/H969)</f>
        <v/>
      </c>
      <c r="AG969" s="63">
        <f>AF969-AE969</f>
        <v/>
      </c>
      <c r="AH969" s="61">
        <f>SUMIFS([1]инфо!$E$15:$E$28,[1]инфо!$A$15:$A$28,F969)</f>
        <v/>
      </c>
      <c r="AI969" s="64">
        <f>IF(H969=0,0,S969/H969)</f>
        <v/>
      </c>
      <c r="AJ969" s="63">
        <f>AI969-AH969</f>
        <v/>
      </c>
      <c r="AK969" s="61">
        <f>SUMIFS([1]инфо!$F$15:$F$28,[1]инфо!$A$15:$A$28,F969)</f>
        <v/>
      </c>
      <c r="AL969" s="64">
        <f>IF(H969=0,0,Y969/H969)</f>
        <v/>
      </c>
      <c r="AM969" s="63">
        <f>AL969-AK969</f>
        <v/>
      </c>
      <c r="AN969" s="61">
        <f>SUMIFS([1]инфо!$G$15:$G$28,[1]инфо!$A$15:$A$28,F969)</f>
        <v/>
      </c>
      <c r="AO969" s="64">
        <f>IF(H969=0,0,AA969/H969)</f>
        <v/>
      </c>
      <c r="AP969" s="63">
        <f>AO969-AN969</f>
        <v/>
      </c>
      <c r="AQ969" s="61">
        <f>SUMIFS([1]инфо!$H$15:$H$28,[1]инфо!$A$15:$A$28,F969)</f>
        <v/>
      </c>
      <c r="AR969" s="62">
        <f>IF(H968=0,0,AC969/H968)</f>
        <v/>
      </c>
      <c r="AS969" s="63">
        <f>AR969-AQ969</f>
        <v/>
      </c>
      <c r="AT969" s="61">
        <f>SUMIFS([1]инфо!$I$15:$I$28,[1]инфо!$A$15:$A$28,F969)</f>
        <v/>
      </c>
      <c r="AU969" s="62">
        <f>IF(H969=0,0,AD969/H969)</f>
        <v/>
      </c>
      <c r="AV969" s="63">
        <f>AU969-AT969</f>
        <v/>
      </c>
      <c r="AX969" s="59">
        <f>SUMIFS([1]инфо!$C$15:$C$28,[1]инфо!$A$15:$A$28,F969)*H968</f>
        <v/>
      </c>
    </row>
    <row r="970">
      <c r="A970" s="71">
        <f>A968+1</f>
        <v/>
      </c>
      <c r="B970" s="88" t="n"/>
      <c r="C970" s="77" t="n"/>
      <c r="D970" s="78" t="n"/>
      <c r="E970" s="91" t="n"/>
      <c r="F970" s="67" t="n"/>
      <c r="G970" s="79" t="n"/>
      <c r="H970" s="67" t="n"/>
      <c r="I970" s="55" t="n"/>
      <c r="J970" s="55" t="n"/>
      <c r="K970" s="55" t="n"/>
      <c r="L970" s="55" t="n"/>
      <c r="M970" s="55" t="n"/>
      <c r="N970" s="56" t="n"/>
      <c r="O970" s="79" t="n"/>
      <c r="P970" s="79" t="n"/>
      <c r="Q970" s="79" t="n"/>
      <c r="R970" s="79" t="n"/>
      <c r="S970" s="80">
        <f>SUM(O970:R970)</f>
        <v/>
      </c>
      <c r="T970" s="77" t="n"/>
      <c r="U970" s="78" t="n"/>
      <c r="V970" s="79" t="n"/>
      <c r="W970" s="79" t="n"/>
      <c r="X970" s="79" t="n"/>
      <c r="Y970" s="77" t="n"/>
      <c r="Z970" s="79" t="n"/>
      <c r="AA970" s="79" t="n"/>
      <c r="AB970" s="79" t="n"/>
      <c r="AC970" s="79" t="n"/>
      <c r="AD970" s="78" t="n"/>
      <c r="AE970" s="81">
        <f>SUMIFS([1]инфо!$D$15:$D$28,[1]инфо!$A$15:$A$28,F970)</f>
        <v/>
      </c>
      <c r="AF970" s="62">
        <f>IF(H970=0,0,N970/H970)</f>
        <v/>
      </c>
      <c r="AG970" s="82">
        <f>AF970-AE970</f>
        <v/>
      </c>
      <c r="AH970" s="81">
        <f>SUMIFS([1]инфо!$E$15:$E$28,[1]инфо!$A$15:$A$28,F970)</f>
        <v/>
      </c>
      <c r="AI970" s="64">
        <f>IF(H970=0,0,S970/H970)</f>
        <v/>
      </c>
      <c r="AJ970" s="82">
        <f>AI970-AH970</f>
        <v/>
      </c>
      <c r="AK970" s="81">
        <f>SUMIFS([1]инфо!$F$15:$F$28,[1]инфо!$A$15:$A$28,F970)</f>
        <v/>
      </c>
      <c r="AL970" s="64">
        <f>IF(H970=0,0,Y970/H970)</f>
        <v/>
      </c>
      <c r="AM970" s="82">
        <f>AL970-AK970</f>
        <v/>
      </c>
      <c r="AN970" s="81">
        <f>SUMIFS([1]инфо!$G$15:$G$28,[1]инфо!$A$15:$A$28,F970)</f>
        <v/>
      </c>
      <c r="AO970" s="64">
        <f>IF(H970=0,0,AA970/H970)</f>
        <v/>
      </c>
      <c r="AP970" s="82">
        <f>AO970-AN970</f>
        <v/>
      </c>
      <c r="AQ970" s="81">
        <f>SUMIFS([1]инфо!$H$15:$H$28,[1]инфо!$A$15:$A$28,F970)</f>
        <v/>
      </c>
      <c r="AR970" s="85">
        <f>IF(H969=0,0,AC970/H969)</f>
        <v/>
      </c>
      <c r="AS970" s="82">
        <f>AR970-AQ970</f>
        <v/>
      </c>
      <c r="AT970" s="81">
        <f>SUMIFS([1]инфо!$I$15:$I$28,[1]инфо!$A$15:$A$28,F970)</f>
        <v/>
      </c>
      <c r="AU970" s="62">
        <f>IF(H970=0,0,AD970/H970)</f>
        <v/>
      </c>
      <c r="AV970" s="82">
        <f>AU970-AT970</f>
        <v/>
      </c>
      <c r="AX970" s="80">
        <f>SUMIFS([1]инфо!$C$15:$C$28,[1]инфо!$A$15:$A$28,F970)*H969</f>
        <v/>
      </c>
    </row>
    <row r="971">
      <c r="A971" s="71">
        <f>A969+1</f>
        <v/>
      </c>
      <c r="B971" s="89" t="n"/>
      <c r="C971" s="72" t="n"/>
      <c r="D971" s="73" t="n"/>
      <c r="E971" s="91" t="n"/>
      <c r="F971" s="67" t="n"/>
      <c r="G971" s="74" t="n"/>
      <c r="H971" s="55" t="n"/>
      <c r="I971" s="55" t="n"/>
      <c r="J971" s="55" t="n"/>
      <c r="K971" s="55" t="n"/>
      <c r="L971" s="55" t="n"/>
      <c r="M971" s="55" t="n"/>
      <c r="N971" s="67" t="n"/>
      <c r="O971" s="74" t="n"/>
      <c r="P971" s="74" t="n"/>
      <c r="Q971" s="74" t="n"/>
      <c r="R971" s="74" t="n"/>
      <c r="S971" s="70">
        <f>SUM(O971:R971)</f>
        <v/>
      </c>
      <c r="T971" s="72" t="n"/>
      <c r="U971" s="73" t="n"/>
      <c r="V971" s="74" t="n"/>
      <c r="W971" s="74" t="n"/>
      <c r="X971" s="74" t="n"/>
      <c r="Y971" s="72" t="n"/>
      <c r="Z971" s="74" t="n"/>
      <c r="AA971" s="74" t="n"/>
      <c r="AB971" s="74" t="n"/>
      <c r="AC971" s="74" t="n"/>
      <c r="AD971" s="73" t="n"/>
      <c r="AE971" s="75">
        <f>SUMIFS([1]инфо!$D$15:$D$28,[1]инфо!$A$15:$A$28,F971)</f>
        <v/>
      </c>
      <c r="AF971" s="62">
        <f>IF(H971=0,0,N971/H971)</f>
        <v/>
      </c>
      <c r="AG971" s="76">
        <f>AF971-AE971</f>
        <v/>
      </c>
      <c r="AH971" s="75">
        <f>SUMIFS([1]инфо!$E$15:$E$28,[1]инфо!$A$15:$A$28,F971)</f>
        <v/>
      </c>
      <c r="AI971" s="64">
        <f>IF(H971=0,0,S971/H971)</f>
        <v/>
      </c>
      <c r="AJ971" s="76">
        <f>AI971-AH971</f>
        <v/>
      </c>
      <c r="AK971" s="75">
        <f>SUMIFS([1]инфо!$F$15:$F$28,[1]инфо!$A$15:$A$28,F971)</f>
        <v/>
      </c>
      <c r="AL971" s="64">
        <f>IF(H971=0,0,Y971/H971)</f>
        <v/>
      </c>
      <c r="AM971" s="76">
        <f>AL971-AK971</f>
        <v/>
      </c>
      <c r="AN971" s="75">
        <f>SUMIFS([1]инфо!$G$15:$G$28,[1]инфо!$A$15:$A$28,F971)</f>
        <v/>
      </c>
      <c r="AO971" s="64">
        <f>IF(H971=0,0,AA971/H971)</f>
        <v/>
      </c>
      <c r="AP971" s="76">
        <f>AO971-AN971</f>
        <v/>
      </c>
      <c r="AQ971" s="75">
        <f>SUMIFS([1]инфо!$H$15:$H$28,[1]инфо!$A$15:$A$28,F971)</f>
        <v/>
      </c>
      <c r="AR971" s="64">
        <f>IF(H970=0,0,AC971/H970)</f>
        <v/>
      </c>
      <c r="AS971" s="76">
        <f>AR971-AQ971</f>
        <v/>
      </c>
      <c r="AT971" s="75">
        <f>SUMIFS([1]инфо!$I$15:$I$28,[1]инфо!$A$15:$A$28,F971)</f>
        <v/>
      </c>
      <c r="AU971" s="62">
        <f>IF(H971=0,0,AD971/H971)</f>
        <v/>
      </c>
      <c r="AV971" s="76">
        <f>AU971-AT971</f>
        <v/>
      </c>
      <c r="AX971" s="70">
        <f>SUMIFS([1]инфо!$C$15:$C$28,[1]инфо!$A$15:$A$28,F971)*H970</f>
        <v/>
      </c>
    </row>
    <row r="972">
      <c r="A972" s="71">
        <f>A970+1</f>
        <v/>
      </c>
      <c r="B972" s="90" t="n"/>
      <c r="C972" s="52" t="n"/>
      <c r="D972" s="53" t="n"/>
      <c r="E972" s="91" t="n"/>
      <c r="F972" s="67" t="n"/>
      <c r="G972" s="58" t="n"/>
      <c r="H972" s="55" t="n"/>
      <c r="I972" s="55" t="n"/>
      <c r="J972" s="55" t="n"/>
      <c r="K972" s="55" t="n"/>
      <c r="L972" s="55" t="n"/>
      <c r="M972" s="55" t="n"/>
      <c r="N972" s="55" t="n"/>
      <c r="O972" s="58" t="n"/>
      <c r="P972" s="58" t="n"/>
      <c r="Q972" s="58" t="n"/>
      <c r="R972" s="58" t="n"/>
      <c r="S972" s="59">
        <f>SUM(O972:R972)</f>
        <v/>
      </c>
      <c r="T972" s="52" t="n"/>
      <c r="U972" s="53" t="n"/>
      <c r="V972" s="58" t="n"/>
      <c r="W972" s="58" t="n"/>
      <c r="X972" s="58" t="n"/>
      <c r="Y972" s="52" t="n"/>
      <c r="Z972" s="58" t="n"/>
      <c r="AA972" s="58" t="n"/>
      <c r="AB972" s="58" t="n"/>
      <c r="AC972" s="58" t="n"/>
      <c r="AD972" s="53" t="n"/>
      <c r="AE972" s="61">
        <f>SUMIFS([1]инфо!$D$15:$D$28,[1]инфо!$A$15:$A$28,F972)</f>
        <v/>
      </c>
      <c r="AF972" s="62">
        <f>IF(H972=0,0,N972/H972)</f>
        <v/>
      </c>
      <c r="AG972" s="63">
        <f>AF972-AE972</f>
        <v/>
      </c>
      <c r="AH972" s="61">
        <f>SUMIFS([1]инфо!$E$15:$E$28,[1]инфо!$A$15:$A$28,F972)</f>
        <v/>
      </c>
      <c r="AI972" s="64">
        <f>IF(H972=0,0,S972/H972)</f>
        <v/>
      </c>
      <c r="AJ972" s="63">
        <f>AI972-AH972</f>
        <v/>
      </c>
      <c r="AK972" s="61">
        <f>SUMIFS([1]инфо!$F$15:$F$28,[1]инфо!$A$15:$A$28,F972)</f>
        <v/>
      </c>
      <c r="AL972" s="64">
        <f>IF(H972=0,0,Y972/H972)</f>
        <v/>
      </c>
      <c r="AM972" s="63">
        <f>AL972-AK972</f>
        <v/>
      </c>
      <c r="AN972" s="61">
        <f>SUMIFS([1]инфо!$G$15:$G$28,[1]инфо!$A$15:$A$28,F972)</f>
        <v/>
      </c>
      <c r="AO972" s="64">
        <f>IF(H972=0,0,AA972/H972)</f>
        <v/>
      </c>
      <c r="AP972" s="63">
        <f>AO972-AN972</f>
        <v/>
      </c>
      <c r="AQ972" s="61">
        <f>SUMIFS([1]инфо!$H$15:$H$28,[1]инфо!$A$15:$A$28,F972)</f>
        <v/>
      </c>
      <c r="AR972" s="62">
        <f>IF(H971=0,0,AC972/H971)</f>
        <v/>
      </c>
      <c r="AS972" s="63">
        <f>AR972-AQ972</f>
        <v/>
      </c>
      <c r="AT972" s="61">
        <f>SUMIFS([1]инфо!$I$15:$I$28,[1]инфо!$A$15:$A$28,F972)</f>
        <v/>
      </c>
      <c r="AU972" s="62">
        <f>IF(H972=0,0,AD972/H972)</f>
        <v/>
      </c>
      <c r="AV972" s="63">
        <f>AU972-AT972</f>
        <v/>
      </c>
      <c r="AX972" s="59">
        <f>SUMIFS([1]инфо!$C$15:$C$28,[1]инфо!$A$15:$A$28,F972)*H971</f>
        <v/>
      </c>
    </row>
    <row r="973">
      <c r="A973" s="71">
        <f>A971+1</f>
        <v/>
      </c>
      <c r="B973" s="90" t="n"/>
      <c r="C973" s="52" t="n"/>
      <c r="D973" s="53" t="n"/>
      <c r="E973" s="91" t="n"/>
      <c r="F973" s="67" t="n"/>
      <c r="G973" s="58" t="n"/>
      <c r="H973" s="56" t="n"/>
      <c r="I973" s="55" t="n"/>
      <c r="J973" s="55" t="n"/>
      <c r="K973" s="55" t="n"/>
      <c r="L973" s="55" t="n"/>
      <c r="M973" s="55" t="n"/>
      <c r="N973" s="55" t="n"/>
      <c r="O973" s="58" t="n"/>
      <c r="P973" s="58" t="n"/>
      <c r="Q973" s="58" t="n"/>
      <c r="R973" s="58" t="n"/>
      <c r="S973" s="59">
        <f>SUM(O973:R973)</f>
        <v/>
      </c>
      <c r="T973" s="52" t="n"/>
      <c r="U973" s="53" t="n"/>
      <c r="V973" s="58" t="n"/>
      <c r="W973" s="58" t="n"/>
      <c r="X973" s="58" t="n"/>
      <c r="Y973" s="52" t="n"/>
      <c r="Z973" s="58" t="n"/>
      <c r="AA973" s="58" t="n"/>
      <c r="AB973" s="58" t="n"/>
      <c r="AC973" s="58" t="n"/>
      <c r="AD973" s="53" t="n"/>
      <c r="AE973" s="61">
        <f>SUMIFS([1]инфо!$D$15:$D$28,[1]инфо!$A$15:$A$28,F973)</f>
        <v/>
      </c>
      <c r="AF973" s="62">
        <f>IF(H973=0,0,N973/H973)</f>
        <v/>
      </c>
      <c r="AG973" s="63">
        <f>AF973-AE973</f>
        <v/>
      </c>
      <c r="AH973" s="61">
        <f>SUMIFS([1]инфо!$E$15:$E$28,[1]инфо!$A$15:$A$28,F973)</f>
        <v/>
      </c>
      <c r="AI973" s="64">
        <f>IF(H973=0,0,S973/H973)</f>
        <v/>
      </c>
      <c r="AJ973" s="63">
        <f>AI973-AH973</f>
        <v/>
      </c>
      <c r="AK973" s="61">
        <f>SUMIFS([1]инфо!$F$15:$F$28,[1]инфо!$A$15:$A$28,F973)</f>
        <v/>
      </c>
      <c r="AL973" s="64">
        <f>IF(H973=0,0,Y973/H973)</f>
        <v/>
      </c>
      <c r="AM973" s="63">
        <f>AL973-AK973</f>
        <v/>
      </c>
      <c r="AN973" s="61">
        <f>SUMIFS([1]инфо!$G$15:$G$28,[1]инфо!$A$15:$A$28,F973)</f>
        <v/>
      </c>
      <c r="AO973" s="64">
        <f>IF(H973=0,0,AA973/H973)</f>
        <v/>
      </c>
      <c r="AP973" s="63">
        <f>AO973-AN973</f>
        <v/>
      </c>
      <c r="AQ973" s="61">
        <f>SUMIFS([1]инфо!$H$15:$H$28,[1]инфо!$A$15:$A$28,F973)</f>
        <v/>
      </c>
      <c r="AR973" s="62">
        <f>IF(H972=0,0,AC973/H972)</f>
        <v/>
      </c>
      <c r="AS973" s="63">
        <f>AR973-AQ973</f>
        <v/>
      </c>
      <c r="AT973" s="61">
        <f>SUMIFS([1]инфо!$I$15:$I$28,[1]инфо!$A$15:$A$28,F973)</f>
        <v/>
      </c>
      <c r="AU973" s="62">
        <f>IF(H973=0,0,AD973/H973)</f>
        <v/>
      </c>
      <c r="AV973" s="63">
        <f>AU973-AT973</f>
        <v/>
      </c>
      <c r="AX973" s="59">
        <f>SUMIFS([1]инфо!$C$15:$C$28,[1]инфо!$A$15:$A$28,F973)*H972</f>
        <v/>
      </c>
    </row>
    <row r="974">
      <c r="A974" s="71">
        <f>A972+1</f>
        <v/>
      </c>
      <c r="B974" s="88" t="n"/>
      <c r="C974" s="77" t="n"/>
      <c r="D974" s="78" t="n"/>
      <c r="E974" s="91" t="n"/>
      <c r="F974" s="67" t="n"/>
      <c r="G974" s="79" t="n"/>
      <c r="H974" s="67" t="n"/>
      <c r="I974" s="55" t="n"/>
      <c r="J974" s="55" t="n"/>
      <c r="K974" s="55" t="n"/>
      <c r="L974" s="55" t="n"/>
      <c r="M974" s="55" t="n"/>
      <c r="N974" s="56" t="n"/>
      <c r="O974" s="79" t="n"/>
      <c r="P974" s="79" t="n"/>
      <c r="Q974" s="79" t="n"/>
      <c r="R974" s="79" t="n"/>
      <c r="S974" s="80">
        <f>SUM(O974:R974)</f>
        <v/>
      </c>
      <c r="T974" s="77" t="n"/>
      <c r="U974" s="78" t="n"/>
      <c r="V974" s="79" t="n"/>
      <c r="W974" s="79" t="n"/>
      <c r="X974" s="79" t="n"/>
      <c r="Y974" s="77" t="n"/>
      <c r="Z974" s="79" t="n"/>
      <c r="AA974" s="79" t="n"/>
      <c r="AB974" s="79" t="n"/>
      <c r="AC974" s="79" t="n"/>
      <c r="AD974" s="78" t="n"/>
      <c r="AE974" s="81">
        <f>SUMIFS([1]инфо!$D$15:$D$28,[1]инфо!$A$15:$A$28,F974)</f>
        <v/>
      </c>
      <c r="AF974" s="62">
        <f>IF(H974=0,0,N974/H974)</f>
        <v/>
      </c>
      <c r="AG974" s="82">
        <f>AF974-AE974</f>
        <v/>
      </c>
      <c r="AH974" s="81">
        <f>SUMIFS([1]инфо!$E$15:$E$28,[1]инфо!$A$15:$A$28,F974)</f>
        <v/>
      </c>
      <c r="AI974" s="64">
        <f>IF(H974=0,0,S974/H974)</f>
        <v/>
      </c>
      <c r="AJ974" s="82">
        <f>AI974-AH974</f>
        <v/>
      </c>
      <c r="AK974" s="81">
        <f>SUMIFS([1]инфо!$F$15:$F$28,[1]инфо!$A$15:$A$28,F974)</f>
        <v/>
      </c>
      <c r="AL974" s="64">
        <f>IF(H974=0,0,Y974/H974)</f>
        <v/>
      </c>
      <c r="AM974" s="82">
        <f>AL974-AK974</f>
        <v/>
      </c>
      <c r="AN974" s="81">
        <f>SUMIFS([1]инфо!$G$15:$G$28,[1]инфо!$A$15:$A$28,F974)</f>
        <v/>
      </c>
      <c r="AO974" s="64">
        <f>IF(H974=0,0,AA974/H974)</f>
        <v/>
      </c>
      <c r="AP974" s="82">
        <f>AO974-AN974</f>
        <v/>
      </c>
      <c r="AQ974" s="81">
        <f>SUMIFS([1]инфо!$H$15:$H$28,[1]инфо!$A$15:$A$28,F974)</f>
        <v/>
      </c>
      <c r="AR974" s="85">
        <f>IF(H973=0,0,AC974/H973)</f>
        <v/>
      </c>
      <c r="AS974" s="82">
        <f>AR974-AQ974</f>
        <v/>
      </c>
      <c r="AT974" s="81">
        <f>SUMIFS([1]инфо!$I$15:$I$28,[1]инфо!$A$15:$A$28,F974)</f>
        <v/>
      </c>
      <c r="AU974" s="62">
        <f>IF(H974=0,0,AD974/H974)</f>
        <v/>
      </c>
      <c r="AV974" s="82">
        <f>AU974-AT974</f>
        <v/>
      </c>
      <c r="AX974" s="80">
        <f>SUMIFS([1]инфо!$C$15:$C$28,[1]инфо!$A$15:$A$28,F974)*H973</f>
        <v/>
      </c>
    </row>
    <row r="975">
      <c r="A975" s="71">
        <f>A973+1</f>
        <v/>
      </c>
      <c r="B975" s="89" t="n"/>
      <c r="C975" s="72" t="n"/>
      <c r="D975" s="73" t="n"/>
      <c r="E975" s="91" t="n"/>
      <c r="F975" s="67" t="n"/>
      <c r="G975" s="74" t="n"/>
      <c r="H975" s="55" t="n"/>
      <c r="I975" s="55" t="n"/>
      <c r="J975" s="55" t="n"/>
      <c r="K975" s="55" t="n"/>
      <c r="L975" s="55" t="n"/>
      <c r="M975" s="55" t="n"/>
      <c r="N975" s="67" t="n"/>
      <c r="O975" s="74" t="n"/>
      <c r="P975" s="74" t="n"/>
      <c r="Q975" s="74" t="n"/>
      <c r="R975" s="74" t="n"/>
      <c r="S975" s="70">
        <f>SUM(O975:R975)</f>
        <v/>
      </c>
      <c r="T975" s="72" t="n"/>
      <c r="U975" s="73" t="n"/>
      <c r="V975" s="74" t="n"/>
      <c r="W975" s="74" t="n"/>
      <c r="X975" s="74" t="n"/>
      <c r="Y975" s="72" t="n"/>
      <c r="Z975" s="74" t="n"/>
      <c r="AA975" s="74" t="n"/>
      <c r="AB975" s="74" t="n"/>
      <c r="AC975" s="74" t="n"/>
      <c r="AD975" s="73" t="n"/>
      <c r="AE975" s="75">
        <f>SUMIFS([1]инфо!$D$15:$D$28,[1]инфо!$A$15:$A$28,F975)</f>
        <v/>
      </c>
      <c r="AF975" s="62">
        <f>IF(H975=0,0,N975/H975)</f>
        <v/>
      </c>
      <c r="AG975" s="76">
        <f>AF975-AE975</f>
        <v/>
      </c>
      <c r="AH975" s="75">
        <f>SUMIFS([1]инфо!$E$15:$E$28,[1]инфо!$A$15:$A$28,F975)</f>
        <v/>
      </c>
      <c r="AI975" s="64">
        <f>IF(H975=0,0,S975/H975)</f>
        <v/>
      </c>
      <c r="AJ975" s="76">
        <f>AI975-AH975</f>
        <v/>
      </c>
      <c r="AK975" s="75">
        <f>SUMIFS([1]инфо!$F$15:$F$28,[1]инфо!$A$15:$A$28,F975)</f>
        <v/>
      </c>
      <c r="AL975" s="64">
        <f>IF(H975=0,0,Y975/H975)</f>
        <v/>
      </c>
      <c r="AM975" s="76">
        <f>AL975-AK975</f>
        <v/>
      </c>
      <c r="AN975" s="75">
        <f>SUMIFS([1]инфо!$G$15:$G$28,[1]инфо!$A$15:$A$28,F975)</f>
        <v/>
      </c>
      <c r="AO975" s="64">
        <f>IF(H975=0,0,AA975/H975)</f>
        <v/>
      </c>
      <c r="AP975" s="76">
        <f>AO975-AN975</f>
        <v/>
      </c>
      <c r="AQ975" s="75">
        <f>SUMIFS([1]инфо!$H$15:$H$28,[1]инфо!$A$15:$A$28,F975)</f>
        <v/>
      </c>
      <c r="AR975" s="64">
        <f>IF(H974=0,0,AC975/H974)</f>
        <v/>
      </c>
      <c r="AS975" s="76">
        <f>AR975-AQ975</f>
        <v/>
      </c>
      <c r="AT975" s="75">
        <f>SUMIFS([1]инфо!$I$15:$I$28,[1]инфо!$A$15:$A$28,F975)</f>
        <v/>
      </c>
      <c r="AU975" s="62">
        <f>IF(H975=0,0,AD975/H975)</f>
        <v/>
      </c>
      <c r="AV975" s="76">
        <f>AU975-AT975</f>
        <v/>
      </c>
      <c r="AX975" s="70">
        <f>SUMIFS([1]инфо!$C$15:$C$28,[1]инфо!$A$15:$A$28,F975)*H974</f>
        <v/>
      </c>
    </row>
    <row r="976">
      <c r="A976" s="71">
        <f>A974+1</f>
        <v/>
      </c>
      <c r="B976" s="90" t="n"/>
      <c r="C976" s="52" t="n"/>
      <c r="D976" s="53" t="n"/>
      <c r="E976" s="91" t="n"/>
      <c r="F976" s="67" t="n"/>
      <c r="G976" s="58" t="n"/>
      <c r="H976" s="55" t="n"/>
      <c r="I976" s="55" t="n"/>
      <c r="J976" s="55" t="n"/>
      <c r="K976" s="55" t="n"/>
      <c r="L976" s="55" t="n"/>
      <c r="M976" s="55" t="n"/>
      <c r="N976" s="55" t="n"/>
      <c r="O976" s="58" t="n"/>
      <c r="P976" s="58" t="n"/>
      <c r="Q976" s="58" t="n"/>
      <c r="R976" s="58" t="n"/>
      <c r="S976" s="59">
        <f>SUM(O976:R976)</f>
        <v/>
      </c>
      <c r="T976" s="52" t="n"/>
      <c r="U976" s="53" t="n"/>
      <c r="V976" s="58" t="n"/>
      <c r="W976" s="58" t="n"/>
      <c r="X976" s="58" t="n"/>
      <c r="Y976" s="52" t="n"/>
      <c r="Z976" s="58" t="n"/>
      <c r="AA976" s="58" t="n"/>
      <c r="AB976" s="58" t="n"/>
      <c r="AC976" s="58" t="n"/>
      <c r="AD976" s="53" t="n"/>
      <c r="AE976" s="61">
        <f>SUMIFS([1]инфо!$D$15:$D$28,[1]инфо!$A$15:$A$28,F976)</f>
        <v/>
      </c>
      <c r="AF976" s="62">
        <f>IF(H976=0,0,N976/H976)</f>
        <v/>
      </c>
      <c r="AG976" s="63">
        <f>AF976-AE976</f>
        <v/>
      </c>
      <c r="AH976" s="61">
        <f>SUMIFS([1]инфо!$E$15:$E$28,[1]инфо!$A$15:$A$28,F976)</f>
        <v/>
      </c>
      <c r="AI976" s="64">
        <f>IF(H976=0,0,S976/H976)</f>
        <v/>
      </c>
      <c r="AJ976" s="63">
        <f>AI976-AH976</f>
        <v/>
      </c>
      <c r="AK976" s="61">
        <f>SUMIFS([1]инфо!$F$15:$F$28,[1]инфо!$A$15:$A$28,F976)</f>
        <v/>
      </c>
      <c r="AL976" s="64">
        <f>IF(H976=0,0,Y976/H976)</f>
        <v/>
      </c>
      <c r="AM976" s="63">
        <f>AL976-AK976</f>
        <v/>
      </c>
      <c r="AN976" s="61">
        <f>SUMIFS([1]инфо!$G$15:$G$28,[1]инфо!$A$15:$A$28,F976)</f>
        <v/>
      </c>
      <c r="AO976" s="64">
        <f>IF(H976=0,0,AA976/H976)</f>
        <v/>
      </c>
      <c r="AP976" s="63">
        <f>AO976-AN976</f>
        <v/>
      </c>
      <c r="AQ976" s="61">
        <f>SUMIFS([1]инфо!$H$15:$H$28,[1]инфо!$A$15:$A$28,F976)</f>
        <v/>
      </c>
      <c r="AR976" s="62">
        <f>IF(H975=0,0,AC976/H975)</f>
        <v/>
      </c>
      <c r="AS976" s="63">
        <f>AR976-AQ976</f>
        <v/>
      </c>
      <c r="AT976" s="61">
        <f>SUMIFS([1]инфо!$I$15:$I$28,[1]инфо!$A$15:$A$28,F976)</f>
        <v/>
      </c>
      <c r="AU976" s="62">
        <f>IF(H976=0,0,AD976/H976)</f>
        <v/>
      </c>
      <c r="AV976" s="63">
        <f>AU976-AT976</f>
        <v/>
      </c>
      <c r="AX976" s="59">
        <f>SUMIFS([1]инфо!$C$15:$C$28,[1]инфо!$A$15:$A$28,F976)*H975</f>
        <v/>
      </c>
    </row>
    <row r="977">
      <c r="A977" s="71">
        <f>A975+1</f>
        <v/>
      </c>
      <c r="B977" s="90" t="n"/>
      <c r="C977" s="52" t="n"/>
      <c r="D977" s="53" t="n"/>
      <c r="E977" s="91" t="n"/>
      <c r="F977" s="67" t="n"/>
      <c r="G977" s="58" t="n"/>
      <c r="H977" s="56" t="n"/>
      <c r="I977" s="55" t="n"/>
      <c r="J977" s="55" t="n"/>
      <c r="K977" s="55" t="n"/>
      <c r="L977" s="55" t="n"/>
      <c r="M977" s="55" t="n"/>
      <c r="N977" s="55" t="n"/>
      <c r="O977" s="58" t="n"/>
      <c r="P977" s="58" t="n"/>
      <c r="Q977" s="58" t="n"/>
      <c r="R977" s="58" t="n"/>
      <c r="S977" s="59">
        <f>SUM(O977:R977)</f>
        <v/>
      </c>
      <c r="T977" s="52" t="n"/>
      <c r="U977" s="53" t="n"/>
      <c r="V977" s="58" t="n"/>
      <c r="W977" s="58" t="n"/>
      <c r="X977" s="58" t="n"/>
      <c r="Y977" s="52" t="n"/>
      <c r="Z977" s="58" t="n"/>
      <c r="AA977" s="58" t="n"/>
      <c r="AB977" s="58" t="n"/>
      <c r="AC977" s="58" t="n"/>
      <c r="AD977" s="53" t="n"/>
      <c r="AE977" s="61">
        <f>SUMIFS([1]инфо!$D$15:$D$28,[1]инфо!$A$15:$A$28,F977)</f>
        <v/>
      </c>
      <c r="AF977" s="62">
        <f>IF(H977=0,0,N977/H977)</f>
        <v/>
      </c>
      <c r="AG977" s="63">
        <f>AF977-AE977</f>
        <v/>
      </c>
      <c r="AH977" s="61">
        <f>SUMIFS([1]инфо!$E$15:$E$28,[1]инфо!$A$15:$A$28,F977)</f>
        <v/>
      </c>
      <c r="AI977" s="64">
        <f>IF(H977=0,0,S977/H977)</f>
        <v/>
      </c>
      <c r="AJ977" s="63">
        <f>AI977-AH977</f>
        <v/>
      </c>
      <c r="AK977" s="61">
        <f>SUMIFS([1]инфо!$F$15:$F$28,[1]инфо!$A$15:$A$28,F977)</f>
        <v/>
      </c>
      <c r="AL977" s="64">
        <f>IF(H977=0,0,Y977/H977)</f>
        <v/>
      </c>
      <c r="AM977" s="63">
        <f>AL977-AK977</f>
        <v/>
      </c>
      <c r="AN977" s="61">
        <f>SUMIFS([1]инфо!$G$15:$G$28,[1]инфо!$A$15:$A$28,F977)</f>
        <v/>
      </c>
      <c r="AO977" s="64">
        <f>IF(H977=0,0,AA977/H977)</f>
        <v/>
      </c>
      <c r="AP977" s="63">
        <f>AO977-AN977</f>
        <v/>
      </c>
      <c r="AQ977" s="61">
        <f>SUMIFS([1]инфо!$H$15:$H$28,[1]инфо!$A$15:$A$28,F977)</f>
        <v/>
      </c>
      <c r="AR977" s="62">
        <f>IF(H976=0,0,AC977/H976)</f>
        <v/>
      </c>
      <c r="AS977" s="63">
        <f>AR977-AQ977</f>
        <v/>
      </c>
      <c r="AT977" s="61">
        <f>SUMIFS([1]инфо!$I$15:$I$28,[1]инфо!$A$15:$A$28,F977)</f>
        <v/>
      </c>
      <c r="AU977" s="62">
        <f>IF(H977=0,0,AD977/H977)</f>
        <v/>
      </c>
      <c r="AV977" s="63">
        <f>AU977-AT977</f>
        <v/>
      </c>
      <c r="AX977" s="59">
        <f>SUMIFS([1]инфо!$C$15:$C$28,[1]инфо!$A$15:$A$28,F977)*H976</f>
        <v/>
      </c>
    </row>
    <row r="978">
      <c r="A978" s="71">
        <f>A976+1</f>
        <v/>
      </c>
      <c r="B978" s="88" t="n"/>
      <c r="C978" s="77" t="n"/>
      <c r="D978" s="78" t="n"/>
      <c r="E978" s="91" t="n"/>
      <c r="F978" s="67" t="n"/>
      <c r="G978" s="79" t="n"/>
      <c r="H978" s="67" t="n"/>
      <c r="I978" s="55" t="n"/>
      <c r="J978" s="55" t="n"/>
      <c r="K978" s="55" t="n"/>
      <c r="L978" s="55" t="n"/>
      <c r="M978" s="55" t="n"/>
      <c r="N978" s="56" t="n"/>
      <c r="O978" s="79" t="n"/>
      <c r="P978" s="79" t="n"/>
      <c r="Q978" s="79" t="n"/>
      <c r="R978" s="79" t="n"/>
      <c r="S978" s="80">
        <f>SUM(O978:R978)</f>
        <v/>
      </c>
      <c r="T978" s="77" t="n"/>
      <c r="U978" s="78" t="n"/>
      <c r="V978" s="79" t="n"/>
      <c r="W978" s="79" t="n"/>
      <c r="X978" s="79" t="n"/>
      <c r="Y978" s="77" t="n"/>
      <c r="Z978" s="79" t="n"/>
      <c r="AA978" s="79" t="n"/>
      <c r="AB978" s="79" t="n"/>
      <c r="AC978" s="79" t="n"/>
      <c r="AD978" s="78" t="n"/>
      <c r="AE978" s="81">
        <f>SUMIFS([1]инфо!$D$15:$D$28,[1]инфо!$A$15:$A$28,F978)</f>
        <v/>
      </c>
      <c r="AF978" s="62">
        <f>IF(H978=0,0,N978/H978)</f>
        <v/>
      </c>
      <c r="AG978" s="82">
        <f>AF978-AE978</f>
        <v/>
      </c>
      <c r="AH978" s="81">
        <f>SUMIFS([1]инфо!$E$15:$E$28,[1]инфо!$A$15:$A$28,F978)</f>
        <v/>
      </c>
      <c r="AI978" s="64">
        <f>IF(H978=0,0,S978/H978)</f>
        <v/>
      </c>
      <c r="AJ978" s="82">
        <f>AI978-AH978</f>
        <v/>
      </c>
      <c r="AK978" s="81">
        <f>SUMIFS([1]инфо!$F$15:$F$28,[1]инфо!$A$15:$A$28,F978)</f>
        <v/>
      </c>
      <c r="AL978" s="64">
        <f>IF(H978=0,0,Y978/H978)</f>
        <v/>
      </c>
      <c r="AM978" s="82">
        <f>AL978-AK978</f>
        <v/>
      </c>
      <c r="AN978" s="81">
        <f>SUMIFS([1]инфо!$G$15:$G$28,[1]инфо!$A$15:$A$28,F978)</f>
        <v/>
      </c>
      <c r="AO978" s="64">
        <f>IF(H978=0,0,AA978/H978)</f>
        <v/>
      </c>
      <c r="AP978" s="82">
        <f>AO978-AN978</f>
        <v/>
      </c>
      <c r="AQ978" s="81">
        <f>SUMIFS([1]инфо!$H$15:$H$28,[1]инфо!$A$15:$A$28,F978)</f>
        <v/>
      </c>
      <c r="AR978" s="85">
        <f>IF(H977=0,0,AC978/H977)</f>
        <v/>
      </c>
      <c r="AS978" s="82">
        <f>AR978-AQ978</f>
        <v/>
      </c>
      <c r="AT978" s="81">
        <f>SUMIFS([1]инфо!$I$15:$I$28,[1]инфо!$A$15:$A$28,F978)</f>
        <v/>
      </c>
      <c r="AU978" s="62">
        <f>IF(H978=0,0,AD978/H978)</f>
        <v/>
      </c>
      <c r="AV978" s="82">
        <f>AU978-AT978</f>
        <v/>
      </c>
      <c r="AX978" s="80">
        <f>SUMIFS([1]инфо!$C$15:$C$28,[1]инфо!$A$15:$A$28,F978)*H977</f>
        <v/>
      </c>
    </row>
    <row r="979">
      <c r="A979" s="71">
        <f>A977+1</f>
        <v/>
      </c>
      <c r="B979" s="89" t="n"/>
      <c r="C979" s="72" t="n"/>
      <c r="D979" s="73" t="n"/>
      <c r="E979" s="91" t="n"/>
      <c r="F979" s="67" t="n"/>
      <c r="G979" s="74" t="n"/>
      <c r="H979" s="55" t="n"/>
      <c r="I979" s="55" t="n"/>
      <c r="J979" s="55" t="n"/>
      <c r="K979" s="55" t="n"/>
      <c r="L979" s="55" t="n"/>
      <c r="M979" s="55" t="n"/>
      <c r="N979" s="67" t="n"/>
      <c r="O979" s="74" t="n"/>
      <c r="P979" s="74" t="n"/>
      <c r="Q979" s="74" t="n"/>
      <c r="R979" s="74" t="n"/>
      <c r="S979" s="70">
        <f>SUM(O979:R979)</f>
        <v/>
      </c>
      <c r="T979" s="72" t="n"/>
      <c r="U979" s="73" t="n"/>
      <c r="V979" s="74" t="n"/>
      <c r="W979" s="74" t="n"/>
      <c r="X979" s="74" t="n"/>
      <c r="Y979" s="72" t="n"/>
      <c r="Z979" s="74" t="n"/>
      <c r="AA979" s="74" t="n"/>
      <c r="AB979" s="74" t="n"/>
      <c r="AC979" s="74" t="n"/>
      <c r="AD979" s="73" t="n"/>
      <c r="AE979" s="75">
        <f>SUMIFS([1]инфо!$D$15:$D$28,[1]инфо!$A$15:$A$28,F979)</f>
        <v/>
      </c>
      <c r="AF979" s="62">
        <f>IF(H979=0,0,N979/H979)</f>
        <v/>
      </c>
      <c r="AG979" s="76">
        <f>AF979-AE979</f>
        <v/>
      </c>
      <c r="AH979" s="75">
        <f>SUMIFS([1]инфо!$E$15:$E$28,[1]инфо!$A$15:$A$28,F979)</f>
        <v/>
      </c>
      <c r="AI979" s="64">
        <f>IF(H979=0,0,S979/H979)</f>
        <v/>
      </c>
      <c r="AJ979" s="76">
        <f>AI979-AH979</f>
        <v/>
      </c>
      <c r="AK979" s="75">
        <f>SUMIFS([1]инфо!$F$15:$F$28,[1]инфо!$A$15:$A$28,F979)</f>
        <v/>
      </c>
      <c r="AL979" s="64">
        <f>IF(H979=0,0,Y979/H979)</f>
        <v/>
      </c>
      <c r="AM979" s="76">
        <f>AL979-AK979</f>
        <v/>
      </c>
      <c r="AN979" s="75">
        <f>SUMIFS([1]инфо!$G$15:$G$28,[1]инфо!$A$15:$A$28,F979)</f>
        <v/>
      </c>
      <c r="AO979" s="64">
        <f>IF(H979=0,0,AA979/H979)</f>
        <v/>
      </c>
      <c r="AP979" s="76">
        <f>AO979-AN979</f>
        <v/>
      </c>
      <c r="AQ979" s="75">
        <f>SUMIFS([1]инфо!$H$15:$H$28,[1]инфо!$A$15:$A$28,F979)</f>
        <v/>
      </c>
      <c r="AR979" s="64">
        <f>IF(H978=0,0,AC979/H978)</f>
        <v/>
      </c>
      <c r="AS979" s="76">
        <f>AR979-AQ979</f>
        <v/>
      </c>
      <c r="AT979" s="75">
        <f>SUMIFS([1]инфо!$I$15:$I$28,[1]инфо!$A$15:$A$28,F979)</f>
        <v/>
      </c>
      <c r="AU979" s="62">
        <f>IF(H979=0,0,AD979/H979)</f>
        <v/>
      </c>
      <c r="AV979" s="76">
        <f>AU979-AT979</f>
        <v/>
      </c>
      <c r="AX979" s="70">
        <f>SUMIFS([1]инфо!$C$15:$C$28,[1]инфо!$A$15:$A$28,F979)*H978</f>
        <v/>
      </c>
    </row>
    <row r="980">
      <c r="A980" s="71">
        <f>A978+1</f>
        <v/>
      </c>
      <c r="B980" s="90" t="n"/>
      <c r="C980" s="52" t="n"/>
      <c r="D980" s="53" t="n"/>
      <c r="E980" s="91" t="n"/>
      <c r="F980" s="67" t="n"/>
      <c r="G980" s="58" t="n"/>
      <c r="H980" s="55" t="n"/>
      <c r="I980" s="55" t="n"/>
      <c r="J980" s="55" t="n"/>
      <c r="K980" s="55" t="n"/>
      <c r="L980" s="55" t="n"/>
      <c r="M980" s="55" t="n"/>
      <c r="N980" s="55" t="n"/>
      <c r="O980" s="58" t="n"/>
      <c r="P980" s="58" t="n"/>
      <c r="Q980" s="58" t="n"/>
      <c r="R980" s="58" t="n"/>
      <c r="S980" s="59">
        <f>SUM(O980:R980)</f>
        <v/>
      </c>
      <c r="T980" s="52" t="n"/>
      <c r="U980" s="53" t="n"/>
      <c r="V980" s="58" t="n"/>
      <c r="W980" s="58" t="n"/>
      <c r="X980" s="58" t="n"/>
      <c r="Y980" s="52" t="n"/>
      <c r="Z980" s="58" t="n"/>
      <c r="AA980" s="58" t="n"/>
      <c r="AB980" s="58" t="n"/>
      <c r="AC980" s="58" t="n"/>
      <c r="AD980" s="53" t="n"/>
      <c r="AE980" s="61">
        <f>SUMIFS([1]инфо!$D$15:$D$28,[1]инфо!$A$15:$A$28,F980)</f>
        <v/>
      </c>
      <c r="AF980" s="62">
        <f>IF(H980=0,0,N980/H980)</f>
        <v/>
      </c>
      <c r="AG980" s="63">
        <f>AF980-AE980</f>
        <v/>
      </c>
      <c r="AH980" s="61">
        <f>SUMIFS([1]инфо!$E$15:$E$28,[1]инфо!$A$15:$A$28,F980)</f>
        <v/>
      </c>
      <c r="AI980" s="64">
        <f>IF(H980=0,0,S980/H980)</f>
        <v/>
      </c>
      <c r="AJ980" s="63">
        <f>AI980-AH980</f>
        <v/>
      </c>
      <c r="AK980" s="61">
        <f>SUMIFS([1]инфо!$F$15:$F$28,[1]инфо!$A$15:$A$28,F980)</f>
        <v/>
      </c>
      <c r="AL980" s="64">
        <f>IF(H980=0,0,Y980/H980)</f>
        <v/>
      </c>
      <c r="AM980" s="63">
        <f>AL980-AK980</f>
        <v/>
      </c>
      <c r="AN980" s="61">
        <f>SUMIFS([1]инфо!$G$15:$G$28,[1]инфо!$A$15:$A$28,F980)</f>
        <v/>
      </c>
      <c r="AO980" s="64">
        <f>IF(H980=0,0,AA980/H980)</f>
        <v/>
      </c>
      <c r="AP980" s="63">
        <f>AO980-AN980</f>
        <v/>
      </c>
      <c r="AQ980" s="61">
        <f>SUMIFS([1]инфо!$H$15:$H$28,[1]инфо!$A$15:$A$28,F980)</f>
        <v/>
      </c>
      <c r="AR980" s="62">
        <f>IF(H979=0,0,AC980/H979)</f>
        <v/>
      </c>
      <c r="AS980" s="63">
        <f>AR980-AQ980</f>
        <v/>
      </c>
      <c r="AT980" s="61">
        <f>SUMIFS([1]инфо!$I$15:$I$28,[1]инфо!$A$15:$A$28,F980)</f>
        <v/>
      </c>
      <c r="AU980" s="62">
        <f>IF(H980=0,0,AD980/H980)</f>
        <v/>
      </c>
      <c r="AV980" s="63">
        <f>AU980-AT980</f>
        <v/>
      </c>
      <c r="AX980" s="59">
        <f>SUMIFS([1]инфо!$C$15:$C$28,[1]инфо!$A$15:$A$28,F980)*H979</f>
        <v/>
      </c>
    </row>
    <row r="981">
      <c r="A981" s="71">
        <f>A979+1</f>
        <v/>
      </c>
      <c r="B981" s="90" t="n"/>
      <c r="C981" s="52" t="n"/>
      <c r="D981" s="53" t="n"/>
      <c r="E981" s="91" t="n"/>
      <c r="F981" s="67" t="n"/>
      <c r="G981" s="58" t="n"/>
      <c r="H981" s="56" t="n"/>
      <c r="I981" s="55" t="n"/>
      <c r="J981" s="55" t="n"/>
      <c r="K981" s="55" t="n"/>
      <c r="L981" s="55" t="n"/>
      <c r="M981" s="55" t="n"/>
      <c r="N981" s="55" t="n"/>
      <c r="O981" s="58" t="n"/>
      <c r="P981" s="58" t="n"/>
      <c r="Q981" s="58" t="n"/>
      <c r="R981" s="58" t="n"/>
      <c r="S981" s="59">
        <f>SUM(O981:R981)</f>
        <v/>
      </c>
      <c r="T981" s="52" t="n"/>
      <c r="U981" s="53" t="n"/>
      <c r="V981" s="58" t="n"/>
      <c r="W981" s="58" t="n"/>
      <c r="X981" s="58" t="n"/>
      <c r="Y981" s="52" t="n"/>
      <c r="Z981" s="58" t="n"/>
      <c r="AA981" s="58" t="n"/>
      <c r="AB981" s="58" t="n"/>
      <c r="AC981" s="58" t="n"/>
      <c r="AD981" s="53" t="n"/>
      <c r="AE981" s="61">
        <f>SUMIFS([1]инфо!$D$15:$D$28,[1]инфо!$A$15:$A$28,F981)</f>
        <v/>
      </c>
      <c r="AF981" s="62">
        <f>IF(H981=0,0,N981/H981)</f>
        <v/>
      </c>
      <c r="AG981" s="63">
        <f>AF981-AE981</f>
        <v/>
      </c>
      <c r="AH981" s="61">
        <f>SUMIFS([1]инфо!$E$15:$E$28,[1]инфо!$A$15:$A$28,F981)</f>
        <v/>
      </c>
      <c r="AI981" s="64">
        <f>IF(H981=0,0,S981/H981)</f>
        <v/>
      </c>
      <c r="AJ981" s="63">
        <f>AI981-AH981</f>
        <v/>
      </c>
      <c r="AK981" s="61">
        <f>SUMIFS([1]инфо!$F$15:$F$28,[1]инфо!$A$15:$A$28,F981)</f>
        <v/>
      </c>
      <c r="AL981" s="64">
        <f>IF(H981=0,0,Y981/H981)</f>
        <v/>
      </c>
      <c r="AM981" s="63">
        <f>AL981-AK981</f>
        <v/>
      </c>
      <c r="AN981" s="61">
        <f>SUMIFS([1]инфо!$G$15:$G$28,[1]инфо!$A$15:$A$28,F981)</f>
        <v/>
      </c>
      <c r="AO981" s="64">
        <f>IF(H981=0,0,AA981/H981)</f>
        <v/>
      </c>
      <c r="AP981" s="63">
        <f>AO981-AN981</f>
        <v/>
      </c>
      <c r="AQ981" s="61">
        <f>SUMIFS([1]инфо!$H$15:$H$28,[1]инфо!$A$15:$A$28,F981)</f>
        <v/>
      </c>
      <c r="AR981" s="62">
        <f>IF(H980=0,0,AC981/H980)</f>
        <v/>
      </c>
      <c r="AS981" s="63">
        <f>AR981-AQ981</f>
        <v/>
      </c>
      <c r="AT981" s="61">
        <f>SUMIFS([1]инфо!$I$15:$I$28,[1]инфо!$A$15:$A$28,F981)</f>
        <v/>
      </c>
      <c r="AU981" s="62">
        <f>IF(H981=0,0,AD981/H981)</f>
        <v/>
      </c>
      <c r="AV981" s="63">
        <f>AU981-AT981</f>
        <v/>
      </c>
      <c r="AX981" s="59">
        <f>SUMIFS([1]инфо!$C$15:$C$28,[1]инфо!$A$15:$A$28,F981)*H980</f>
        <v/>
      </c>
    </row>
    <row r="982">
      <c r="A982" s="71">
        <f>A980+1</f>
        <v/>
      </c>
      <c r="B982" s="88" t="n"/>
      <c r="C982" s="77" t="n"/>
      <c r="D982" s="78" t="n"/>
      <c r="E982" s="91" t="n"/>
      <c r="F982" s="67" t="n"/>
      <c r="G982" s="79" t="n"/>
      <c r="H982" s="67" t="n"/>
      <c r="I982" s="55" t="n"/>
      <c r="J982" s="55" t="n"/>
      <c r="K982" s="55" t="n"/>
      <c r="L982" s="55" t="n"/>
      <c r="M982" s="55" t="n"/>
      <c r="N982" s="56" t="n"/>
      <c r="O982" s="79" t="n"/>
      <c r="P982" s="79" t="n"/>
      <c r="Q982" s="79" t="n"/>
      <c r="R982" s="79" t="n"/>
      <c r="S982" s="80">
        <f>SUM(O982:R982)</f>
        <v/>
      </c>
      <c r="T982" s="77" t="n"/>
      <c r="U982" s="78" t="n"/>
      <c r="V982" s="79" t="n"/>
      <c r="W982" s="79" t="n"/>
      <c r="X982" s="79" t="n"/>
      <c r="Y982" s="77" t="n"/>
      <c r="Z982" s="79" t="n"/>
      <c r="AA982" s="79" t="n"/>
      <c r="AB982" s="79" t="n"/>
      <c r="AC982" s="79" t="n"/>
      <c r="AD982" s="78" t="n"/>
      <c r="AE982" s="81">
        <f>SUMIFS([1]инфо!$D$15:$D$28,[1]инфо!$A$15:$A$28,F982)</f>
        <v/>
      </c>
      <c r="AF982" s="62">
        <f>IF(H982=0,0,N982/H982)</f>
        <v/>
      </c>
      <c r="AG982" s="82">
        <f>AF982-AE982</f>
        <v/>
      </c>
      <c r="AH982" s="81">
        <f>SUMIFS([1]инфо!$E$15:$E$28,[1]инфо!$A$15:$A$28,F982)</f>
        <v/>
      </c>
      <c r="AI982" s="64">
        <f>IF(H982=0,0,S982/H982)</f>
        <v/>
      </c>
      <c r="AJ982" s="82">
        <f>AI982-AH982</f>
        <v/>
      </c>
      <c r="AK982" s="81">
        <f>SUMIFS([1]инфо!$F$15:$F$28,[1]инфо!$A$15:$A$28,F982)</f>
        <v/>
      </c>
      <c r="AL982" s="64">
        <f>IF(H982=0,0,Y982/H982)</f>
        <v/>
      </c>
      <c r="AM982" s="82">
        <f>AL982-AK982</f>
        <v/>
      </c>
      <c r="AN982" s="81">
        <f>SUMIFS([1]инфо!$G$15:$G$28,[1]инфо!$A$15:$A$28,F982)</f>
        <v/>
      </c>
      <c r="AO982" s="64">
        <f>IF(H982=0,0,AA982/H982)</f>
        <v/>
      </c>
      <c r="AP982" s="82">
        <f>AO982-AN982</f>
        <v/>
      </c>
      <c r="AQ982" s="81">
        <f>SUMIFS([1]инфо!$H$15:$H$28,[1]инфо!$A$15:$A$28,F982)</f>
        <v/>
      </c>
      <c r="AR982" s="85">
        <f>IF(H981=0,0,AC982/H981)</f>
        <v/>
      </c>
      <c r="AS982" s="82">
        <f>AR982-AQ982</f>
        <v/>
      </c>
      <c r="AT982" s="81">
        <f>SUMIFS([1]инфо!$I$15:$I$28,[1]инфо!$A$15:$A$28,F982)</f>
        <v/>
      </c>
      <c r="AU982" s="62">
        <f>IF(H982=0,0,AD982/H982)</f>
        <v/>
      </c>
      <c r="AV982" s="82">
        <f>AU982-AT982</f>
        <v/>
      </c>
      <c r="AX982" s="80">
        <f>SUMIFS([1]инфо!$C$15:$C$28,[1]инфо!$A$15:$A$28,F982)*H981</f>
        <v/>
      </c>
    </row>
    <row r="983">
      <c r="A983" s="71">
        <f>A981+1</f>
        <v/>
      </c>
      <c r="B983" s="89" t="n"/>
      <c r="C983" s="72" t="n"/>
      <c r="D983" s="73" t="n"/>
      <c r="E983" s="91" t="n"/>
      <c r="F983" s="67" t="n"/>
      <c r="G983" s="74" t="n"/>
      <c r="H983" s="55" t="n"/>
      <c r="I983" s="55" t="n"/>
      <c r="J983" s="55" t="n"/>
      <c r="K983" s="55" t="n"/>
      <c r="L983" s="55" t="n"/>
      <c r="M983" s="55" t="n"/>
      <c r="N983" s="67" t="n"/>
      <c r="O983" s="74" t="n"/>
      <c r="P983" s="74" t="n"/>
      <c r="Q983" s="74" t="n"/>
      <c r="R983" s="74" t="n"/>
      <c r="S983" s="70">
        <f>SUM(O983:R983)</f>
        <v/>
      </c>
      <c r="T983" s="72" t="n"/>
      <c r="U983" s="73" t="n"/>
      <c r="V983" s="74" t="n"/>
      <c r="W983" s="74" t="n"/>
      <c r="X983" s="74" t="n"/>
      <c r="Y983" s="72" t="n"/>
      <c r="Z983" s="74" t="n"/>
      <c r="AA983" s="74" t="n"/>
      <c r="AB983" s="74" t="n"/>
      <c r="AC983" s="74" t="n"/>
      <c r="AD983" s="73" t="n"/>
      <c r="AE983" s="75">
        <f>SUMIFS([1]инфо!$D$15:$D$28,[1]инфо!$A$15:$A$28,F983)</f>
        <v/>
      </c>
      <c r="AF983" s="62">
        <f>IF(H983=0,0,N983/H983)</f>
        <v/>
      </c>
      <c r="AG983" s="76">
        <f>AF983-AE983</f>
        <v/>
      </c>
      <c r="AH983" s="75">
        <f>SUMIFS([1]инфо!$E$15:$E$28,[1]инфо!$A$15:$A$28,F983)</f>
        <v/>
      </c>
      <c r="AI983" s="64">
        <f>IF(H983=0,0,S983/H983)</f>
        <v/>
      </c>
      <c r="AJ983" s="76">
        <f>AI983-AH983</f>
        <v/>
      </c>
      <c r="AK983" s="75">
        <f>SUMIFS([1]инфо!$F$15:$F$28,[1]инфо!$A$15:$A$28,F983)</f>
        <v/>
      </c>
      <c r="AL983" s="64">
        <f>IF(H983=0,0,Y983/H983)</f>
        <v/>
      </c>
      <c r="AM983" s="76">
        <f>AL983-AK983</f>
        <v/>
      </c>
      <c r="AN983" s="75">
        <f>SUMIFS([1]инфо!$G$15:$G$28,[1]инфо!$A$15:$A$28,F983)</f>
        <v/>
      </c>
      <c r="AO983" s="64">
        <f>IF(H983=0,0,AA983/H983)</f>
        <v/>
      </c>
      <c r="AP983" s="76">
        <f>AO983-AN983</f>
        <v/>
      </c>
      <c r="AQ983" s="75">
        <f>SUMIFS([1]инфо!$H$15:$H$28,[1]инфо!$A$15:$A$28,F983)</f>
        <v/>
      </c>
      <c r="AR983" s="64">
        <f>IF(H982=0,0,AC983/H982)</f>
        <v/>
      </c>
      <c r="AS983" s="76">
        <f>AR983-AQ983</f>
        <v/>
      </c>
      <c r="AT983" s="75">
        <f>SUMIFS([1]инфо!$I$15:$I$28,[1]инфо!$A$15:$A$28,F983)</f>
        <v/>
      </c>
      <c r="AU983" s="62">
        <f>IF(H983=0,0,AD983/H983)</f>
        <v/>
      </c>
      <c r="AV983" s="76">
        <f>AU983-AT983</f>
        <v/>
      </c>
      <c r="AX983" s="70">
        <f>SUMIFS([1]инфо!$C$15:$C$28,[1]инфо!$A$15:$A$28,F983)*H982</f>
        <v/>
      </c>
    </row>
    <row r="984">
      <c r="A984" s="71">
        <f>A982+1</f>
        <v/>
      </c>
      <c r="B984" s="90" t="n"/>
      <c r="C984" s="52" t="n"/>
      <c r="D984" s="53" t="n"/>
      <c r="E984" s="91" t="n"/>
      <c r="F984" s="67" t="n"/>
      <c r="G984" s="58" t="n"/>
      <c r="H984" s="55" t="n"/>
      <c r="I984" s="55" t="n"/>
      <c r="J984" s="55" t="n"/>
      <c r="K984" s="55" t="n"/>
      <c r="L984" s="55" t="n"/>
      <c r="M984" s="55" t="n"/>
      <c r="N984" s="55" t="n"/>
      <c r="O984" s="58" t="n"/>
      <c r="P984" s="58" t="n"/>
      <c r="Q984" s="58" t="n"/>
      <c r="R984" s="58" t="n"/>
      <c r="S984" s="59">
        <f>SUM(O984:R984)</f>
        <v/>
      </c>
      <c r="T984" s="52" t="n"/>
      <c r="U984" s="53" t="n"/>
      <c r="V984" s="58" t="n"/>
      <c r="W984" s="58" t="n"/>
      <c r="X984" s="58" t="n"/>
      <c r="Y984" s="52" t="n"/>
      <c r="Z984" s="58" t="n"/>
      <c r="AA984" s="58" t="n"/>
      <c r="AB984" s="58" t="n"/>
      <c r="AC984" s="58" t="n"/>
      <c r="AD984" s="53" t="n"/>
      <c r="AE984" s="61">
        <f>SUMIFS([1]инфо!$D$15:$D$28,[1]инфо!$A$15:$A$28,F984)</f>
        <v/>
      </c>
      <c r="AF984" s="62">
        <f>IF(H984=0,0,N984/H984)</f>
        <v/>
      </c>
      <c r="AG984" s="63">
        <f>AF984-AE984</f>
        <v/>
      </c>
      <c r="AH984" s="61">
        <f>SUMIFS([1]инфо!$E$15:$E$28,[1]инфо!$A$15:$A$28,F984)</f>
        <v/>
      </c>
      <c r="AI984" s="64">
        <f>IF(H984=0,0,S984/H984)</f>
        <v/>
      </c>
      <c r="AJ984" s="63">
        <f>AI984-AH984</f>
        <v/>
      </c>
      <c r="AK984" s="61">
        <f>SUMIFS([1]инфо!$F$15:$F$28,[1]инфо!$A$15:$A$28,F984)</f>
        <v/>
      </c>
      <c r="AL984" s="64">
        <f>IF(H984=0,0,Y984/H984)</f>
        <v/>
      </c>
      <c r="AM984" s="63">
        <f>AL984-AK984</f>
        <v/>
      </c>
      <c r="AN984" s="61">
        <f>SUMIFS([1]инфо!$G$15:$G$28,[1]инфо!$A$15:$A$28,F984)</f>
        <v/>
      </c>
      <c r="AO984" s="64">
        <f>IF(H984=0,0,AA984/H984)</f>
        <v/>
      </c>
      <c r="AP984" s="63">
        <f>AO984-AN984</f>
        <v/>
      </c>
      <c r="AQ984" s="61">
        <f>SUMIFS([1]инфо!$H$15:$H$28,[1]инфо!$A$15:$A$28,F984)</f>
        <v/>
      </c>
      <c r="AR984" s="62">
        <f>IF(H983=0,0,AC984/H983)</f>
        <v/>
      </c>
      <c r="AS984" s="63">
        <f>AR984-AQ984</f>
        <v/>
      </c>
      <c r="AT984" s="61">
        <f>SUMIFS([1]инфо!$I$15:$I$28,[1]инфо!$A$15:$A$28,F984)</f>
        <v/>
      </c>
      <c r="AU984" s="62">
        <f>IF(H984=0,0,AD984/H984)</f>
        <v/>
      </c>
      <c r="AV984" s="63">
        <f>AU984-AT984</f>
        <v/>
      </c>
      <c r="AX984" s="59">
        <f>SUMIFS([1]инфо!$C$15:$C$28,[1]инфо!$A$15:$A$28,F984)*H983</f>
        <v/>
      </c>
    </row>
    <row r="985">
      <c r="A985" s="71">
        <f>A983+1</f>
        <v/>
      </c>
      <c r="B985" s="90" t="n"/>
      <c r="C985" s="52" t="n"/>
      <c r="D985" s="53" t="n"/>
      <c r="E985" s="91" t="n"/>
      <c r="F985" s="67" t="n"/>
      <c r="G985" s="58" t="n"/>
      <c r="H985" s="56" t="n"/>
      <c r="I985" s="55" t="n"/>
      <c r="J985" s="55" t="n"/>
      <c r="K985" s="55" t="n"/>
      <c r="L985" s="55" t="n"/>
      <c r="M985" s="55" t="n"/>
      <c r="N985" s="55" t="n"/>
      <c r="O985" s="58" t="n"/>
      <c r="P985" s="58" t="n"/>
      <c r="Q985" s="58" t="n"/>
      <c r="R985" s="58" t="n"/>
      <c r="S985" s="59">
        <f>SUM(O985:R985)</f>
        <v/>
      </c>
      <c r="T985" s="52" t="n"/>
      <c r="U985" s="53" t="n"/>
      <c r="V985" s="58" t="n"/>
      <c r="W985" s="58" t="n"/>
      <c r="X985" s="58" t="n"/>
      <c r="Y985" s="52" t="n"/>
      <c r="Z985" s="58" t="n"/>
      <c r="AA985" s="58" t="n"/>
      <c r="AB985" s="58" t="n"/>
      <c r="AC985" s="58" t="n"/>
      <c r="AD985" s="53" t="n"/>
      <c r="AE985" s="61">
        <f>SUMIFS([1]инфо!$D$15:$D$28,[1]инфо!$A$15:$A$28,F985)</f>
        <v/>
      </c>
      <c r="AF985" s="62">
        <f>IF(H985=0,0,N985/H985)</f>
        <v/>
      </c>
      <c r="AG985" s="63">
        <f>AF985-AE985</f>
        <v/>
      </c>
      <c r="AH985" s="61">
        <f>SUMIFS([1]инфо!$E$15:$E$28,[1]инфо!$A$15:$A$28,F985)</f>
        <v/>
      </c>
      <c r="AI985" s="64">
        <f>IF(H985=0,0,S985/H985)</f>
        <v/>
      </c>
      <c r="AJ985" s="63">
        <f>AI985-AH985</f>
        <v/>
      </c>
      <c r="AK985" s="61">
        <f>SUMIFS([1]инфо!$F$15:$F$28,[1]инфо!$A$15:$A$28,F985)</f>
        <v/>
      </c>
      <c r="AL985" s="64">
        <f>IF(H985=0,0,Y985/H985)</f>
        <v/>
      </c>
      <c r="AM985" s="63">
        <f>AL985-AK985</f>
        <v/>
      </c>
      <c r="AN985" s="61">
        <f>SUMIFS([1]инфо!$G$15:$G$28,[1]инфо!$A$15:$A$28,F985)</f>
        <v/>
      </c>
      <c r="AO985" s="64">
        <f>IF(H985=0,0,AA985/H985)</f>
        <v/>
      </c>
      <c r="AP985" s="63">
        <f>AO985-AN985</f>
        <v/>
      </c>
      <c r="AQ985" s="61">
        <f>SUMIFS([1]инфо!$H$15:$H$28,[1]инфо!$A$15:$A$28,F985)</f>
        <v/>
      </c>
      <c r="AR985" s="62">
        <f>IF(H984=0,0,AC985/H984)</f>
        <v/>
      </c>
      <c r="AS985" s="63">
        <f>AR985-AQ985</f>
        <v/>
      </c>
      <c r="AT985" s="61">
        <f>SUMIFS([1]инфо!$I$15:$I$28,[1]инфо!$A$15:$A$28,F985)</f>
        <v/>
      </c>
      <c r="AU985" s="62">
        <f>IF(H985=0,0,AD985/H985)</f>
        <v/>
      </c>
      <c r="AV985" s="63">
        <f>AU985-AT985</f>
        <v/>
      </c>
      <c r="AX985" s="59">
        <f>SUMIFS([1]инфо!$C$15:$C$28,[1]инфо!$A$15:$A$28,F985)*H984</f>
        <v/>
      </c>
    </row>
    <row r="986">
      <c r="A986" s="71">
        <f>A984+1</f>
        <v/>
      </c>
      <c r="B986" s="88" t="n"/>
      <c r="C986" s="77" t="n"/>
      <c r="D986" s="78" t="n"/>
      <c r="E986" s="91" t="n"/>
      <c r="F986" s="67" t="n"/>
      <c r="G986" s="79" t="n"/>
      <c r="H986" s="67" t="n"/>
      <c r="I986" s="55" t="n"/>
      <c r="J986" s="55" t="n"/>
      <c r="K986" s="55" t="n"/>
      <c r="L986" s="55" t="n"/>
      <c r="M986" s="55" t="n"/>
      <c r="N986" s="56" t="n"/>
      <c r="O986" s="79" t="n"/>
      <c r="P986" s="79" t="n"/>
      <c r="Q986" s="79" t="n"/>
      <c r="R986" s="79" t="n"/>
      <c r="S986" s="80">
        <f>SUM(O986:R986)</f>
        <v/>
      </c>
      <c r="T986" s="77" t="n"/>
      <c r="U986" s="78" t="n"/>
      <c r="V986" s="79" t="n"/>
      <c r="W986" s="79" t="n"/>
      <c r="X986" s="79" t="n"/>
      <c r="Y986" s="77" t="n"/>
      <c r="Z986" s="79" t="n"/>
      <c r="AA986" s="79" t="n"/>
      <c r="AB986" s="79" t="n"/>
      <c r="AC986" s="79" t="n"/>
      <c r="AD986" s="78" t="n"/>
      <c r="AE986" s="81">
        <f>SUMIFS([1]инфо!$D$15:$D$28,[1]инфо!$A$15:$A$28,F986)</f>
        <v/>
      </c>
      <c r="AF986" s="62">
        <f>IF(H986=0,0,N986/H986)</f>
        <v/>
      </c>
      <c r="AG986" s="82">
        <f>AF986-AE986</f>
        <v/>
      </c>
      <c r="AH986" s="81">
        <f>SUMIFS([1]инфо!$E$15:$E$28,[1]инфо!$A$15:$A$28,F986)</f>
        <v/>
      </c>
      <c r="AI986" s="64">
        <f>IF(H986=0,0,S986/H986)</f>
        <v/>
      </c>
      <c r="AJ986" s="82">
        <f>AI986-AH986</f>
        <v/>
      </c>
      <c r="AK986" s="81">
        <f>SUMIFS([1]инфо!$F$15:$F$28,[1]инфо!$A$15:$A$28,F986)</f>
        <v/>
      </c>
      <c r="AL986" s="64">
        <f>IF(H986=0,0,Y986/H986)</f>
        <v/>
      </c>
      <c r="AM986" s="82">
        <f>AL986-AK986</f>
        <v/>
      </c>
      <c r="AN986" s="81">
        <f>SUMIFS([1]инфо!$G$15:$G$28,[1]инфо!$A$15:$A$28,F986)</f>
        <v/>
      </c>
      <c r="AO986" s="64">
        <f>IF(H986=0,0,AA986/H986)</f>
        <v/>
      </c>
      <c r="AP986" s="82">
        <f>AO986-AN986</f>
        <v/>
      </c>
      <c r="AQ986" s="81">
        <f>SUMIFS([1]инфо!$H$15:$H$28,[1]инфо!$A$15:$A$28,F986)</f>
        <v/>
      </c>
      <c r="AR986" s="85">
        <f>IF(H985=0,0,AC986/H985)</f>
        <v/>
      </c>
      <c r="AS986" s="82">
        <f>AR986-AQ986</f>
        <v/>
      </c>
      <c r="AT986" s="81">
        <f>SUMIFS([1]инфо!$I$15:$I$28,[1]инфо!$A$15:$A$28,F986)</f>
        <v/>
      </c>
      <c r="AU986" s="62">
        <f>IF(H986=0,0,AD986/H986)</f>
        <v/>
      </c>
      <c r="AV986" s="82">
        <f>AU986-AT986</f>
        <v/>
      </c>
      <c r="AX986" s="80">
        <f>SUMIFS([1]инфо!$C$15:$C$28,[1]инфо!$A$15:$A$28,F986)*H985</f>
        <v/>
      </c>
    </row>
    <row r="987">
      <c r="A987" s="71">
        <f>A985+1</f>
        <v/>
      </c>
      <c r="B987" s="89" t="n"/>
      <c r="C987" s="72" t="n"/>
      <c r="D987" s="73" t="n"/>
      <c r="E987" s="91" t="n"/>
      <c r="F987" s="67" t="n"/>
      <c r="G987" s="74" t="n"/>
      <c r="H987" s="55" t="n"/>
      <c r="I987" s="55" t="n"/>
      <c r="J987" s="55" t="n"/>
      <c r="K987" s="55" t="n"/>
      <c r="L987" s="55" t="n"/>
      <c r="M987" s="55" t="n"/>
      <c r="N987" s="67" t="n"/>
      <c r="O987" s="74" t="n"/>
      <c r="P987" s="74" t="n"/>
      <c r="Q987" s="74" t="n"/>
      <c r="R987" s="74" t="n"/>
      <c r="S987" s="70">
        <f>SUM(O987:R987)</f>
        <v/>
      </c>
      <c r="T987" s="72" t="n"/>
      <c r="U987" s="73" t="n"/>
      <c r="V987" s="74" t="n"/>
      <c r="W987" s="74" t="n"/>
      <c r="X987" s="74" t="n"/>
      <c r="Y987" s="72" t="n"/>
      <c r="Z987" s="74" t="n"/>
      <c r="AA987" s="74" t="n"/>
      <c r="AB987" s="74" t="n"/>
      <c r="AC987" s="74" t="n"/>
      <c r="AD987" s="73" t="n"/>
      <c r="AE987" s="75">
        <f>SUMIFS([1]инфо!$D$15:$D$28,[1]инфо!$A$15:$A$28,F987)</f>
        <v/>
      </c>
      <c r="AF987" s="62">
        <f>IF(H987=0,0,N987/H987)</f>
        <v/>
      </c>
      <c r="AG987" s="76">
        <f>AF987-AE987</f>
        <v/>
      </c>
      <c r="AH987" s="75">
        <f>SUMIFS([1]инфо!$E$15:$E$28,[1]инфо!$A$15:$A$28,F987)</f>
        <v/>
      </c>
      <c r="AI987" s="64">
        <f>IF(H987=0,0,S987/H987)</f>
        <v/>
      </c>
      <c r="AJ987" s="76">
        <f>AI987-AH987</f>
        <v/>
      </c>
      <c r="AK987" s="75">
        <f>SUMIFS([1]инфо!$F$15:$F$28,[1]инфо!$A$15:$A$28,F987)</f>
        <v/>
      </c>
      <c r="AL987" s="64">
        <f>IF(H987=0,0,Y987/H987)</f>
        <v/>
      </c>
      <c r="AM987" s="76">
        <f>AL987-AK987</f>
        <v/>
      </c>
      <c r="AN987" s="75">
        <f>SUMIFS([1]инфо!$G$15:$G$28,[1]инфо!$A$15:$A$28,F987)</f>
        <v/>
      </c>
      <c r="AO987" s="64">
        <f>IF(H987=0,0,AA987/H987)</f>
        <v/>
      </c>
      <c r="AP987" s="76">
        <f>AO987-AN987</f>
        <v/>
      </c>
      <c r="AQ987" s="75">
        <f>SUMIFS([1]инфо!$H$15:$H$28,[1]инфо!$A$15:$A$28,F987)</f>
        <v/>
      </c>
      <c r="AR987" s="64">
        <f>IF(H986=0,0,AC987/H986)</f>
        <v/>
      </c>
      <c r="AS987" s="76">
        <f>AR987-AQ987</f>
        <v/>
      </c>
      <c r="AT987" s="75">
        <f>SUMIFS([1]инфо!$I$15:$I$28,[1]инфо!$A$15:$A$28,F987)</f>
        <v/>
      </c>
      <c r="AU987" s="62">
        <f>IF(H987=0,0,AD987/H987)</f>
        <v/>
      </c>
      <c r="AV987" s="76">
        <f>AU987-AT987</f>
        <v/>
      </c>
      <c r="AX987" s="70">
        <f>SUMIFS([1]инфо!$C$15:$C$28,[1]инфо!$A$15:$A$28,F987)*H986</f>
        <v/>
      </c>
    </row>
    <row r="988">
      <c r="A988" s="71">
        <f>A986+1</f>
        <v/>
      </c>
      <c r="B988" s="90" t="n"/>
      <c r="C988" s="52" t="n"/>
      <c r="D988" s="53" t="n"/>
      <c r="E988" s="91" t="n"/>
      <c r="F988" s="67" t="n"/>
      <c r="G988" s="58" t="n"/>
      <c r="H988" s="55" t="n"/>
      <c r="I988" s="55" t="n"/>
      <c r="J988" s="55" t="n"/>
      <c r="K988" s="55" t="n"/>
      <c r="L988" s="55" t="n"/>
      <c r="M988" s="55" t="n"/>
      <c r="N988" s="55" t="n"/>
      <c r="O988" s="58" t="n"/>
      <c r="P988" s="58" t="n"/>
      <c r="Q988" s="58" t="n"/>
      <c r="R988" s="58" t="n"/>
      <c r="S988" s="59">
        <f>SUM(O988:R988)</f>
        <v/>
      </c>
      <c r="T988" s="52" t="n"/>
      <c r="U988" s="53" t="n"/>
      <c r="V988" s="58" t="n"/>
      <c r="W988" s="58" t="n"/>
      <c r="X988" s="58" t="n"/>
      <c r="Y988" s="52" t="n"/>
      <c r="Z988" s="58" t="n"/>
      <c r="AA988" s="58" t="n"/>
      <c r="AB988" s="58" t="n"/>
      <c r="AC988" s="58" t="n"/>
      <c r="AD988" s="53" t="n"/>
      <c r="AE988" s="61">
        <f>SUMIFS([1]инфо!$D$15:$D$28,[1]инфо!$A$15:$A$28,F988)</f>
        <v/>
      </c>
      <c r="AF988" s="62">
        <f>IF(H988=0,0,N988/H988)</f>
        <v/>
      </c>
      <c r="AG988" s="63">
        <f>AF988-AE988</f>
        <v/>
      </c>
      <c r="AH988" s="61">
        <f>SUMIFS([1]инфо!$E$15:$E$28,[1]инфо!$A$15:$A$28,F988)</f>
        <v/>
      </c>
      <c r="AI988" s="64">
        <f>IF(H988=0,0,S988/H988)</f>
        <v/>
      </c>
      <c r="AJ988" s="63">
        <f>AI988-AH988</f>
        <v/>
      </c>
      <c r="AK988" s="61">
        <f>SUMIFS([1]инфо!$F$15:$F$28,[1]инфо!$A$15:$A$28,F988)</f>
        <v/>
      </c>
      <c r="AL988" s="64">
        <f>IF(H988=0,0,Y988/H988)</f>
        <v/>
      </c>
      <c r="AM988" s="63">
        <f>AL988-AK988</f>
        <v/>
      </c>
      <c r="AN988" s="61">
        <f>SUMIFS([1]инфо!$G$15:$G$28,[1]инфо!$A$15:$A$28,F988)</f>
        <v/>
      </c>
      <c r="AO988" s="64">
        <f>IF(H988=0,0,AA988/H988)</f>
        <v/>
      </c>
      <c r="AP988" s="63">
        <f>AO988-AN988</f>
        <v/>
      </c>
      <c r="AQ988" s="61">
        <f>SUMIFS([1]инфо!$H$15:$H$28,[1]инфо!$A$15:$A$28,F988)</f>
        <v/>
      </c>
      <c r="AR988" s="62">
        <f>IF(H987=0,0,AC988/H987)</f>
        <v/>
      </c>
      <c r="AS988" s="63">
        <f>AR988-AQ988</f>
        <v/>
      </c>
      <c r="AT988" s="61">
        <f>SUMIFS([1]инфо!$I$15:$I$28,[1]инфо!$A$15:$A$28,F988)</f>
        <v/>
      </c>
      <c r="AU988" s="62">
        <f>IF(H988=0,0,AD988/H988)</f>
        <v/>
      </c>
      <c r="AV988" s="63">
        <f>AU988-AT988</f>
        <v/>
      </c>
      <c r="AX988" s="59">
        <f>SUMIFS([1]инфо!$C$15:$C$28,[1]инфо!$A$15:$A$28,F988)*H987</f>
        <v/>
      </c>
    </row>
    <row r="989">
      <c r="A989" s="71">
        <f>A987+1</f>
        <v/>
      </c>
      <c r="B989" s="90" t="n"/>
      <c r="C989" s="52" t="n"/>
      <c r="D989" s="53" t="n"/>
      <c r="E989" s="91" t="n"/>
      <c r="F989" s="67" t="n"/>
      <c r="G989" s="58" t="n"/>
      <c r="H989" s="56" t="n"/>
      <c r="I989" s="55" t="n"/>
      <c r="J989" s="55" t="n"/>
      <c r="K989" s="55" t="n"/>
      <c r="L989" s="55" t="n"/>
      <c r="M989" s="55" t="n"/>
      <c r="N989" s="55" t="n"/>
      <c r="O989" s="58" t="n"/>
      <c r="P989" s="58" t="n"/>
      <c r="Q989" s="58" t="n"/>
      <c r="R989" s="58" t="n"/>
      <c r="S989" s="59">
        <f>SUM(O989:R989)</f>
        <v/>
      </c>
      <c r="T989" s="52" t="n"/>
      <c r="U989" s="53" t="n"/>
      <c r="V989" s="58" t="n"/>
      <c r="W989" s="58" t="n"/>
      <c r="X989" s="58" t="n"/>
      <c r="Y989" s="52" t="n"/>
      <c r="Z989" s="58" t="n"/>
      <c r="AA989" s="58" t="n"/>
      <c r="AB989" s="58" t="n"/>
      <c r="AC989" s="58" t="n"/>
      <c r="AD989" s="53" t="n"/>
      <c r="AE989" s="61">
        <f>SUMIFS([1]инфо!$D$15:$D$28,[1]инфо!$A$15:$A$28,F989)</f>
        <v/>
      </c>
      <c r="AF989" s="62">
        <f>IF(H989=0,0,N989/H989)</f>
        <v/>
      </c>
      <c r="AG989" s="63">
        <f>AF989-AE989</f>
        <v/>
      </c>
      <c r="AH989" s="61">
        <f>SUMIFS([1]инфо!$E$15:$E$28,[1]инфо!$A$15:$A$28,F989)</f>
        <v/>
      </c>
      <c r="AI989" s="64">
        <f>IF(H989=0,0,S989/H989)</f>
        <v/>
      </c>
      <c r="AJ989" s="63">
        <f>AI989-AH989</f>
        <v/>
      </c>
      <c r="AK989" s="61">
        <f>SUMIFS([1]инфо!$F$15:$F$28,[1]инфо!$A$15:$A$28,F989)</f>
        <v/>
      </c>
      <c r="AL989" s="64">
        <f>IF(H989=0,0,Y989/H989)</f>
        <v/>
      </c>
      <c r="AM989" s="63">
        <f>AL989-AK989</f>
        <v/>
      </c>
      <c r="AN989" s="61">
        <f>SUMIFS([1]инфо!$G$15:$G$28,[1]инфо!$A$15:$A$28,F989)</f>
        <v/>
      </c>
      <c r="AO989" s="64">
        <f>IF(H989=0,0,AA989/H989)</f>
        <v/>
      </c>
      <c r="AP989" s="63">
        <f>AO989-AN989</f>
        <v/>
      </c>
      <c r="AQ989" s="61">
        <f>SUMIFS([1]инфо!$H$15:$H$28,[1]инфо!$A$15:$A$28,F989)</f>
        <v/>
      </c>
      <c r="AR989" s="62">
        <f>IF(H988=0,0,AC989/H988)</f>
        <v/>
      </c>
      <c r="AS989" s="63">
        <f>AR989-AQ989</f>
        <v/>
      </c>
      <c r="AT989" s="61">
        <f>SUMIFS([1]инфо!$I$15:$I$28,[1]инфо!$A$15:$A$28,F989)</f>
        <v/>
      </c>
      <c r="AU989" s="62">
        <f>IF(H989=0,0,AD989/H989)</f>
        <v/>
      </c>
      <c r="AV989" s="63">
        <f>AU989-AT989</f>
        <v/>
      </c>
      <c r="AX989" s="59">
        <f>SUMIFS([1]инфо!$C$15:$C$28,[1]инфо!$A$15:$A$28,F989)*H988</f>
        <v/>
      </c>
    </row>
    <row r="990">
      <c r="A990" s="71">
        <f>A988+1</f>
        <v/>
      </c>
      <c r="B990" s="88" t="n"/>
      <c r="C990" s="77" t="n"/>
      <c r="D990" s="78" t="n"/>
      <c r="E990" s="91" t="n"/>
      <c r="F990" s="67" t="n"/>
      <c r="G990" s="79" t="n"/>
      <c r="H990" s="67" t="n"/>
      <c r="I990" s="55" t="n"/>
      <c r="J990" s="55" t="n"/>
      <c r="K990" s="55" t="n"/>
      <c r="L990" s="55" t="n"/>
      <c r="M990" s="55" t="n"/>
      <c r="N990" s="56" t="n"/>
      <c r="O990" s="79" t="n"/>
      <c r="P990" s="79" t="n"/>
      <c r="Q990" s="79" t="n"/>
      <c r="R990" s="79" t="n"/>
      <c r="S990" s="80">
        <f>SUM(O990:R990)</f>
        <v/>
      </c>
      <c r="T990" s="77" t="n"/>
      <c r="U990" s="78" t="n"/>
      <c r="V990" s="79" t="n"/>
      <c r="W990" s="79" t="n"/>
      <c r="X990" s="79" t="n"/>
      <c r="Y990" s="77" t="n"/>
      <c r="Z990" s="79" t="n"/>
      <c r="AA990" s="79" t="n"/>
      <c r="AB990" s="79" t="n"/>
      <c r="AC990" s="79" t="n"/>
      <c r="AD990" s="78" t="n"/>
      <c r="AE990" s="81">
        <f>SUMIFS([1]инфо!$D$15:$D$28,[1]инфо!$A$15:$A$28,F990)</f>
        <v/>
      </c>
      <c r="AF990" s="62">
        <f>IF(H990=0,0,N990/H990)</f>
        <v/>
      </c>
      <c r="AG990" s="82">
        <f>AF990-AE990</f>
        <v/>
      </c>
      <c r="AH990" s="81">
        <f>SUMIFS([1]инфо!$E$15:$E$28,[1]инфо!$A$15:$A$28,F990)</f>
        <v/>
      </c>
      <c r="AI990" s="64">
        <f>IF(H990=0,0,S990/H990)</f>
        <v/>
      </c>
      <c r="AJ990" s="82">
        <f>AI990-AH990</f>
        <v/>
      </c>
      <c r="AK990" s="81">
        <f>SUMIFS([1]инфо!$F$15:$F$28,[1]инфо!$A$15:$A$28,F990)</f>
        <v/>
      </c>
      <c r="AL990" s="64">
        <f>IF(H990=0,0,Y990/H990)</f>
        <v/>
      </c>
      <c r="AM990" s="82">
        <f>AL990-AK990</f>
        <v/>
      </c>
      <c r="AN990" s="81">
        <f>SUMIFS([1]инфо!$G$15:$G$28,[1]инфо!$A$15:$A$28,F990)</f>
        <v/>
      </c>
      <c r="AO990" s="64">
        <f>IF(H990=0,0,AA990/H990)</f>
        <v/>
      </c>
      <c r="AP990" s="82">
        <f>AO990-AN990</f>
        <v/>
      </c>
      <c r="AQ990" s="81">
        <f>SUMIFS([1]инфо!$H$15:$H$28,[1]инфо!$A$15:$A$28,F990)</f>
        <v/>
      </c>
      <c r="AR990" s="85">
        <f>IF(H989=0,0,AC990/H989)</f>
        <v/>
      </c>
      <c r="AS990" s="82">
        <f>AR990-AQ990</f>
        <v/>
      </c>
      <c r="AT990" s="81">
        <f>SUMIFS([1]инфо!$I$15:$I$28,[1]инфо!$A$15:$A$28,F990)</f>
        <v/>
      </c>
      <c r="AU990" s="62">
        <f>IF(H990=0,0,AD990/H990)</f>
        <v/>
      </c>
      <c r="AV990" s="82">
        <f>AU990-AT990</f>
        <v/>
      </c>
      <c r="AX990" s="80">
        <f>SUMIFS([1]инфо!$C$15:$C$28,[1]инфо!$A$15:$A$28,F990)*H989</f>
        <v/>
      </c>
    </row>
    <row r="991">
      <c r="A991" s="71">
        <f>A989+1</f>
        <v/>
      </c>
      <c r="B991" s="89" t="n"/>
      <c r="C991" s="72" t="n"/>
      <c r="D991" s="73" t="n"/>
      <c r="E991" s="91" t="n"/>
      <c r="F991" s="67" t="n"/>
      <c r="G991" s="74" t="n"/>
      <c r="H991" s="55" t="n"/>
      <c r="I991" s="55" t="n"/>
      <c r="J991" s="55" t="n"/>
      <c r="K991" s="55" t="n"/>
      <c r="L991" s="55" t="n"/>
      <c r="M991" s="55" t="n"/>
      <c r="N991" s="67" t="n"/>
      <c r="O991" s="74" t="n"/>
      <c r="P991" s="74" t="n"/>
      <c r="Q991" s="74" t="n"/>
      <c r="R991" s="74" t="n"/>
      <c r="S991" s="70">
        <f>SUM(O991:R991)</f>
        <v/>
      </c>
      <c r="T991" s="72" t="n"/>
      <c r="U991" s="73" t="n"/>
      <c r="V991" s="74" t="n"/>
      <c r="W991" s="74" t="n"/>
      <c r="X991" s="74" t="n"/>
      <c r="Y991" s="72" t="n"/>
      <c r="Z991" s="74" t="n"/>
      <c r="AA991" s="74" t="n"/>
      <c r="AB991" s="74" t="n"/>
      <c r="AC991" s="74" t="n"/>
      <c r="AD991" s="73" t="n"/>
      <c r="AE991" s="75">
        <f>SUMIFS([1]инфо!$D$15:$D$28,[1]инфо!$A$15:$A$28,F991)</f>
        <v/>
      </c>
      <c r="AF991" s="62">
        <f>IF(H991=0,0,N991/H991)</f>
        <v/>
      </c>
      <c r="AG991" s="76">
        <f>AF991-AE991</f>
        <v/>
      </c>
      <c r="AH991" s="75">
        <f>SUMIFS([1]инфо!$E$15:$E$28,[1]инфо!$A$15:$A$28,F991)</f>
        <v/>
      </c>
      <c r="AI991" s="64">
        <f>IF(H991=0,0,S991/H991)</f>
        <v/>
      </c>
      <c r="AJ991" s="76">
        <f>AI991-AH991</f>
        <v/>
      </c>
      <c r="AK991" s="75">
        <f>SUMIFS([1]инфо!$F$15:$F$28,[1]инфо!$A$15:$A$28,F991)</f>
        <v/>
      </c>
      <c r="AL991" s="64">
        <f>IF(H991=0,0,Y991/H991)</f>
        <v/>
      </c>
      <c r="AM991" s="76">
        <f>AL991-AK991</f>
        <v/>
      </c>
      <c r="AN991" s="75">
        <f>SUMIFS([1]инфо!$G$15:$G$28,[1]инфо!$A$15:$A$28,F991)</f>
        <v/>
      </c>
      <c r="AO991" s="64">
        <f>IF(H991=0,0,AA991/H991)</f>
        <v/>
      </c>
      <c r="AP991" s="76">
        <f>AO991-AN991</f>
        <v/>
      </c>
      <c r="AQ991" s="75">
        <f>SUMIFS([1]инфо!$H$15:$H$28,[1]инфо!$A$15:$A$28,F991)</f>
        <v/>
      </c>
      <c r="AR991" s="64">
        <f>IF(H990=0,0,AC991/H990)</f>
        <v/>
      </c>
      <c r="AS991" s="76">
        <f>AR991-AQ991</f>
        <v/>
      </c>
      <c r="AT991" s="75">
        <f>SUMIFS([1]инфо!$I$15:$I$28,[1]инфо!$A$15:$A$28,F991)</f>
        <v/>
      </c>
      <c r="AU991" s="62">
        <f>IF(H991=0,0,AD991/H991)</f>
        <v/>
      </c>
      <c r="AV991" s="76">
        <f>AU991-AT991</f>
        <v/>
      </c>
      <c r="AX991" s="70">
        <f>SUMIFS([1]инфо!$C$15:$C$28,[1]инфо!$A$15:$A$28,F991)*H990</f>
        <v/>
      </c>
    </row>
    <row r="992">
      <c r="A992" s="71">
        <f>A990+1</f>
        <v/>
      </c>
      <c r="B992" s="90" t="n"/>
      <c r="C992" s="52" t="n"/>
      <c r="D992" s="53" t="n"/>
      <c r="E992" s="91" t="n"/>
      <c r="F992" s="67" t="n"/>
      <c r="G992" s="58" t="n"/>
      <c r="H992" s="55" t="n"/>
      <c r="I992" s="55" t="n"/>
      <c r="J992" s="55" t="n"/>
      <c r="K992" s="55" t="n"/>
      <c r="L992" s="55" t="n"/>
      <c r="M992" s="55" t="n"/>
      <c r="N992" s="55" t="n"/>
      <c r="O992" s="58" t="n"/>
      <c r="P992" s="58" t="n"/>
      <c r="Q992" s="58" t="n"/>
      <c r="R992" s="58" t="n"/>
      <c r="S992" s="59">
        <f>SUM(O992:R992)</f>
        <v/>
      </c>
      <c r="T992" s="52" t="n"/>
      <c r="U992" s="53" t="n"/>
      <c r="V992" s="58" t="n"/>
      <c r="W992" s="58" t="n"/>
      <c r="X992" s="58" t="n"/>
      <c r="Y992" s="52" t="n"/>
      <c r="Z992" s="58" t="n"/>
      <c r="AA992" s="58" t="n"/>
      <c r="AB992" s="58" t="n"/>
      <c r="AC992" s="58" t="n"/>
      <c r="AD992" s="53" t="n"/>
      <c r="AE992" s="61">
        <f>SUMIFS([1]инфо!$D$15:$D$28,[1]инфо!$A$15:$A$28,F992)</f>
        <v/>
      </c>
      <c r="AF992" s="62">
        <f>IF(H992=0,0,N992/H992)</f>
        <v/>
      </c>
      <c r="AG992" s="63">
        <f>AF992-AE992</f>
        <v/>
      </c>
      <c r="AH992" s="61">
        <f>SUMIFS([1]инфо!$E$15:$E$28,[1]инфо!$A$15:$A$28,F992)</f>
        <v/>
      </c>
      <c r="AI992" s="64">
        <f>IF(H992=0,0,S992/H992)</f>
        <v/>
      </c>
      <c r="AJ992" s="63">
        <f>AI992-AH992</f>
        <v/>
      </c>
      <c r="AK992" s="61">
        <f>SUMIFS([1]инфо!$F$15:$F$28,[1]инфо!$A$15:$A$28,F992)</f>
        <v/>
      </c>
      <c r="AL992" s="64">
        <f>IF(H992=0,0,Y992/H992)</f>
        <v/>
      </c>
      <c r="AM992" s="63">
        <f>AL992-AK992</f>
        <v/>
      </c>
      <c r="AN992" s="61">
        <f>SUMIFS([1]инфо!$G$15:$G$28,[1]инфо!$A$15:$A$28,F992)</f>
        <v/>
      </c>
      <c r="AO992" s="64">
        <f>IF(H992=0,0,AA992/H992)</f>
        <v/>
      </c>
      <c r="AP992" s="63">
        <f>AO992-AN992</f>
        <v/>
      </c>
      <c r="AQ992" s="61">
        <f>SUMIFS([1]инфо!$H$15:$H$28,[1]инфо!$A$15:$A$28,F992)</f>
        <v/>
      </c>
      <c r="AR992" s="62">
        <f>IF(H991=0,0,AC992/H991)</f>
        <v/>
      </c>
      <c r="AS992" s="63">
        <f>AR992-AQ992</f>
        <v/>
      </c>
      <c r="AT992" s="61">
        <f>SUMIFS([1]инфо!$I$15:$I$28,[1]инфо!$A$15:$A$28,F992)</f>
        <v/>
      </c>
      <c r="AU992" s="62">
        <f>IF(H992=0,0,AD992/H992)</f>
        <v/>
      </c>
      <c r="AV992" s="63">
        <f>AU992-AT992</f>
        <v/>
      </c>
      <c r="AX992" s="59">
        <f>SUMIFS([1]инфо!$C$15:$C$28,[1]инфо!$A$15:$A$28,F992)*H991</f>
        <v/>
      </c>
    </row>
    <row r="993">
      <c r="A993" s="71">
        <f>A991+1</f>
        <v/>
      </c>
      <c r="B993" s="90" t="n"/>
      <c r="C993" s="52" t="n"/>
      <c r="D993" s="53" t="n"/>
      <c r="E993" s="91" t="n"/>
      <c r="F993" s="67" t="n"/>
      <c r="G993" s="58" t="n"/>
      <c r="H993" s="56" t="n"/>
      <c r="I993" s="55" t="n"/>
      <c r="J993" s="55" t="n"/>
      <c r="K993" s="55" t="n"/>
      <c r="L993" s="55" t="n"/>
      <c r="M993" s="55" t="n"/>
      <c r="N993" s="55" t="n"/>
      <c r="O993" s="58" t="n"/>
      <c r="P993" s="58" t="n"/>
      <c r="Q993" s="58" t="n"/>
      <c r="R993" s="58" t="n"/>
      <c r="S993" s="59">
        <f>SUM(O993:R993)</f>
        <v/>
      </c>
      <c r="T993" s="52" t="n"/>
      <c r="U993" s="53" t="n"/>
      <c r="V993" s="58" t="n"/>
      <c r="W993" s="58" t="n"/>
      <c r="X993" s="58" t="n"/>
      <c r="Y993" s="52" t="n"/>
      <c r="Z993" s="58" t="n"/>
      <c r="AA993" s="58" t="n"/>
      <c r="AB993" s="58" t="n"/>
      <c r="AC993" s="58" t="n"/>
      <c r="AD993" s="53" t="n"/>
      <c r="AE993" s="61">
        <f>SUMIFS([1]инфо!$D$15:$D$28,[1]инфо!$A$15:$A$28,F993)</f>
        <v/>
      </c>
      <c r="AF993" s="62">
        <f>IF(H993=0,0,N993/H993)</f>
        <v/>
      </c>
      <c r="AG993" s="63">
        <f>AF993-AE993</f>
        <v/>
      </c>
      <c r="AH993" s="61">
        <f>SUMIFS([1]инфо!$E$15:$E$28,[1]инфо!$A$15:$A$28,F993)</f>
        <v/>
      </c>
      <c r="AI993" s="64">
        <f>IF(H993=0,0,S993/H993)</f>
        <v/>
      </c>
      <c r="AJ993" s="63">
        <f>AI993-AH993</f>
        <v/>
      </c>
      <c r="AK993" s="61">
        <f>SUMIFS([1]инфо!$F$15:$F$28,[1]инфо!$A$15:$A$28,F993)</f>
        <v/>
      </c>
      <c r="AL993" s="64">
        <f>IF(H993=0,0,Y993/H993)</f>
        <v/>
      </c>
      <c r="AM993" s="63">
        <f>AL993-AK993</f>
        <v/>
      </c>
      <c r="AN993" s="61">
        <f>SUMIFS([1]инфо!$G$15:$G$28,[1]инфо!$A$15:$A$28,F993)</f>
        <v/>
      </c>
      <c r="AO993" s="64">
        <f>IF(H993=0,0,AA993/H993)</f>
        <v/>
      </c>
      <c r="AP993" s="63">
        <f>AO993-AN993</f>
        <v/>
      </c>
      <c r="AQ993" s="61">
        <f>SUMIFS([1]инфо!$H$15:$H$28,[1]инфо!$A$15:$A$28,F993)</f>
        <v/>
      </c>
      <c r="AR993" s="62">
        <f>IF(H992=0,0,AC993/H992)</f>
        <v/>
      </c>
      <c r="AS993" s="63">
        <f>AR993-AQ993</f>
        <v/>
      </c>
      <c r="AT993" s="61">
        <f>SUMIFS([1]инфо!$I$15:$I$28,[1]инфо!$A$15:$A$28,F993)</f>
        <v/>
      </c>
      <c r="AU993" s="62">
        <f>IF(H993=0,0,AD993/H993)</f>
        <v/>
      </c>
      <c r="AV993" s="63">
        <f>AU993-AT993</f>
        <v/>
      </c>
      <c r="AX993" s="59">
        <f>SUMIFS([1]инфо!$C$15:$C$28,[1]инфо!$A$15:$A$28,F993)*H992</f>
        <v/>
      </c>
    </row>
    <row r="994">
      <c r="A994" s="71">
        <f>A992+1</f>
        <v/>
      </c>
      <c r="B994" s="88" t="n"/>
      <c r="C994" s="77" t="n"/>
      <c r="D994" s="78" t="n"/>
      <c r="E994" s="91" t="n"/>
      <c r="F994" s="67" t="n"/>
      <c r="G994" s="79" t="n"/>
      <c r="H994" s="67" t="n"/>
      <c r="I994" s="55" t="n"/>
      <c r="J994" s="55" t="n"/>
      <c r="K994" s="55" t="n"/>
      <c r="L994" s="55" t="n"/>
      <c r="M994" s="55" t="n"/>
      <c r="N994" s="56" t="n"/>
      <c r="O994" s="79" t="n"/>
      <c r="P994" s="79" t="n"/>
      <c r="Q994" s="79" t="n"/>
      <c r="R994" s="79" t="n"/>
      <c r="S994" s="80">
        <f>SUM(O994:R994)</f>
        <v/>
      </c>
      <c r="T994" s="77" t="n"/>
      <c r="U994" s="78" t="n"/>
      <c r="V994" s="79" t="n"/>
      <c r="W994" s="79" t="n"/>
      <c r="X994" s="79" t="n"/>
      <c r="Y994" s="77" t="n"/>
      <c r="Z994" s="79" t="n"/>
      <c r="AA994" s="79" t="n"/>
      <c r="AB994" s="79" t="n"/>
      <c r="AC994" s="79" t="n"/>
      <c r="AD994" s="78" t="n"/>
      <c r="AE994" s="81">
        <f>SUMIFS([1]инфо!$D$15:$D$28,[1]инфо!$A$15:$A$28,F994)</f>
        <v/>
      </c>
      <c r="AF994" s="62">
        <f>IF(H994=0,0,N994/H994)</f>
        <v/>
      </c>
      <c r="AG994" s="82">
        <f>AF994-AE994</f>
        <v/>
      </c>
      <c r="AH994" s="81">
        <f>SUMIFS([1]инфо!$E$15:$E$28,[1]инфо!$A$15:$A$28,F994)</f>
        <v/>
      </c>
      <c r="AI994" s="64">
        <f>IF(H994=0,0,S994/H994)</f>
        <v/>
      </c>
      <c r="AJ994" s="82">
        <f>AI994-AH994</f>
        <v/>
      </c>
      <c r="AK994" s="81">
        <f>SUMIFS([1]инфо!$F$15:$F$28,[1]инфо!$A$15:$A$28,F994)</f>
        <v/>
      </c>
      <c r="AL994" s="64">
        <f>IF(H994=0,0,Y994/H994)</f>
        <v/>
      </c>
      <c r="AM994" s="82">
        <f>AL994-AK994</f>
        <v/>
      </c>
      <c r="AN994" s="81">
        <f>SUMIFS([1]инфо!$G$15:$G$28,[1]инфо!$A$15:$A$28,F994)</f>
        <v/>
      </c>
      <c r="AO994" s="64">
        <f>IF(H994=0,0,AA994/H994)</f>
        <v/>
      </c>
      <c r="AP994" s="82">
        <f>AO994-AN994</f>
        <v/>
      </c>
      <c r="AQ994" s="81">
        <f>SUMIFS([1]инфо!$H$15:$H$28,[1]инфо!$A$15:$A$28,F994)</f>
        <v/>
      </c>
      <c r="AR994" s="85">
        <f>IF(H993=0,0,AC994/H993)</f>
        <v/>
      </c>
      <c r="AS994" s="82">
        <f>AR994-AQ994</f>
        <v/>
      </c>
      <c r="AT994" s="81">
        <f>SUMIFS([1]инфо!$I$15:$I$28,[1]инфо!$A$15:$A$28,F994)</f>
        <v/>
      </c>
      <c r="AU994" s="62">
        <f>IF(H994=0,0,AD994/H994)</f>
        <v/>
      </c>
      <c r="AV994" s="82">
        <f>AU994-AT994</f>
        <v/>
      </c>
      <c r="AX994" s="80">
        <f>SUMIFS([1]инфо!$C$15:$C$28,[1]инфо!$A$15:$A$28,F994)*H993</f>
        <v/>
      </c>
    </row>
    <row r="995">
      <c r="A995" s="71">
        <f>A993+1</f>
        <v/>
      </c>
      <c r="B995" s="89" t="n"/>
      <c r="C995" s="72" t="n"/>
      <c r="D995" s="73" t="n"/>
      <c r="E995" s="91" t="n"/>
      <c r="F995" s="67" t="n"/>
      <c r="G995" s="74" t="n"/>
      <c r="H995" s="55" t="n"/>
      <c r="I995" s="55" t="n"/>
      <c r="J995" s="55" t="n"/>
      <c r="K995" s="55" t="n"/>
      <c r="L995" s="55" t="n"/>
      <c r="M995" s="55" t="n"/>
      <c r="N995" s="67" t="n"/>
      <c r="O995" s="74" t="n"/>
      <c r="P995" s="74" t="n"/>
      <c r="Q995" s="74" t="n"/>
      <c r="R995" s="74" t="n"/>
      <c r="S995" s="70">
        <f>SUM(O995:R995)</f>
        <v/>
      </c>
      <c r="T995" s="72" t="n"/>
      <c r="U995" s="73" t="n"/>
      <c r="V995" s="74" t="n"/>
      <c r="W995" s="74" t="n"/>
      <c r="X995" s="74" t="n"/>
      <c r="Y995" s="72" t="n"/>
      <c r="Z995" s="74" t="n"/>
      <c r="AA995" s="74" t="n"/>
      <c r="AB995" s="74" t="n"/>
      <c r="AC995" s="74" t="n"/>
      <c r="AD995" s="73" t="n"/>
      <c r="AE995" s="75">
        <f>SUMIFS([1]инфо!$D$15:$D$28,[1]инфо!$A$15:$A$28,F995)</f>
        <v/>
      </c>
      <c r="AF995" s="62">
        <f>IF(H995=0,0,N995/H995)</f>
        <v/>
      </c>
      <c r="AG995" s="76">
        <f>AF995-AE995</f>
        <v/>
      </c>
      <c r="AH995" s="75">
        <f>SUMIFS([1]инфо!$E$15:$E$28,[1]инфо!$A$15:$A$28,F995)</f>
        <v/>
      </c>
      <c r="AI995" s="64">
        <f>IF(H995=0,0,S995/H995)</f>
        <v/>
      </c>
      <c r="AJ995" s="76">
        <f>AI995-AH995</f>
        <v/>
      </c>
      <c r="AK995" s="75">
        <f>SUMIFS([1]инфо!$F$15:$F$28,[1]инфо!$A$15:$A$28,F995)</f>
        <v/>
      </c>
      <c r="AL995" s="64">
        <f>IF(H995=0,0,Y995/H995)</f>
        <v/>
      </c>
      <c r="AM995" s="76">
        <f>AL995-AK995</f>
        <v/>
      </c>
      <c r="AN995" s="75">
        <f>SUMIFS([1]инфо!$G$15:$G$28,[1]инфо!$A$15:$A$28,F995)</f>
        <v/>
      </c>
      <c r="AO995" s="64">
        <f>IF(H995=0,0,AA995/H995)</f>
        <v/>
      </c>
      <c r="AP995" s="76">
        <f>AO995-AN995</f>
        <v/>
      </c>
      <c r="AQ995" s="75">
        <f>SUMIFS([1]инфо!$H$15:$H$28,[1]инфо!$A$15:$A$28,F995)</f>
        <v/>
      </c>
      <c r="AR995" s="64">
        <f>IF(H994=0,0,AC995/H994)</f>
        <v/>
      </c>
      <c r="AS995" s="76">
        <f>AR995-AQ995</f>
        <v/>
      </c>
      <c r="AT995" s="75">
        <f>SUMIFS([1]инфо!$I$15:$I$28,[1]инфо!$A$15:$A$28,F995)</f>
        <v/>
      </c>
      <c r="AU995" s="62">
        <f>IF(H995=0,0,AD995/H995)</f>
        <v/>
      </c>
      <c r="AV995" s="76">
        <f>AU995-AT995</f>
        <v/>
      </c>
      <c r="AX995" s="70">
        <f>SUMIFS([1]инфо!$C$15:$C$28,[1]инфо!$A$15:$A$28,F995)*H994</f>
        <v/>
      </c>
    </row>
    <row r="996">
      <c r="A996" s="71">
        <f>A994+1</f>
        <v/>
      </c>
      <c r="B996" s="90" t="n"/>
      <c r="C996" s="52" t="n"/>
      <c r="D996" s="53" t="n"/>
      <c r="E996" s="91" t="n"/>
      <c r="F996" s="67" t="n"/>
      <c r="G996" s="58" t="n"/>
      <c r="H996" s="55" t="n"/>
      <c r="I996" s="55" t="n"/>
      <c r="J996" s="55" t="n"/>
      <c r="K996" s="55" t="n"/>
      <c r="L996" s="55" t="n"/>
      <c r="M996" s="55" t="n"/>
      <c r="N996" s="55" t="n"/>
      <c r="O996" s="58" t="n"/>
      <c r="P996" s="58" t="n"/>
      <c r="Q996" s="58" t="n"/>
      <c r="R996" s="58" t="n"/>
      <c r="S996" s="59">
        <f>SUM(O996:R996)</f>
        <v/>
      </c>
      <c r="T996" s="52" t="n"/>
      <c r="U996" s="53" t="n"/>
      <c r="V996" s="58" t="n"/>
      <c r="W996" s="58" t="n"/>
      <c r="X996" s="58" t="n"/>
      <c r="Y996" s="52" t="n"/>
      <c r="Z996" s="58" t="n"/>
      <c r="AA996" s="58" t="n"/>
      <c r="AB996" s="58" t="n"/>
      <c r="AC996" s="58" t="n"/>
      <c r="AD996" s="53" t="n"/>
      <c r="AE996" s="61">
        <f>SUMIFS([1]инфо!$D$15:$D$28,[1]инфо!$A$15:$A$28,F996)</f>
        <v/>
      </c>
      <c r="AF996" s="62">
        <f>IF(H996=0,0,N996/H996)</f>
        <v/>
      </c>
      <c r="AG996" s="63">
        <f>AF996-AE996</f>
        <v/>
      </c>
      <c r="AH996" s="61">
        <f>SUMIFS([1]инфо!$E$15:$E$28,[1]инфо!$A$15:$A$28,F996)</f>
        <v/>
      </c>
      <c r="AI996" s="64">
        <f>IF(H996=0,0,S996/H996)</f>
        <v/>
      </c>
      <c r="AJ996" s="63">
        <f>AI996-AH996</f>
        <v/>
      </c>
      <c r="AK996" s="61">
        <f>SUMIFS([1]инфо!$F$15:$F$28,[1]инфо!$A$15:$A$28,F996)</f>
        <v/>
      </c>
      <c r="AL996" s="64">
        <f>IF(H996=0,0,Y996/H996)</f>
        <v/>
      </c>
      <c r="AM996" s="63">
        <f>AL996-AK996</f>
        <v/>
      </c>
      <c r="AN996" s="61">
        <f>SUMIFS([1]инфо!$G$15:$G$28,[1]инфо!$A$15:$A$28,F996)</f>
        <v/>
      </c>
      <c r="AO996" s="64">
        <f>IF(H996=0,0,AA996/H996)</f>
        <v/>
      </c>
      <c r="AP996" s="63">
        <f>AO996-AN996</f>
        <v/>
      </c>
      <c r="AQ996" s="61">
        <f>SUMIFS([1]инфо!$H$15:$H$28,[1]инфо!$A$15:$A$28,F996)</f>
        <v/>
      </c>
      <c r="AR996" s="62">
        <f>IF(H995=0,0,AC996/H995)</f>
        <v/>
      </c>
      <c r="AS996" s="63">
        <f>AR996-AQ996</f>
        <v/>
      </c>
      <c r="AT996" s="61">
        <f>SUMIFS([1]инфо!$I$15:$I$28,[1]инфо!$A$15:$A$28,F996)</f>
        <v/>
      </c>
      <c r="AU996" s="62">
        <f>IF(H996=0,0,AD996/H996)</f>
        <v/>
      </c>
      <c r="AV996" s="63">
        <f>AU996-AT996</f>
        <v/>
      </c>
      <c r="AX996" s="59">
        <f>SUMIFS([1]инфо!$C$15:$C$28,[1]инфо!$A$15:$A$28,F996)*H995</f>
        <v/>
      </c>
    </row>
    <row r="997">
      <c r="A997" s="71">
        <f>A995+1</f>
        <v/>
      </c>
      <c r="B997" s="90" t="n"/>
      <c r="C997" s="52" t="n"/>
      <c r="D997" s="53" t="n"/>
      <c r="E997" s="91" t="n"/>
      <c r="F997" s="67" t="n"/>
      <c r="G997" s="58" t="n"/>
      <c r="H997" s="56" t="n"/>
      <c r="I997" s="55" t="n"/>
      <c r="J997" s="55" t="n"/>
      <c r="K997" s="55" t="n"/>
      <c r="L997" s="55" t="n"/>
      <c r="M997" s="55" t="n"/>
      <c r="N997" s="55" t="n"/>
      <c r="O997" s="58" t="n"/>
      <c r="P997" s="58" t="n"/>
      <c r="Q997" s="58" t="n"/>
      <c r="R997" s="58" t="n"/>
      <c r="S997" s="59">
        <f>SUM(O997:R997)</f>
        <v/>
      </c>
      <c r="T997" s="52" t="n"/>
      <c r="U997" s="53" t="n"/>
      <c r="V997" s="58" t="n"/>
      <c r="W997" s="58" t="n"/>
      <c r="X997" s="58" t="n"/>
      <c r="Y997" s="52" t="n"/>
      <c r="Z997" s="58" t="n"/>
      <c r="AA997" s="58" t="n"/>
      <c r="AB997" s="58" t="n"/>
      <c r="AC997" s="58" t="n"/>
      <c r="AD997" s="53" t="n"/>
      <c r="AE997" s="61">
        <f>SUMIFS([1]инфо!$D$15:$D$28,[1]инфо!$A$15:$A$28,F997)</f>
        <v/>
      </c>
      <c r="AF997" s="62">
        <f>IF(H997=0,0,N997/H997)</f>
        <v/>
      </c>
      <c r="AG997" s="63">
        <f>AF997-AE997</f>
        <v/>
      </c>
      <c r="AH997" s="61">
        <f>SUMIFS([1]инфо!$E$15:$E$28,[1]инфо!$A$15:$A$28,F997)</f>
        <v/>
      </c>
      <c r="AI997" s="64">
        <f>IF(H997=0,0,S997/H997)</f>
        <v/>
      </c>
      <c r="AJ997" s="63">
        <f>AI997-AH997</f>
        <v/>
      </c>
      <c r="AK997" s="61">
        <f>SUMIFS([1]инфо!$F$15:$F$28,[1]инфо!$A$15:$A$28,F997)</f>
        <v/>
      </c>
      <c r="AL997" s="64">
        <f>IF(H997=0,0,Y997/H997)</f>
        <v/>
      </c>
      <c r="AM997" s="63">
        <f>AL997-AK997</f>
        <v/>
      </c>
      <c r="AN997" s="61">
        <f>SUMIFS([1]инфо!$G$15:$G$28,[1]инфо!$A$15:$A$28,F997)</f>
        <v/>
      </c>
      <c r="AO997" s="64">
        <f>IF(H997=0,0,AA997/H997)</f>
        <v/>
      </c>
      <c r="AP997" s="63">
        <f>AO997-AN997</f>
        <v/>
      </c>
      <c r="AQ997" s="61">
        <f>SUMIFS([1]инфо!$H$15:$H$28,[1]инфо!$A$15:$A$28,F997)</f>
        <v/>
      </c>
      <c r="AR997" s="62">
        <f>IF(H996=0,0,AC997/H996)</f>
        <v/>
      </c>
      <c r="AS997" s="63">
        <f>AR997-AQ997</f>
        <v/>
      </c>
      <c r="AT997" s="61">
        <f>SUMIFS([1]инфо!$I$15:$I$28,[1]инфо!$A$15:$A$28,F997)</f>
        <v/>
      </c>
      <c r="AU997" s="62">
        <f>IF(H997=0,0,AD997/H997)</f>
        <v/>
      </c>
      <c r="AV997" s="63">
        <f>AU997-AT997</f>
        <v/>
      </c>
      <c r="AX997" s="59">
        <f>SUMIFS([1]инфо!$C$15:$C$28,[1]инфо!$A$15:$A$28,F997)*H996</f>
        <v/>
      </c>
    </row>
    <row r="998">
      <c r="A998" s="71">
        <f>A996+1</f>
        <v/>
      </c>
      <c r="B998" s="88" t="n"/>
      <c r="C998" s="77" t="n"/>
      <c r="D998" s="78" t="n"/>
      <c r="E998" s="91" t="n"/>
      <c r="F998" s="67" t="n"/>
      <c r="G998" s="79" t="n"/>
      <c r="H998" s="67" t="n"/>
      <c r="I998" s="55" t="n"/>
      <c r="J998" s="55" t="n"/>
      <c r="K998" s="55" t="n"/>
      <c r="L998" s="55" t="n"/>
      <c r="M998" s="55" t="n"/>
      <c r="N998" s="56" t="n"/>
      <c r="O998" s="79" t="n"/>
      <c r="P998" s="79" t="n"/>
      <c r="Q998" s="79" t="n"/>
      <c r="R998" s="79" t="n"/>
      <c r="S998" s="80">
        <f>SUM(O998:R998)</f>
        <v/>
      </c>
      <c r="T998" s="77" t="n"/>
      <c r="U998" s="78" t="n"/>
      <c r="V998" s="79" t="n"/>
      <c r="W998" s="79" t="n"/>
      <c r="X998" s="79" t="n"/>
      <c r="Y998" s="77" t="n"/>
      <c r="Z998" s="79" t="n"/>
      <c r="AA998" s="79" t="n"/>
      <c r="AB998" s="79" t="n"/>
      <c r="AC998" s="79" t="n"/>
      <c r="AD998" s="78" t="n"/>
      <c r="AE998" s="81">
        <f>SUMIFS([1]инфо!$D$15:$D$28,[1]инфо!$A$15:$A$28,F998)</f>
        <v/>
      </c>
      <c r="AF998" s="62">
        <f>IF(H998=0,0,N998/H998)</f>
        <v/>
      </c>
      <c r="AG998" s="82">
        <f>AF998-AE998</f>
        <v/>
      </c>
      <c r="AH998" s="81">
        <f>SUMIFS([1]инфо!$E$15:$E$28,[1]инфо!$A$15:$A$28,F998)</f>
        <v/>
      </c>
      <c r="AI998" s="64">
        <f>IF(H998=0,0,S998/H998)</f>
        <v/>
      </c>
      <c r="AJ998" s="82">
        <f>AI998-AH998</f>
        <v/>
      </c>
      <c r="AK998" s="81">
        <f>SUMIFS([1]инфо!$F$15:$F$28,[1]инфо!$A$15:$A$28,F998)</f>
        <v/>
      </c>
      <c r="AL998" s="64">
        <f>IF(H998=0,0,Y998/H998)</f>
        <v/>
      </c>
      <c r="AM998" s="82">
        <f>AL998-AK998</f>
        <v/>
      </c>
      <c r="AN998" s="81">
        <f>SUMIFS([1]инфо!$G$15:$G$28,[1]инфо!$A$15:$A$28,F998)</f>
        <v/>
      </c>
      <c r="AO998" s="64">
        <f>IF(H998=0,0,AA998/H998)</f>
        <v/>
      </c>
      <c r="AP998" s="82">
        <f>AO998-AN998</f>
        <v/>
      </c>
      <c r="AQ998" s="81">
        <f>SUMIFS([1]инфо!$H$15:$H$28,[1]инфо!$A$15:$A$28,F998)</f>
        <v/>
      </c>
      <c r="AR998" s="85">
        <f>IF(H997=0,0,AC998/H997)</f>
        <v/>
      </c>
      <c r="AS998" s="82">
        <f>AR998-AQ998</f>
        <v/>
      </c>
      <c r="AT998" s="81">
        <f>SUMIFS([1]инфо!$I$15:$I$28,[1]инфо!$A$15:$A$28,F998)</f>
        <v/>
      </c>
      <c r="AU998" s="62">
        <f>IF(H998=0,0,AD998/H998)</f>
        <v/>
      </c>
      <c r="AV998" s="82">
        <f>AU998-AT998</f>
        <v/>
      </c>
      <c r="AX998" s="80">
        <f>SUMIFS([1]инфо!$C$15:$C$28,[1]инфо!$A$15:$A$28,F998)*H997</f>
        <v/>
      </c>
    </row>
    <row r="999">
      <c r="A999" s="71">
        <f>A997+1</f>
        <v/>
      </c>
      <c r="B999" s="89" t="n"/>
      <c r="C999" s="72" t="n"/>
      <c r="D999" s="73" t="n"/>
      <c r="E999" s="91" t="n"/>
      <c r="F999" s="67" t="n"/>
      <c r="G999" s="74" t="n"/>
      <c r="H999" s="55" t="n"/>
      <c r="I999" s="55" t="n"/>
      <c r="J999" s="55" t="n"/>
      <c r="K999" s="55" t="n"/>
      <c r="L999" s="55" t="n"/>
      <c r="M999" s="55" t="n"/>
      <c r="N999" s="67" t="n"/>
      <c r="O999" s="74" t="n"/>
      <c r="P999" s="74" t="n"/>
      <c r="Q999" s="74" t="n"/>
      <c r="R999" s="74" t="n"/>
      <c r="S999" s="70">
        <f>SUM(O999:R999)</f>
        <v/>
      </c>
      <c r="T999" s="72" t="n"/>
      <c r="U999" s="73" t="n"/>
      <c r="V999" s="74" t="n"/>
      <c r="W999" s="74" t="n"/>
      <c r="X999" s="74" t="n"/>
      <c r="Y999" s="72" t="n"/>
      <c r="Z999" s="74" t="n"/>
      <c r="AA999" s="74" t="n"/>
      <c r="AB999" s="74" t="n"/>
      <c r="AC999" s="74" t="n"/>
      <c r="AD999" s="73" t="n"/>
      <c r="AE999" s="75">
        <f>SUMIFS([1]инфо!$D$15:$D$28,[1]инфо!$A$15:$A$28,F999)</f>
        <v/>
      </c>
      <c r="AF999" s="62">
        <f>IF(H999=0,0,N999/H999)</f>
        <v/>
      </c>
      <c r="AG999" s="76">
        <f>AF999-AE999</f>
        <v/>
      </c>
      <c r="AH999" s="75">
        <f>SUMIFS([1]инфо!$E$15:$E$28,[1]инфо!$A$15:$A$28,F999)</f>
        <v/>
      </c>
      <c r="AI999" s="64">
        <f>IF(H999=0,0,S999/H999)</f>
        <v/>
      </c>
      <c r="AJ999" s="76">
        <f>AI999-AH999</f>
        <v/>
      </c>
      <c r="AK999" s="75">
        <f>SUMIFS([1]инфо!$F$15:$F$28,[1]инфо!$A$15:$A$28,F999)</f>
        <v/>
      </c>
      <c r="AL999" s="64">
        <f>IF(H999=0,0,Y999/H999)</f>
        <v/>
      </c>
      <c r="AM999" s="76">
        <f>AL999-AK999</f>
        <v/>
      </c>
      <c r="AN999" s="75">
        <f>SUMIFS([1]инфо!$G$15:$G$28,[1]инфо!$A$15:$A$28,F999)</f>
        <v/>
      </c>
      <c r="AO999" s="64">
        <f>IF(H999=0,0,AA999/H999)</f>
        <v/>
      </c>
      <c r="AP999" s="76">
        <f>AO999-AN999</f>
        <v/>
      </c>
      <c r="AQ999" s="75">
        <f>SUMIFS([1]инфо!$H$15:$H$28,[1]инфо!$A$15:$A$28,F999)</f>
        <v/>
      </c>
      <c r="AR999" s="64">
        <f>IF(H998=0,0,AC999/H998)</f>
        <v/>
      </c>
      <c r="AS999" s="76">
        <f>AR999-AQ999</f>
        <v/>
      </c>
      <c r="AT999" s="75">
        <f>SUMIFS([1]инфо!$I$15:$I$28,[1]инфо!$A$15:$A$28,F999)</f>
        <v/>
      </c>
      <c r="AU999" s="62">
        <f>IF(H999=0,0,AD999/H999)</f>
        <v/>
      </c>
      <c r="AV999" s="76">
        <f>AU999-AT999</f>
        <v/>
      </c>
      <c r="AX999" s="70">
        <f>SUMIFS([1]инфо!$C$15:$C$28,[1]инфо!$A$15:$A$28,F999)*H998</f>
        <v/>
      </c>
    </row>
    <row r="1000">
      <c r="A1000" s="71">
        <f>A998+1</f>
        <v/>
      </c>
      <c r="B1000" s="90" t="n"/>
      <c r="C1000" s="52" t="n"/>
      <c r="D1000" s="53" t="n"/>
      <c r="E1000" s="91" t="n"/>
      <c r="F1000" s="67" t="n"/>
      <c r="G1000" s="58" t="n"/>
      <c r="H1000" s="55" t="n"/>
      <c r="I1000" s="55" t="n"/>
      <c r="J1000" s="55" t="n"/>
      <c r="K1000" s="55" t="n"/>
      <c r="L1000" s="55" t="n"/>
      <c r="M1000" s="55" t="n"/>
      <c r="N1000" s="55" t="n"/>
      <c r="O1000" s="58" t="n"/>
      <c r="P1000" s="58" t="n"/>
      <c r="Q1000" s="58" t="n"/>
      <c r="R1000" s="58" t="n"/>
      <c r="S1000" s="59">
        <f>SUM(O1000:R1000)</f>
        <v/>
      </c>
      <c r="T1000" s="52" t="n"/>
      <c r="U1000" s="53" t="n"/>
      <c r="V1000" s="58" t="n"/>
      <c r="W1000" s="58" t="n"/>
      <c r="X1000" s="58" t="n"/>
      <c r="Y1000" s="52" t="n"/>
      <c r="Z1000" s="58" t="n"/>
      <c r="AA1000" s="58" t="n"/>
      <c r="AB1000" s="58" t="n"/>
      <c r="AC1000" s="58" t="n"/>
      <c r="AD1000" s="53" t="n"/>
      <c r="AE1000" s="61">
        <f>SUMIFS([1]инфо!$D$15:$D$28,[1]инфо!$A$15:$A$28,F1000)</f>
        <v/>
      </c>
      <c r="AF1000" s="62">
        <f>IF(H1000=0,0,N1000/H1000)</f>
        <v/>
      </c>
      <c r="AG1000" s="63">
        <f>AF1000-AE1000</f>
        <v/>
      </c>
      <c r="AH1000" s="61">
        <f>SUMIFS([1]инфо!$E$15:$E$28,[1]инфо!$A$15:$A$28,F1000)</f>
        <v/>
      </c>
      <c r="AI1000" s="64">
        <f>IF(H1000=0,0,S1000/H1000)</f>
        <v/>
      </c>
      <c r="AJ1000" s="63">
        <f>AI1000-AH1000</f>
        <v/>
      </c>
      <c r="AK1000" s="61">
        <f>SUMIFS([1]инфо!$F$15:$F$28,[1]инфо!$A$15:$A$28,F1000)</f>
        <v/>
      </c>
      <c r="AL1000" s="64">
        <f>IF(H1000=0,0,Y1000/H1000)</f>
        <v/>
      </c>
      <c r="AM1000" s="63">
        <f>AL1000-AK1000</f>
        <v/>
      </c>
      <c r="AN1000" s="61">
        <f>SUMIFS([1]инфо!$G$15:$G$28,[1]инфо!$A$15:$A$28,F1000)</f>
        <v/>
      </c>
      <c r="AO1000" s="64">
        <f>IF(H1000=0,0,AA1000/H1000)</f>
        <v/>
      </c>
      <c r="AP1000" s="63">
        <f>AO1000-AN1000</f>
        <v/>
      </c>
      <c r="AQ1000" s="61">
        <f>SUMIFS([1]инфо!$H$15:$H$28,[1]инфо!$A$15:$A$28,F1000)</f>
        <v/>
      </c>
      <c r="AR1000" s="62">
        <f>IF(H999=0,0,AC1000/H999)</f>
        <v/>
      </c>
      <c r="AS1000" s="63">
        <f>AR1000-AQ1000</f>
        <v/>
      </c>
      <c r="AT1000" s="61">
        <f>SUMIFS([1]инфо!$I$15:$I$28,[1]инфо!$A$15:$A$28,F1000)</f>
        <v/>
      </c>
      <c r="AU1000" s="62">
        <f>IF(H1000=0,0,AD1000/H1000)</f>
        <v/>
      </c>
      <c r="AV1000" s="63">
        <f>AU1000-AT1000</f>
        <v/>
      </c>
      <c r="AX1000" s="59">
        <f>SUMIFS([1]инфо!$C$15:$C$28,[1]инфо!$A$15:$A$28,F1000)*H999</f>
        <v/>
      </c>
    </row>
    <row r="1001">
      <c r="A1001" s="71">
        <f>A999+1</f>
        <v/>
      </c>
      <c r="B1001" s="90" t="n"/>
      <c r="C1001" s="52" t="n"/>
      <c r="D1001" s="53" t="n"/>
      <c r="E1001" s="91" t="n"/>
      <c r="F1001" s="67" t="n"/>
      <c r="G1001" s="58" t="n"/>
      <c r="H1001" s="56" t="n"/>
      <c r="I1001" s="55" t="n"/>
      <c r="J1001" s="55" t="n"/>
      <c r="K1001" s="55" t="n"/>
      <c r="L1001" s="55" t="n"/>
      <c r="M1001" s="55" t="n"/>
      <c r="N1001" s="55" t="n"/>
      <c r="O1001" s="58" t="n"/>
      <c r="P1001" s="58" t="n"/>
      <c r="Q1001" s="58" t="n"/>
      <c r="R1001" s="58" t="n"/>
      <c r="S1001" s="59">
        <f>SUM(O1001:R1001)</f>
        <v/>
      </c>
      <c r="T1001" s="52" t="n"/>
      <c r="U1001" s="53" t="n"/>
      <c r="V1001" s="58" t="n"/>
      <c r="W1001" s="58" t="n"/>
      <c r="X1001" s="58" t="n"/>
      <c r="Y1001" s="52" t="n"/>
      <c r="Z1001" s="58" t="n"/>
      <c r="AA1001" s="58" t="n"/>
      <c r="AB1001" s="58" t="n"/>
      <c r="AC1001" s="58" t="n"/>
      <c r="AD1001" s="53" t="n"/>
      <c r="AE1001" s="61">
        <f>SUMIFS([1]инфо!$D$15:$D$28,[1]инфо!$A$15:$A$28,F1001)</f>
        <v/>
      </c>
      <c r="AF1001" s="62">
        <f>IF(H1001=0,0,N1001/H1001)</f>
        <v/>
      </c>
      <c r="AG1001" s="63">
        <f>AF1001-AE1001</f>
        <v/>
      </c>
      <c r="AH1001" s="61">
        <f>SUMIFS([1]инфо!$E$15:$E$28,[1]инфо!$A$15:$A$28,F1001)</f>
        <v/>
      </c>
      <c r="AI1001" s="64">
        <f>IF(H1001=0,0,S1001/H1001)</f>
        <v/>
      </c>
      <c r="AJ1001" s="63">
        <f>AI1001-AH1001</f>
        <v/>
      </c>
      <c r="AK1001" s="61">
        <f>SUMIFS([1]инфо!$F$15:$F$28,[1]инфо!$A$15:$A$28,F1001)</f>
        <v/>
      </c>
      <c r="AL1001" s="64">
        <f>IF(H1001=0,0,Y1001/H1001)</f>
        <v/>
      </c>
      <c r="AM1001" s="63">
        <f>AL1001-AK1001</f>
        <v/>
      </c>
      <c r="AN1001" s="61">
        <f>SUMIFS([1]инфо!$G$15:$G$28,[1]инфо!$A$15:$A$28,F1001)</f>
        <v/>
      </c>
      <c r="AO1001" s="64">
        <f>IF(H1001=0,0,AA1001/H1001)</f>
        <v/>
      </c>
      <c r="AP1001" s="63">
        <f>AO1001-AN1001</f>
        <v/>
      </c>
      <c r="AQ1001" s="61">
        <f>SUMIFS([1]инфо!$H$15:$H$28,[1]инфо!$A$15:$A$28,F1001)</f>
        <v/>
      </c>
      <c r="AR1001" s="62">
        <f>IF(H1000=0,0,AC1001/H1000)</f>
        <v/>
      </c>
      <c r="AS1001" s="63">
        <f>AR1001-AQ1001</f>
        <v/>
      </c>
      <c r="AT1001" s="61">
        <f>SUMIFS([1]инфо!$I$15:$I$28,[1]инфо!$A$15:$A$28,F1001)</f>
        <v/>
      </c>
      <c r="AU1001" s="62">
        <f>IF(H1001=0,0,AD1001/H1001)</f>
        <v/>
      </c>
      <c r="AV1001" s="63">
        <f>AU1001-AT1001</f>
        <v/>
      </c>
      <c r="AX1001" s="59">
        <f>SUMIFS([1]инфо!$C$15:$C$28,[1]инфо!$A$15:$A$28,F1001)*H1000</f>
        <v/>
      </c>
    </row>
    <row r="1002">
      <c r="A1002" s="71">
        <f>A1000+1</f>
        <v/>
      </c>
      <c r="B1002" s="88" t="n"/>
      <c r="C1002" s="77" t="n"/>
      <c r="D1002" s="78" t="n"/>
      <c r="E1002" s="91" t="n"/>
      <c r="F1002" s="67" t="n"/>
      <c r="G1002" s="79" t="n"/>
      <c r="H1002" s="67" t="n"/>
      <c r="I1002" s="55" t="n"/>
      <c r="J1002" s="55" t="n"/>
      <c r="K1002" s="55" t="n"/>
      <c r="L1002" s="55" t="n"/>
      <c r="M1002" s="55" t="n"/>
      <c r="N1002" s="56" t="n"/>
      <c r="O1002" s="79" t="n"/>
      <c r="P1002" s="79" t="n"/>
      <c r="Q1002" s="79" t="n"/>
      <c r="R1002" s="79" t="n"/>
      <c r="S1002" s="80">
        <f>SUM(O1002:R1002)</f>
        <v/>
      </c>
      <c r="T1002" s="77" t="n"/>
      <c r="U1002" s="78" t="n"/>
      <c r="V1002" s="79" t="n"/>
      <c r="W1002" s="79" t="n"/>
      <c r="X1002" s="79" t="n"/>
      <c r="Y1002" s="77" t="n"/>
      <c r="Z1002" s="79" t="n"/>
      <c r="AA1002" s="79" t="n"/>
      <c r="AB1002" s="79" t="n"/>
      <c r="AC1002" s="79" t="n"/>
      <c r="AD1002" s="78" t="n"/>
      <c r="AE1002" s="81">
        <f>SUMIFS([1]инфо!$D$15:$D$28,[1]инфо!$A$15:$A$28,F1002)</f>
        <v/>
      </c>
      <c r="AF1002" s="62">
        <f>IF(H1002=0,0,N1002/H1002)</f>
        <v/>
      </c>
      <c r="AG1002" s="82">
        <f>AF1002-AE1002</f>
        <v/>
      </c>
      <c r="AH1002" s="81">
        <f>SUMIFS([1]инфо!$E$15:$E$28,[1]инфо!$A$15:$A$28,F1002)</f>
        <v/>
      </c>
      <c r="AI1002" s="64">
        <f>IF(H1002=0,0,S1002/H1002)</f>
        <v/>
      </c>
      <c r="AJ1002" s="82">
        <f>AI1002-AH1002</f>
        <v/>
      </c>
      <c r="AK1002" s="81">
        <f>SUMIFS([1]инфо!$F$15:$F$28,[1]инфо!$A$15:$A$28,F1002)</f>
        <v/>
      </c>
      <c r="AL1002" s="64">
        <f>IF(H1002=0,0,Y1002/H1002)</f>
        <v/>
      </c>
      <c r="AM1002" s="82">
        <f>AL1002-AK1002</f>
        <v/>
      </c>
      <c r="AN1002" s="81">
        <f>SUMIFS([1]инфо!$G$15:$G$28,[1]инфо!$A$15:$A$28,F1002)</f>
        <v/>
      </c>
      <c r="AO1002" s="64">
        <f>IF(H1002=0,0,AA1002/H1002)</f>
        <v/>
      </c>
      <c r="AP1002" s="82">
        <f>AO1002-AN1002</f>
        <v/>
      </c>
      <c r="AQ1002" s="81">
        <f>SUMIFS([1]инфо!$H$15:$H$28,[1]инфо!$A$15:$A$28,F1002)</f>
        <v/>
      </c>
      <c r="AR1002" s="85">
        <f>IF(H1001=0,0,AC1002/H1001)</f>
        <v/>
      </c>
      <c r="AS1002" s="82">
        <f>AR1002-AQ1002</f>
        <v/>
      </c>
      <c r="AT1002" s="81">
        <f>SUMIFS([1]инфо!$I$15:$I$28,[1]инфо!$A$15:$A$28,F1002)</f>
        <v/>
      </c>
      <c r="AU1002" s="62">
        <f>IF(H1002=0,0,AD1002/H1002)</f>
        <v/>
      </c>
      <c r="AV1002" s="82">
        <f>AU1002-AT1002</f>
        <v/>
      </c>
      <c r="AX1002" s="80">
        <f>SUMIFS([1]инфо!$C$15:$C$28,[1]инфо!$A$15:$A$28,F1002)*H1001</f>
        <v/>
      </c>
    </row>
    <row r="1003">
      <c r="A1003" s="71">
        <f>A1001+1</f>
        <v/>
      </c>
      <c r="B1003" s="89" t="n"/>
      <c r="C1003" s="72" t="n"/>
      <c r="D1003" s="73" t="n"/>
      <c r="E1003" s="91" t="n"/>
      <c r="F1003" s="67" t="n"/>
      <c r="G1003" s="74" t="n"/>
      <c r="H1003" s="55" t="n"/>
      <c r="I1003" s="55" t="n"/>
      <c r="J1003" s="55" t="n"/>
      <c r="K1003" s="55" t="n"/>
      <c r="L1003" s="55" t="n"/>
      <c r="M1003" s="55" t="n"/>
      <c r="N1003" s="67" t="n"/>
      <c r="O1003" s="74" t="n"/>
      <c r="P1003" s="74" t="n"/>
      <c r="Q1003" s="74" t="n"/>
      <c r="R1003" s="74" t="n"/>
      <c r="S1003" s="70">
        <f>SUM(O1003:R1003)</f>
        <v/>
      </c>
      <c r="T1003" s="72" t="n"/>
      <c r="U1003" s="73" t="n"/>
      <c r="V1003" s="74" t="n"/>
      <c r="W1003" s="74" t="n"/>
      <c r="X1003" s="74" t="n"/>
      <c r="Y1003" s="72" t="n"/>
      <c r="Z1003" s="74" t="n"/>
      <c r="AA1003" s="74" t="n"/>
      <c r="AB1003" s="74" t="n"/>
      <c r="AC1003" s="74" t="n"/>
      <c r="AD1003" s="73" t="n"/>
      <c r="AE1003" s="75">
        <f>SUMIFS([1]инфо!$D$15:$D$28,[1]инфо!$A$15:$A$28,F1003)</f>
        <v/>
      </c>
      <c r="AF1003" s="62">
        <f>IF(H1003=0,0,N1003/H1003)</f>
        <v/>
      </c>
      <c r="AG1003" s="76">
        <f>AF1003-AE1003</f>
        <v/>
      </c>
      <c r="AH1003" s="75">
        <f>SUMIFS([1]инфо!$E$15:$E$28,[1]инфо!$A$15:$A$28,F1003)</f>
        <v/>
      </c>
      <c r="AI1003" s="64">
        <f>IF(H1003=0,0,S1003/H1003)</f>
        <v/>
      </c>
      <c r="AJ1003" s="76">
        <f>AI1003-AH1003</f>
        <v/>
      </c>
      <c r="AK1003" s="75">
        <f>SUMIFS([1]инфо!$F$15:$F$28,[1]инфо!$A$15:$A$28,F1003)</f>
        <v/>
      </c>
      <c r="AL1003" s="64">
        <f>IF(H1003=0,0,Y1003/H1003)</f>
        <v/>
      </c>
      <c r="AM1003" s="76">
        <f>AL1003-AK1003</f>
        <v/>
      </c>
      <c r="AN1003" s="75">
        <f>SUMIFS([1]инфо!$G$15:$G$28,[1]инфо!$A$15:$A$28,F1003)</f>
        <v/>
      </c>
      <c r="AO1003" s="64">
        <f>IF(H1003=0,0,AA1003/H1003)</f>
        <v/>
      </c>
      <c r="AP1003" s="76">
        <f>AO1003-AN1003</f>
        <v/>
      </c>
      <c r="AQ1003" s="75">
        <f>SUMIFS([1]инфо!$H$15:$H$28,[1]инфо!$A$15:$A$28,F1003)</f>
        <v/>
      </c>
      <c r="AR1003" s="64">
        <f>IF(H1002=0,0,AC1003/H1002)</f>
        <v/>
      </c>
      <c r="AS1003" s="76">
        <f>AR1003-AQ1003</f>
        <v/>
      </c>
      <c r="AT1003" s="75">
        <f>SUMIFS([1]инфо!$I$15:$I$28,[1]инфо!$A$15:$A$28,F1003)</f>
        <v/>
      </c>
      <c r="AU1003" s="62">
        <f>IF(H1003=0,0,AD1003/H1003)</f>
        <v/>
      </c>
      <c r="AV1003" s="76">
        <f>AU1003-AT1003</f>
        <v/>
      </c>
      <c r="AX1003" s="70">
        <f>SUMIFS([1]инфо!$C$15:$C$28,[1]инфо!$A$15:$A$28,F1003)*H1002</f>
        <v/>
      </c>
    </row>
    <row r="1004">
      <c r="A1004" s="71">
        <f>A1002+1</f>
        <v/>
      </c>
      <c r="B1004" s="90" t="n"/>
      <c r="C1004" s="52" t="n"/>
      <c r="D1004" s="53" t="n"/>
      <c r="E1004" s="91" t="n"/>
      <c r="F1004" s="67" t="n"/>
      <c r="G1004" s="58" t="n"/>
      <c r="H1004" s="55" t="n"/>
      <c r="I1004" s="55" t="n"/>
      <c r="J1004" s="55" t="n"/>
      <c r="K1004" s="55" t="n"/>
      <c r="L1004" s="55" t="n"/>
      <c r="M1004" s="55" t="n"/>
      <c r="N1004" s="55" t="n"/>
      <c r="O1004" s="58" t="n"/>
      <c r="P1004" s="58" t="n"/>
      <c r="Q1004" s="58" t="n"/>
      <c r="R1004" s="58" t="n"/>
      <c r="S1004" s="59">
        <f>SUM(O1004:R1004)</f>
        <v/>
      </c>
      <c r="T1004" s="52" t="n"/>
      <c r="U1004" s="53" t="n"/>
      <c r="V1004" s="58" t="n"/>
      <c r="W1004" s="58" t="n"/>
      <c r="X1004" s="58" t="n"/>
      <c r="Y1004" s="52" t="n"/>
      <c r="Z1004" s="58" t="n"/>
      <c r="AA1004" s="58" t="n"/>
      <c r="AB1004" s="58" t="n"/>
      <c r="AC1004" s="58" t="n"/>
      <c r="AD1004" s="53" t="n"/>
      <c r="AE1004" s="61">
        <f>SUMIFS([1]инфо!$D$15:$D$28,[1]инфо!$A$15:$A$28,F1004)</f>
        <v/>
      </c>
      <c r="AF1004" s="62">
        <f>IF(H1004=0,0,N1004/H1004)</f>
        <v/>
      </c>
      <c r="AG1004" s="63">
        <f>AF1004-AE1004</f>
        <v/>
      </c>
      <c r="AH1004" s="61">
        <f>SUMIFS([1]инфо!$E$15:$E$28,[1]инфо!$A$15:$A$28,F1004)</f>
        <v/>
      </c>
      <c r="AI1004" s="64">
        <f>IF(H1004=0,0,S1004/H1004)</f>
        <v/>
      </c>
      <c r="AJ1004" s="63">
        <f>AI1004-AH1004</f>
        <v/>
      </c>
      <c r="AK1004" s="61">
        <f>SUMIFS([1]инфо!$F$15:$F$28,[1]инфо!$A$15:$A$28,F1004)</f>
        <v/>
      </c>
      <c r="AL1004" s="64">
        <f>IF(H1004=0,0,Y1004/H1004)</f>
        <v/>
      </c>
      <c r="AM1004" s="63">
        <f>AL1004-AK1004</f>
        <v/>
      </c>
      <c r="AN1004" s="61">
        <f>SUMIFS([1]инфо!$G$15:$G$28,[1]инфо!$A$15:$A$28,F1004)</f>
        <v/>
      </c>
      <c r="AO1004" s="64">
        <f>IF(H1004=0,0,AA1004/H1004)</f>
        <v/>
      </c>
      <c r="AP1004" s="63">
        <f>AO1004-AN1004</f>
        <v/>
      </c>
      <c r="AQ1004" s="61">
        <f>SUMIFS([1]инфо!$H$15:$H$28,[1]инфо!$A$15:$A$28,F1004)</f>
        <v/>
      </c>
      <c r="AR1004" s="62">
        <f>IF(H1003=0,0,AC1004/H1003)</f>
        <v/>
      </c>
      <c r="AS1004" s="63">
        <f>AR1004-AQ1004</f>
        <v/>
      </c>
      <c r="AT1004" s="61">
        <f>SUMIFS([1]инфо!$I$15:$I$28,[1]инфо!$A$15:$A$28,F1004)</f>
        <v/>
      </c>
      <c r="AU1004" s="62">
        <f>IF(H1004=0,0,AD1004/H1004)</f>
        <v/>
      </c>
      <c r="AV1004" s="63">
        <f>AU1004-AT1004</f>
        <v/>
      </c>
      <c r="AX1004" s="59">
        <f>SUMIFS([1]инфо!$C$15:$C$28,[1]инфо!$A$15:$A$28,F1004)*H1003</f>
        <v/>
      </c>
    </row>
    <row r="1005">
      <c r="A1005" s="71">
        <f>A1003+1</f>
        <v/>
      </c>
      <c r="B1005" s="90" t="n"/>
      <c r="C1005" s="52" t="n"/>
      <c r="D1005" s="53" t="n"/>
      <c r="E1005" s="91" t="n"/>
      <c r="F1005" s="67" t="n"/>
      <c r="G1005" s="58" t="n"/>
      <c r="H1005" s="56" t="n"/>
      <c r="I1005" s="55" t="n"/>
      <c r="J1005" s="55" t="n"/>
      <c r="K1005" s="55" t="n"/>
      <c r="L1005" s="55" t="n"/>
      <c r="M1005" s="55" t="n"/>
      <c r="N1005" s="55" t="n"/>
      <c r="O1005" s="58" t="n"/>
      <c r="P1005" s="58" t="n"/>
      <c r="Q1005" s="58" t="n"/>
      <c r="R1005" s="58" t="n"/>
      <c r="S1005" s="59">
        <f>SUM(O1005:R1005)</f>
        <v/>
      </c>
      <c r="T1005" s="52" t="n"/>
      <c r="U1005" s="53" t="n"/>
      <c r="V1005" s="58" t="n"/>
      <c r="W1005" s="58" t="n"/>
      <c r="X1005" s="58" t="n"/>
      <c r="Y1005" s="52" t="n"/>
      <c r="Z1005" s="58" t="n"/>
      <c r="AA1005" s="58" t="n"/>
      <c r="AB1005" s="58" t="n"/>
      <c r="AC1005" s="58" t="n"/>
      <c r="AD1005" s="53" t="n"/>
      <c r="AE1005" s="61">
        <f>SUMIFS([1]инфо!$D$15:$D$28,[1]инфо!$A$15:$A$28,F1005)</f>
        <v/>
      </c>
      <c r="AF1005" s="62">
        <f>IF(H1005=0,0,N1005/H1005)</f>
        <v/>
      </c>
      <c r="AG1005" s="63">
        <f>AF1005-AE1005</f>
        <v/>
      </c>
      <c r="AH1005" s="61">
        <f>SUMIFS([1]инфо!$E$15:$E$28,[1]инфо!$A$15:$A$28,F1005)</f>
        <v/>
      </c>
      <c r="AI1005" s="64">
        <f>IF(H1005=0,0,S1005/H1005)</f>
        <v/>
      </c>
      <c r="AJ1005" s="63">
        <f>AI1005-AH1005</f>
        <v/>
      </c>
      <c r="AK1005" s="61">
        <f>SUMIFS([1]инфо!$F$15:$F$28,[1]инфо!$A$15:$A$28,F1005)</f>
        <v/>
      </c>
      <c r="AL1005" s="64">
        <f>IF(H1005=0,0,Y1005/H1005)</f>
        <v/>
      </c>
      <c r="AM1005" s="63">
        <f>AL1005-AK1005</f>
        <v/>
      </c>
      <c r="AN1005" s="61">
        <f>SUMIFS([1]инфо!$G$15:$G$28,[1]инфо!$A$15:$A$28,F1005)</f>
        <v/>
      </c>
      <c r="AO1005" s="64">
        <f>IF(H1005=0,0,AA1005/H1005)</f>
        <v/>
      </c>
      <c r="AP1005" s="63">
        <f>AO1005-AN1005</f>
        <v/>
      </c>
      <c r="AQ1005" s="61">
        <f>SUMIFS([1]инфо!$H$15:$H$28,[1]инфо!$A$15:$A$28,F1005)</f>
        <v/>
      </c>
      <c r="AR1005" s="62">
        <f>IF(H1004=0,0,AC1005/H1004)</f>
        <v/>
      </c>
      <c r="AS1005" s="63">
        <f>AR1005-AQ1005</f>
        <v/>
      </c>
      <c r="AT1005" s="61">
        <f>SUMIFS([1]инфо!$I$15:$I$28,[1]инфо!$A$15:$A$28,F1005)</f>
        <v/>
      </c>
      <c r="AU1005" s="62">
        <f>IF(H1005=0,0,AD1005/H1005)</f>
        <v/>
      </c>
      <c r="AV1005" s="63">
        <f>AU1005-AT1005</f>
        <v/>
      </c>
      <c r="AX1005" s="59">
        <f>SUMIFS([1]инфо!$C$15:$C$28,[1]инфо!$A$15:$A$28,F1005)*H1004</f>
        <v/>
      </c>
    </row>
    <row r="1006">
      <c r="A1006" s="71">
        <f>A1004+1</f>
        <v/>
      </c>
      <c r="B1006" s="88" t="n"/>
      <c r="C1006" s="77" t="n"/>
      <c r="D1006" s="78" t="n"/>
      <c r="E1006" s="91" t="n"/>
      <c r="F1006" s="67" t="n"/>
      <c r="G1006" s="79" t="n"/>
      <c r="H1006" s="67" t="n"/>
      <c r="I1006" s="55" t="n"/>
      <c r="J1006" s="55" t="n"/>
      <c r="K1006" s="55" t="n"/>
      <c r="L1006" s="55" t="n"/>
      <c r="M1006" s="55" t="n"/>
      <c r="N1006" s="56" t="n"/>
      <c r="O1006" s="79" t="n"/>
      <c r="P1006" s="79" t="n"/>
      <c r="Q1006" s="79" t="n"/>
      <c r="R1006" s="79" t="n"/>
      <c r="S1006" s="80">
        <f>SUM(O1006:R1006)</f>
        <v/>
      </c>
      <c r="T1006" s="77" t="n"/>
      <c r="U1006" s="78" t="n"/>
      <c r="V1006" s="79" t="n"/>
      <c r="W1006" s="79" t="n"/>
      <c r="X1006" s="79" t="n"/>
      <c r="Y1006" s="77" t="n"/>
      <c r="Z1006" s="79" t="n"/>
      <c r="AA1006" s="79" t="n"/>
      <c r="AB1006" s="79" t="n"/>
      <c r="AC1006" s="79" t="n"/>
      <c r="AD1006" s="78" t="n"/>
      <c r="AE1006" s="81">
        <f>SUMIFS([1]инфо!$D$15:$D$28,[1]инфо!$A$15:$A$28,F1006)</f>
        <v/>
      </c>
      <c r="AF1006" s="62">
        <f>IF(H1006=0,0,N1006/H1006)</f>
        <v/>
      </c>
      <c r="AG1006" s="82">
        <f>AF1006-AE1006</f>
        <v/>
      </c>
      <c r="AH1006" s="81">
        <f>SUMIFS([1]инфо!$E$15:$E$28,[1]инфо!$A$15:$A$28,F1006)</f>
        <v/>
      </c>
      <c r="AI1006" s="64">
        <f>IF(H1006=0,0,S1006/H1006)</f>
        <v/>
      </c>
      <c r="AJ1006" s="82">
        <f>AI1006-AH1006</f>
        <v/>
      </c>
      <c r="AK1006" s="81">
        <f>SUMIFS([1]инфо!$F$15:$F$28,[1]инфо!$A$15:$A$28,F1006)</f>
        <v/>
      </c>
      <c r="AL1006" s="64">
        <f>IF(H1006=0,0,Y1006/H1006)</f>
        <v/>
      </c>
      <c r="AM1006" s="82">
        <f>AL1006-AK1006</f>
        <v/>
      </c>
      <c r="AN1006" s="81">
        <f>SUMIFS([1]инфо!$G$15:$G$28,[1]инфо!$A$15:$A$28,F1006)</f>
        <v/>
      </c>
      <c r="AO1006" s="64">
        <f>IF(H1006=0,0,AA1006/H1006)</f>
        <v/>
      </c>
      <c r="AP1006" s="82">
        <f>AO1006-AN1006</f>
        <v/>
      </c>
      <c r="AQ1006" s="81">
        <f>SUMIFS([1]инфо!$H$15:$H$28,[1]инфо!$A$15:$A$28,F1006)</f>
        <v/>
      </c>
      <c r="AR1006" s="85">
        <f>IF(H1005=0,0,AC1006/H1005)</f>
        <v/>
      </c>
      <c r="AS1006" s="82">
        <f>AR1006-AQ1006</f>
        <v/>
      </c>
      <c r="AT1006" s="81">
        <f>SUMIFS([1]инфо!$I$15:$I$28,[1]инфо!$A$15:$A$28,F1006)</f>
        <v/>
      </c>
      <c r="AU1006" s="62">
        <f>IF(H1006=0,0,AD1006/H1006)</f>
        <v/>
      </c>
      <c r="AV1006" s="82">
        <f>AU1006-AT1006</f>
        <v/>
      </c>
      <c r="AX1006" s="80">
        <f>SUMIFS([1]инфо!$C$15:$C$28,[1]инфо!$A$15:$A$28,F1006)*H1005</f>
        <v/>
      </c>
    </row>
    <row r="1007">
      <c r="A1007" s="71">
        <f>A1005+1</f>
        <v/>
      </c>
      <c r="B1007" s="89" t="n"/>
      <c r="C1007" s="72" t="n"/>
      <c r="D1007" s="73" t="n"/>
      <c r="E1007" s="91" t="n"/>
      <c r="F1007" s="67" t="n"/>
      <c r="G1007" s="74" t="n"/>
      <c r="H1007" s="55" t="n"/>
      <c r="I1007" s="55" t="n"/>
      <c r="J1007" s="55" t="n"/>
      <c r="K1007" s="55" t="n"/>
      <c r="L1007" s="55" t="n"/>
      <c r="M1007" s="55" t="n"/>
      <c r="N1007" s="67" t="n"/>
      <c r="O1007" s="74" t="n"/>
      <c r="P1007" s="74" t="n"/>
      <c r="Q1007" s="74" t="n"/>
      <c r="R1007" s="74" t="n"/>
      <c r="S1007" s="70">
        <f>SUM(O1007:R1007)</f>
        <v/>
      </c>
      <c r="T1007" s="72" t="n"/>
      <c r="U1007" s="73" t="n"/>
      <c r="V1007" s="74" t="n"/>
      <c r="W1007" s="74" t="n"/>
      <c r="X1007" s="74" t="n"/>
      <c r="Y1007" s="72" t="n"/>
      <c r="Z1007" s="74" t="n"/>
      <c r="AA1007" s="74" t="n"/>
      <c r="AB1007" s="74" t="n"/>
      <c r="AC1007" s="74" t="n"/>
      <c r="AD1007" s="73" t="n"/>
      <c r="AE1007" s="75">
        <f>SUMIFS([1]инфо!$D$15:$D$28,[1]инфо!$A$15:$A$28,F1007)</f>
        <v/>
      </c>
      <c r="AF1007" s="62">
        <f>IF(H1007=0,0,N1007/H1007)</f>
        <v/>
      </c>
      <c r="AG1007" s="76">
        <f>AF1007-AE1007</f>
        <v/>
      </c>
      <c r="AH1007" s="75">
        <f>SUMIFS([1]инфо!$E$15:$E$28,[1]инфо!$A$15:$A$28,F1007)</f>
        <v/>
      </c>
      <c r="AI1007" s="64">
        <f>IF(H1007=0,0,S1007/H1007)</f>
        <v/>
      </c>
      <c r="AJ1007" s="76">
        <f>AI1007-AH1007</f>
        <v/>
      </c>
      <c r="AK1007" s="75">
        <f>SUMIFS([1]инфо!$F$15:$F$28,[1]инфо!$A$15:$A$28,F1007)</f>
        <v/>
      </c>
      <c r="AL1007" s="64">
        <f>IF(H1007=0,0,Y1007/H1007)</f>
        <v/>
      </c>
      <c r="AM1007" s="76">
        <f>AL1007-AK1007</f>
        <v/>
      </c>
      <c r="AN1007" s="75">
        <f>SUMIFS([1]инфо!$G$15:$G$28,[1]инфо!$A$15:$A$28,F1007)</f>
        <v/>
      </c>
      <c r="AO1007" s="64">
        <f>IF(H1007=0,0,AA1007/H1007)</f>
        <v/>
      </c>
      <c r="AP1007" s="76">
        <f>AO1007-AN1007</f>
        <v/>
      </c>
      <c r="AQ1007" s="75">
        <f>SUMIFS([1]инфо!$H$15:$H$28,[1]инфо!$A$15:$A$28,F1007)</f>
        <v/>
      </c>
      <c r="AR1007" s="64">
        <f>IF(H1006=0,0,AC1007/H1006)</f>
        <v/>
      </c>
      <c r="AS1007" s="76">
        <f>AR1007-AQ1007</f>
        <v/>
      </c>
      <c r="AT1007" s="75">
        <f>SUMIFS([1]инфо!$I$15:$I$28,[1]инфо!$A$15:$A$28,F1007)</f>
        <v/>
      </c>
      <c r="AU1007" s="62">
        <f>IF(H1007=0,0,AD1007/H1007)</f>
        <v/>
      </c>
      <c r="AV1007" s="76">
        <f>AU1007-AT1007</f>
        <v/>
      </c>
      <c r="AX1007" s="70">
        <f>SUMIFS([1]инфо!$C$15:$C$28,[1]инфо!$A$15:$A$28,F1007)*H1006</f>
        <v/>
      </c>
    </row>
    <row r="1008">
      <c r="A1008" s="71">
        <f>A1006+1</f>
        <v/>
      </c>
      <c r="B1008" s="90" t="n"/>
      <c r="C1008" s="52" t="n"/>
      <c r="D1008" s="53" t="n"/>
      <c r="E1008" s="91" t="n"/>
      <c r="F1008" s="67" t="n"/>
      <c r="G1008" s="58" t="n"/>
      <c r="H1008" s="55" t="n"/>
      <c r="I1008" s="55" t="n"/>
      <c r="J1008" s="55" t="n"/>
      <c r="K1008" s="55" t="n"/>
      <c r="L1008" s="55" t="n"/>
      <c r="M1008" s="55" t="n"/>
      <c r="N1008" s="55" t="n"/>
      <c r="O1008" s="58" t="n"/>
      <c r="P1008" s="58" t="n"/>
      <c r="Q1008" s="58" t="n"/>
      <c r="R1008" s="58" t="n"/>
      <c r="S1008" s="59">
        <f>SUM(O1008:R1008)</f>
        <v/>
      </c>
      <c r="T1008" s="52" t="n"/>
      <c r="U1008" s="53" t="n"/>
      <c r="V1008" s="58" t="n"/>
      <c r="W1008" s="58" t="n"/>
      <c r="X1008" s="58" t="n"/>
      <c r="Y1008" s="52" t="n"/>
      <c r="Z1008" s="58" t="n"/>
      <c r="AA1008" s="58" t="n"/>
      <c r="AB1008" s="58" t="n"/>
      <c r="AC1008" s="58" t="n"/>
      <c r="AD1008" s="53" t="n"/>
      <c r="AE1008" s="61">
        <f>SUMIFS([1]инфо!$D$15:$D$28,[1]инфо!$A$15:$A$28,F1008)</f>
        <v/>
      </c>
      <c r="AF1008" s="62">
        <f>IF(H1008=0,0,N1008/H1008)</f>
        <v/>
      </c>
      <c r="AG1008" s="63">
        <f>AF1008-AE1008</f>
        <v/>
      </c>
      <c r="AH1008" s="61">
        <f>SUMIFS([1]инфо!$E$15:$E$28,[1]инфо!$A$15:$A$28,F1008)</f>
        <v/>
      </c>
      <c r="AI1008" s="64">
        <f>IF(H1008=0,0,S1008/H1008)</f>
        <v/>
      </c>
      <c r="AJ1008" s="63">
        <f>AI1008-AH1008</f>
        <v/>
      </c>
      <c r="AK1008" s="61">
        <f>SUMIFS([1]инфо!$F$15:$F$28,[1]инфо!$A$15:$A$28,F1008)</f>
        <v/>
      </c>
      <c r="AL1008" s="64">
        <f>IF(H1008=0,0,Y1008/H1008)</f>
        <v/>
      </c>
      <c r="AM1008" s="63">
        <f>AL1008-AK1008</f>
        <v/>
      </c>
      <c r="AN1008" s="61">
        <f>SUMIFS([1]инфо!$G$15:$G$28,[1]инфо!$A$15:$A$28,F1008)</f>
        <v/>
      </c>
      <c r="AO1008" s="64">
        <f>IF(H1008=0,0,AA1008/H1008)</f>
        <v/>
      </c>
      <c r="AP1008" s="63">
        <f>AO1008-AN1008</f>
        <v/>
      </c>
      <c r="AQ1008" s="61">
        <f>SUMIFS([1]инфо!$H$15:$H$28,[1]инфо!$A$15:$A$28,F1008)</f>
        <v/>
      </c>
      <c r="AR1008" s="62">
        <f>IF(H1007=0,0,AC1008/H1007)</f>
        <v/>
      </c>
      <c r="AS1008" s="63">
        <f>AR1008-AQ1008</f>
        <v/>
      </c>
      <c r="AT1008" s="61">
        <f>SUMIFS([1]инфо!$I$15:$I$28,[1]инфо!$A$15:$A$28,F1008)</f>
        <v/>
      </c>
      <c r="AU1008" s="62">
        <f>IF(H1008=0,0,AD1008/H1008)</f>
        <v/>
      </c>
      <c r="AV1008" s="63">
        <f>AU1008-AT1008</f>
        <v/>
      </c>
      <c r="AX1008" s="59">
        <f>SUMIFS([1]инфо!$C$15:$C$28,[1]инфо!$A$15:$A$28,F1008)*H1007</f>
        <v/>
      </c>
    </row>
    <row r="1009">
      <c r="A1009" s="71">
        <f>A1007+1</f>
        <v/>
      </c>
      <c r="B1009" s="90" t="n"/>
      <c r="C1009" s="52" t="n"/>
      <c r="D1009" s="53" t="n"/>
      <c r="E1009" s="91" t="n"/>
      <c r="F1009" s="67" t="n"/>
      <c r="G1009" s="58" t="n"/>
      <c r="H1009" s="56" t="n"/>
      <c r="I1009" s="55" t="n"/>
      <c r="J1009" s="55" t="n"/>
      <c r="K1009" s="55" t="n"/>
      <c r="L1009" s="55" t="n"/>
      <c r="M1009" s="55" t="n"/>
      <c r="N1009" s="55" t="n"/>
      <c r="O1009" s="58" t="n"/>
      <c r="P1009" s="58" t="n"/>
      <c r="Q1009" s="58" t="n"/>
      <c r="R1009" s="58" t="n"/>
      <c r="S1009" s="59">
        <f>SUM(O1009:R1009)</f>
        <v/>
      </c>
      <c r="T1009" s="52" t="n"/>
      <c r="U1009" s="53" t="n"/>
      <c r="V1009" s="58" t="n"/>
      <c r="W1009" s="58" t="n"/>
      <c r="X1009" s="58" t="n"/>
      <c r="Y1009" s="52" t="n"/>
      <c r="Z1009" s="58" t="n"/>
      <c r="AA1009" s="58" t="n"/>
      <c r="AB1009" s="58" t="n"/>
      <c r="AC1009" s="58" t="n"/>
      <c r="AD1009" s="53" t="n"/>
      <c r="AE1009" s="61">
        <f>SUMIFS([1]инфо!$D$15:$D$28,[1]инфо!$A$15:$A$28,F1009)</f>
        <v/>
      </c>
      <c r="AF1009" s="62">
        <f>IF(H1009=0,0,N1009/H1009)</f>
        <v/>
      </c>
      <c r="AG1009" s="63">
        <f>AF1009-AE1009</f>
        <v/>
      </c>
      <c r="AH1009" s="61">
        <f>SUMIFS([1]инфо!$E$15:$E$28,[1]инфо!$A$15:$A$28,F1009)</f>
        <v/>
      </c>
      <c r="AI1009" s="64">
        <f>IF(H1009=0,0,S1009/H1009)</f>
        <v/>
      </c>
      <c r="AJ1009" s="63">
        <f>AI1009-AH1009</f>
        <v/>
      </c>
      <c r="AK1009" s="61">
        <f>SUMIFS([1]инфо!$F$15:$F$28,[1]инфо!$A$15:$A$28,F1009)</f>
        <v/>
      </c>
      <c r="AL1009" s="64">
        <f>IF(H1009=0,0,Y1009/H1009)</f>
        <v/>
      </c>
      <c r="AM1009" s="63">
        <f>AL1009-AK1009</f>
        <v/>
      </c>
      <c r="AN1009" s="61">
        <f>SUMIFS([1]инфо!$G$15:$G$28,[1]инфо!$A$15:$A$28,F1009)</f>
        <v/>
      </c>
      <c r="AO1009" s="64">
        <f>IF(H1009=0,0,AA1009/H1009)</f>
        <v/>
      </c>
      <c r="AP1009" s="63">
        <f>AO1009-AN1009</f>
        <v/>
      </c>
      <c r="AQ1009" s="61">
        <f>SUMIFS([1]инфо!$H$15:$H$28,[1]инфо!$A$15:$A$28,F1009)</f>
        <v/>
      </c>
      <c r="AR1009" s="62">
        <f>IF(H1008=0,0,AC1009/H1008)</f>
        <v/>
      </c>
      <c r="AS1009" s="63">
        <f>AR1009-AQ1009</f>
        <v/>
      </c>
      <c r="AT1009" s="61">
        <f>SUMIFS([1]инфо!$I$15:$I$28,[1]инфо!$A$15:$A$28,F1009)</f>
        <v/>
      </c>
      <c r="AU1009" s="62">
        <f>IF(H1009=0,0,AD1009/H1009)</f>
        <v/>
      </c>
      <c r="AV1009" s="63">
        <f>AU1009-AT1009</f>
        <v/>
      </c>
      <c r="AX1009" s="59">
        <f>SUMIFS([1]инфо!$C$15:$C$28,[1]инфо!$A$15:$A$28,F1009)*H1008</f>
        <v/>
      </c>
    </row>
    <row r="1010">
      <c r="A1010" s="71">
        <f>A1008+1</f>
        <v/>
      </c>
      <c r="B1010" s="88" t="n"/>
      <c r="C1010" s="77" t="n"/>
      <c r="D1010" s="78" t="n"/>
      <c r="E1010" s="91" t="n"/>
      <c r="F1010" s="67" t="n"/>
      <c r="G1010" s="79" t="n"/>
      <c r="H1010" s="67" t="n"/>
      <c r="I1010" s="55" t="n"/>
      <c r="J1010" s="55" t="n"/>
      <c r="K1010" s="55" t="n"/>
      <c r="L1010" s="55" t="n"/>
      <c r="M1010" s="55" t="n"/>
      <c r="N1010" s="56" t="n"/>
      <c r="O1010" s="79" t="n"/>
      <c r="P1010" s="79" t="n"/>
      <c r="Q1010" s="79" t="n"/>
      <c r="R1010" s="79" t="n"/>
      <c r="S1010" s="80">
        <f>SUM(O1010:R1010)</f>
        <v/>
      </c>
      <c r="T1010" s="77" t="n"/>
      <c r="U1010" s="78" t="n"/>
      <c r="V1010" s="79" t="n"/>
      <c r="W1010" s="79" t="n"/>
      <c r="X1010" s="79" t="n"/>
      <c r="Y1010" s="77" t="n"/>
      <c r="Z1010" s="79" t="n"/>
      <c r="AA1010" s="79" t="n"/>
      <c r="AB1010" s="79" t="n"/>
      <c r="AC1010" s="79" t="n"/>
      <c r="AD1010" s="78" t="n"/>
      <c r="AE1010" s="81">
        <f>SUMIFS([1]инфо!$D$15:$D$28,[1]инфо!$A$15:$A$28,F1010)</f>
        <v/>
      </c>
      <c r="AF1010" s="62">
        <f>IF(H1010=0,0,N1010/H1010)</f>
        <v/>
      </c>
      <c r="AG1010" s="82">
        <f>AF1010-AE1010</f>
        <v/>
      </c>
      <c r="AH1010" s="81">
        <f>SUMIFS([1]инфо!$E$15:$E$28,[1]инфо!$A$15:$A$28,F1010)</f>
        <v/>
      </c>
      <c r="AI1010" s="64">
        <f>IF(H1010=0,0,S1010/H1010)</f>
        <v/>
      </c>
      <c r="AJ1010" s="82">
        <f>AI1010-AH1010</f>
        <v/>
      </c>
      <c r="AK1010" s="81">
        <f>SUMIFS([1]инфо!$F$15:$F$28,[1]инфо!$A$15:$A$28,F1010)</f>
        <v/>
      </c>
      <c r="AL1010" s="64">
        <f>IF(H1010=0,0,Y1010/H1010)</f>
        <v/>
      </c>
      <c r="AM1010" s="82">
        <f>AL1010-AK1010</f>
        <v/>
      </c>
      <c r="AN1010" s="81">
        <f>SUMIFS([1]инфо!$G$15:$G$28,[1]инфо!$A$15:$A$28,F1010)</f>
        <v/>
      </c>
      <c r="AO1010" s="64">
        <f>IF(H1010=0,0,AA1010/H1010)</f>
        <v/>
      </c>
      <c r="AP1010" s="82">
        <f>AO1010-AN1010</f>
        <v/>
      </c>
      <c r="AQ1010" s="81">
        <f>SUMIFS([1]инфо!$H$15:$H$28,[1]инфо!$A$15:$A$28,F1010)</f>
        <v/>
      </c>
      <c r="AR1010" s="85">
        <f>IF(H1009=0,0,AC1010/H1009)</f>
        <v/>
      </c>
      <c r="AS1010" s="82">
        <f>AR1010-AQ1010</f>
        <v/>
      </c>
      <c r="AT1010" s="81">
        <f>SUMIFS([1]инфо!$I$15:$I$28,[1]инфо!$A$15:$A$28,F1010)</f>
        <v/>
      </c>
      <c r="AU1010" s="62">
        <f>IF(H1010=0,0,AD1010/H1010)</f>
        <v/>
      </c>
      <c r="AV1010" s="82">
        <f>AU1010-AT1010</f>
        <v/>
      </c>
      <c r="AX1010" s="80">
        <f>SUMIFS([1]инфо!$C$15:$C$28,[1]инфо!$A$15:$A$28,F1010)*H1009</f>
        <v/>
      </c>
    </row>
    <row r="1011">
      <c r="A1011" s="71">
        <f>A1009+1</f>
        <v/>
      </c>
      <c r="B1011" s="89" t="n"/>
      <c r="C1011" s="72" t="n"/>
      <c r="D1011" s="73" t="n"/>
      <c r="E1011" s="91" t="n"/>
      <c r="F1011" s="67" t="n"/>
      <c r="G1011" s="74" t="n"/>
      <c r="H1011" s="55" t="n"/>
      <c r="I1011" s="55" t="n"/>
      <c r="J1011" s="55" t="n"/>
      <c r="K1011" s="55" t="n"/>
      <c r="L1011" s="55" t="n"/>
      <c r="M1011" s="55" t="n"/>
      <c r="N1011" s="67" t="n"/>
      <c r="O1011" s="74" t="n"/>
      <c r="P1011" s="74" t="n"/>
      <c r="Q1011" s="74" t="n"/>
      <c r="R1011" s="74" t="n"/>
      <c r="S1011" s="70">
        <f>SUM(O1011:R1011)</f>
        <v/>
      </c>
      <c r="T1011" s="72" t="n"/>
      <c r="U1011" s="73" t="n"/>
      <c r="V1011" s="74" t="n"/>
      <c r="W1011" s="74" t="n"/>
      <c r="X1011" s="74" t="n"/>
      <c r="Y1011" s="72" t="n"/>
      <c r="Z1011" s="74" t="n"/>
      <c r="AA1011" s="74" t="n"/>
      <c r="AB1011" s="74" t="n"/>
      <c r="AC1011" s="74" t="n"/>
      <c r="AD1011" s="73" t="n"/>
      <c r="AE1011" s="75">
        <f>SUMIFS([1]инфо!$D$15:$D$28,[1]инфо!$A$15:$A$28,F1011)</f>
        <v/>
      </c>
      <c r="AF1011" s="62">
        <f>IF(H1011=0,0,N1011/H1011)</f>
        <v/>
      </c>
      <c r="AG1011" s="76">
        <f>AF1011-AE1011</f>
        <v/>
      </c>
      <c r="AH1011" s="75">
        <f>SUMIFS([1]инфо!$E$15:$E$28,[1]инфо!$A$15:$A$28,F1011)</f>
        <v/>
      </c>
      <c r="AI1011" s="64">
        <f>IF(H1011=0,0,S1011/H1011)</f>
        <v/>
      </c>
      <c r="AJ1011" s="76">
        <f>AI1011-AH1011</f>
        <v/>
      </c>
      <c r="AK1011" s="75">
        <f>SUMIFS([1]инфо!$F$15:$F$28,[1]инфо!$A$15:$A$28,F1011)</f>
        <v/>
      </c>
      <c r="AL1011" s="64">
        <f>IF(H1011=0,0,Y1011/H1011)</f>
        <v/>
      </c>
      <c r="AM1011" s="76">
        <f>AL1011-AK1011</f>
        <v/>
      </c>
      <c r="AN1011" s="75">
        <f>SUMIFS([1]инфо!$G$15:$G$28,[1]инфо!$A$15:$A$28,F1011)</f>
        <v/>
      </c>
      <c r="AO1011" s="64">
        <f>IF(H1011=0,0,AA1011/H1011)</f>
        <v/>
      </c>
      <c r="AP1011" s="76">
        <f>AO1011-AN1011</f>
        <v/>
      </c>
      <c r="AQ1011" s="75">
        <f>SUMIFS([1]инфо!$H$15:$H$28,[1]инфо!$A$15:$A$28,F1011)</f>
        <v/>
      </c>
      <c r="AR1011" s="64">
        <f>IF(H1010=0,0,AC1011/H1010)</f>
        <v/>
      </c>
      <c r="AS1011" s="76">
        <f>AR1011-AQ1011</f>
        <v/>
      </c>
      <c r="AT1011" s="75">
        <f>SUMIFS([1]инфо!$I$15:$I$28,[1]инфо!$A$15:$A$28,F1011)</f>
        <v/>
      </c>
      <c r="AU1011" s="62">
        <f>IF(H1011=0,0,AD1011/H1011)</f>
        <v/>
      </c>
      <c r="AV1011" s="76">
        <f>AU1011-AT1011</f>
        <v/>
      </c>
      <c r="AX1011" s="70">
        <f>SUMIFS([1]инфо!$C$15:$C$28,[1]инфо!$A$15:$A$28,F1011)*H1010</f>
        <v/>
      </c>
    </row>
    <row r="1012">
      <c r="A1012" s="71">
        <f>A1010+1</f>
        <v/>
      </c>
      <c r="B1012" s="90" t="n"/>
      <c r="C1012" s="52" t="n"/>
      <c r="D1012" s="53" t="n"/>
      <c r="E1012" s="91" t="n"/>
      <c r="F1012" s="67" t="n"/>
      <c r="G1012" s="58" t="n"/>
      <c r="H1012" s="55" t="n"/>
      <c r="I1012" s="55" t="n"/>
      <c r="J1012" s="55" t="n"/>
      <c r="K1012" s="55" t="n"/>
      <c r="L1012" s="55" t="n"/>
      <c r="M1012" s="55" t="n"/>
      <c r="N1012" s="55" t="n"/>
      <c r="O1012" s="58" t="n"/>
      <c r="P1012" s="58" t="n"/>
      <c r="Q1012" s="58" t="n"/>
      <c r="R1012" s="58" t="n"/>
      <c r="S1012" s="59">
        <f>SUM(O1012:R1012)</f>
        <v/>
      </c>
      <c r="T1012" s="52" t="n"/>
      <c r="U1012" s="53" t="n"/>
      <c r="V1012" s="58" t="n"/>
      <c r="W1012" s="58" t="n"/>
      <c r="X1012" s="58" t="n"/>
      <c r="Y1012" s="52" t="n"/>
      <c r="Z1012" s="58" t="n"/>
      <c r="AA1012" s="58" t="n"/>
      <c r="AB1012" s="58" t="n"/>
      <c r="AC1012" s="58" t="n"/>
      <c r="AD1012" s="53" t="n"/>
      <c r="AE1012" s="61">
        <f>SUMIFS([1]инфо!$D$15:$D$28,[1]инфо!$A$15:$A$28,F1012)</f>
        <v/>
      </c>
      <c r="AF1012" s="62">
        <f>IF(H1012=0,0,N1012/H1012)</f>
        <v/>
      </c>
      <c r="AG1012" s="63">
        <f>AF1012-AE1012</f>
        <v/>
      </c>
      <c r="AH1012" s="61">
        <f>SUMIFS([1]инфо!$E$15:$E$28,[1]инфо!$A$15:$A$28,F1012)</f>
        <v/>
      </c>
      <c r="AI1012" s="64">
        <f>IF(H1012=0,0,S1012/H1012)</f>
        <v/>
      </c>
      <c r="AJ1012" s="63">
        <f>AI1012-AH1012</f>
        <v/>
      </c>
      <c r="AK1012" s="61">
        <f>SUMIFS([1]инфо!$F$15:$F$28,[1]инфо!$A$15:$A$28,F1012)</f>
        <v/>
      </c>
      <c r="AL1012" s="64">
        <f>IF(H1012=0,0,Y1012/H1012)</f>
        <v/>
      </c>
      <c r="AM1012" s="63">
        <f>AL1012-AK1012</f>
        <v/>
      </c>
      <c r="AN1012" s="61">
        <f>SUMIFS([1]инфо!$G$15:$G$28,[1]инфо!$A$15:$A$28,F1012)</f>
        <v/>
      </c>
      <c r="AO1012" s="64">
        <f>IF(H1012=0,0,AA1012/H1012)</f>
        <v/>
      </c>
      <c r="AP1012" s="63">
        <f>AO1012-AN1012</f>
        <v/>
      </c>
      <c r="AQ1012" s="61">
        <f>SUMIFS([1]инфо!$H$15:$H$28,[1]инфо!$A$15:$A$28,F1012)</f>
        <v/>
      </c>
      <c r="AR1012" s="62">
        <f>IF(H1011=0,0,AC1012/H1011)</f>
        <v/>
      </c>
      <c r="AS1012" s="63">
        <f>AR1012-AQ1012</f>
        <v/>
      </c>
      <c r="AT1012" s="61">
        <f>SUMIFS([1]инфо!$I$15:$I$28,[1]инфо!$A$15:$A$28,F1012)</f>
        <v/>
      </c>
      <c r="AU1012" s="62">
        <f>IF(H1012=0,0,AD1012/H1012)</f>
        <v/>
      </c>
      <c r="AV1012" s="63">
        <f>AU1012-AT1012</f>
        <v/>
      </c>
      <c r="AX1012" s="59">
        <f>SUMIFS([1]инфо!$C$15:$C$28,[1]инфо!$A$15:$A$28,F1012)*H1011</f>
        <v/>
      </c>
    </row>
    <row r="1013">
      <c r="A1013" s="71">
        <f>A1011+1</f>
        <v/>
      </c>
      <c r="B1013" s="90" t="n"/>
      <c r="C1013" s="52" t="n"/>
      <c r="D1013" s="53" t="n"/>
      <c r="E1013" s="91" t="n"/>
      <c r="F1013" s="67" t="n"/>
      <c r="G1013" s="58" t="n"/>
      <c r="H1013" s="56" t="n"/>
      <c r="I1013" s="55" t="n"/>
      <c r="J1013" s="55" t="n"/>
      <c r="K1013" s="55" t="n"/>
      <c r="L1013" s="55" t="n"/>
      <c r="M1013" s="55" t="n"/>
      <c r="N1013" s="55" t="n"/>
      <c r="O1013" s="58" t="n"/>
      <c r="P1013" s="58" t="n"/>
      <c r="Q1013" s="58" t="n"/>
      <c r="R1013" s="58" t="n"/>
      <c r="S1013" s="59">
        <f>SUM(O1013:R1013)</f>
        <v/>
      </c>
      <c r="T1013" s="52" t="n"/>
      <c r="U1013" s="53" t="n"/>
      <c r="V1013" s="58" t="n"/>
      <c r="W1013" s="58" t="n"/>
      <c r="X1013" s="58" t="n"/>
      <c r="Y1013" s="52" t="n"/>
      <c r="Z1013" s="58" t="n"/>
      <c r="AA1013" s="58" t="n"/>
      <c r="AB1013" s="58" t="n"/>
      <c r="AC1013" s="58" t="n"/>
      <c r="AD1013" s="53" t="n"/>
      <c r="AE1013" s="61">
        <f>SUMIFS([1]инфо!$D$15:$D$28,[1]инфо!$A$15:$A$28,F1013)</f>
        <v/>
      </c>
      <c r="AF1013" s="62">
        <f>IF(H1013=0,0,N1013/H1013)</f>
        <v/>
      </c>
      <c r="AG1013" s="63">
        <f>AF1013-AE1013</f>
        <v/>
      </c>
      <c r="AH1013" s="61">
        <f>SUMIFS([1]инфо!$E$15:$E$28,[1]инфо!$A$15:$A$28,F1013)</f>
        <v/>
      </c>
      <c r="AI1013" s="64">
        <f>IF(H1013=0,0,S1013/H1013)</f>
        <v/>
      </c>
      <c r="AJ1013" s="63">
        <f>AI1013-AH1013</f>
        <v/>
      </c>
      <c r="AK1013" s="61">
        <f>SUMIFS([1]инфо!$F$15:$F$28,[1]инфо!$A$15:$A$28,F1013)</f>
        <v/>
      </c>
      <c r="AL1013" s="64">
        <f>IF(H1013=0,0,Y1013/H1013)</f>
        <v/>
      </c>
      <c r="AM1013" s="63">
        <f>AL1013-AK1013</f>
        <v/>
      </c>
      <c r="AN1013" s="61">
        <f>SUMIFS([1]инфо!$G$15:$G$28,[1]инфо!$A$15:$A$28,F1013)</f>
        <v/>
      </c>
      <c r="AO1013" s="64">
        <f>IF(H1013=0,0,AA1013/H1013)</f>
        <v/>
      </c>
      <c r="AP1013" s="63">
        <f>AO1013-AN1013</f>
        <v/>
      </c>
      <c r="AQ1013" s="61">
        <f>SUMIFS([1]инфо!$H$15:$H$28,[1]инфо!$A$15:$A$28,F1013)</f>
        <v/>
      </c>
      <c r="AR1013" s="62">
        <f>IF(H1012=0,0,AC1013/H1012)</f>
        <v/>
      </c>
      <c r="AS1013" s="63">
        <f>AR1013-AQ1013</f>
        <v/>
      </c>
      <c r="AT1013" s="61">
        <f>SUMIFS([1]инфо!$I$15:$I$28,[1]инфо!$A$15:$A$28,F1013)</f>
        <v/>
      </c>
      <c r="AU1013" s="62">
        <f>IF(H1013=0,0,AD1013/H1013)</f>
        <v/>
      </c>
      <c r="AV1013" s="63">
        <f>AU1013-AT1013</f>
        <v/>
      </c>
      <c r="AX1013" s="59">
        <f>SUMIFS([1]инфо!$C$15:$C$28,[1]инфо!$A$15:$A$28,F1013)*H1012</f>
        <v/>
      </c>
    </row>
    <row r="1014">
      <c r="A1014" s="71">
        <f>A1012+1</f>
        <v/>
      </c>
      <c r="B1014" s="88" t="n"/>
      <c r="C1014" s="77" t="n"/>
      <c r="D1014" s="78" t="n"/>
      <c r="E1014" s="91" t="n"/>
      <c r="F1014" s="67" t="n"/>
      <c r="G1014" s="79" t="n"/>
      <c r="H1014" s="67" t="n"/>
      <c r="I1014" s="55" t="n"/>
      <c r="J1014" s="55" t="n"/>
      <c r="K1014" s="55" t="n"/>
      <c r="L1014" s="55" t="n"/>
      <c r="M1014" s="55" t="n"/>
      <c r="N1014" s="56" t="n"/>
      <c r="O1014" s="79" t="n"/>
      <c r="P1014" s="79" t="n"/>
      <c r="Q1014" s="79" t="n"/>
      <c r="R1014" s="79" t="n"/>
      <c r="S1014" s="80">
        <f>SUM(O1014:R1014)</f>
        <v/>
      </c>
      <c r="T1014" s="77" t="n"/>
      <c r="U1014" s="78" t="n"/>
      <c r="V1014" s="79" t="n"/>
      <c r="W1014" s="79" t="n"/>
      <c r="X1014" s="79" t="n"/>
      <c r="Y1014" s="77" t="n"/>
      <c r="Z1014" s="79" t="n"/>
      <c r="AA1014" s="79" t="n"/>
      <c r="AB1014" s="79" t="n"/>
      <c r="AC1014" s="79" t="n"/>
      <c r="AD1014" s="78" t="n"/>
      <c r="AE1014" s="81">
        <f>SUMIFS([1]инфо!$D$15:$D$28,[1]инфо!$A$15:$A$28,F1014)</f>
        <v/>
      </c>
      <c r="AF1014" s="62">
        <f>IF(H1014=0,0,N1014/H1014)</f>
        <v/>
      </c>
      <c r="AG1014" s="82">
        <f>AF1014-AE1014</f>
        <v/>
      </c>
      <c r="AH1014" s="81">
        <f>SUMIFS([1]инфо!$E$15:$E$28,[1]инфо!$A$15:$A$28,F1014)</f>
        <v/>
      </c>
      <c r="AI1014" s="64">
        <f>IF(H1014=0,0,S1014/H1014)</f>
        <v/>
      </c>
      <c r="AJ1014" s="82">
        <f>AI1014-AH1014</f>
        <v/>
      </c>
      <c r="AK1014" s="81">
        <f>SUMIFS([1]инфо!$F$15:$F$28,[1]инфо!$A$15:$A$28,F1014)</f>
        <v/>
      </c>
      <c r="AL1014" s="64">
        <f>IF(H1014=0,0,Y1014/H1014)</f>
        <v/>
      </c>
      <c r="AM1014" s="82">
        <f>AL1014-AK1014</f>
        <v/>
      </c>
      <c r="AN1014" s="81">
        <f>SUMIFS([1]инфо!$G$15:$G$28,[1]инфо!$A$15:$A$28,F1014)</f>
        <v/>
      </c>
      <c r="AO1014" s="64">
        <f>IF(H1014=0,0,AA1014/H1014)</f>
        <v/>
      </c>
      <c r="AP1014" s="82">
        <f>AO1014-AN1014</f>
        <v/>
      </c>
      <c r="AQ1014" s="81">
        <f>SUMIFS([1]инфо!$H$15:$H$28,[1]инфо!$A$15:$A$28,F1014)</f>
        <v/>
      </c>
      <c r="AR1014" s="85">
        <f>IF(H1013=0,0,AC1014/H1013)</f>
        <v/>
      </c>
      <c r="AS1014" s="82">
        <f>AR1014-AQ1014</f>
        <v/>
      </c>
      <c r="AT1014" s="81">
        <f>SUMIFS([1]инфо!$I$15:$I$28,[1]инфо!$A$15:$A$28,F1014)</f>
        <v/>
      </c>
      <c r="AU1014" s="62">
        <f>IF(H1014=0,0,AD1014/H1014)</f>
        <v/>
      </c>
      <c r="AV1014" s="82">
        <f>AU1014-AT1014</f>
        <v/>
      </c>
      <c r="AX1014" s="80">
        <f>SUMIFS([1]инфо!$C$15:$C$28,[1]инфо!$A$15:$A$28,F1014)*H1013</f>
        <v/>
      </c>
    </row>
    <row r="1015">
      <c r="A1015" s="71">
        <f>A1013+1</f>
        <v/>
      </c>
      <c r="B1015" s="89" t="n"/>
      <c r="C1015" s="72" t="n"/>
      <c r="D1015" s="73" t="n"/>
      <c r="E1015" s="91" t="n"/>
      <c r="F1015" s="67" t="n"/>
      <c r="G1015" s="74" t="n"/>
      <c r="H1015" s="55" t="n"/>
      <c r="I1015" s="55" t="n"/>
      <c r="J1015" s="55" t="n"/>
      <c r="K1015" s="55" t="n"/>
      <c r="L1015" s="55" t="n"/>
      <c r="M1015" s="55" t="n"/>
      <c r="N1015" s="67" t="n"/>
      <c r="O1015" s="74" t="n"/>
      <c r="P1015" s="74" t="n"/>
      <c r="Q1015" s="74" t="n"/>
      <c r="R1015" s="74" t="n"/>
      <c r="S1015" s="70">
        <f>SUM(O1015:R1015)</f>
        <v/>
      </c>
      <c r="T1015" s="72" t="n"/>
      <c r="U1015" s="73" t="n"/>
      <c r="V1015" s="74" t="n"/>
      <c r="W1015" s="74" t="n"/>
      <c r="X1015" s="74" t="n"/>
      <c r="Y1015" s="72" t="n"/>
      <c r="Z1015" s="74" t="n"/>
      <c r="AA1015" s="74" t="n"/>
      <c r="AB1015" s="74" t="n"/>
      <c r="AC1015" s="74" t="n"/>
      <c r="AD1015" s="73" t="n"/>
      <c r="AE1015" s="75">
        <f>SUMIFS([1]инфо!$D$15:$D$28,[1]инфо!$A$15:$A$28,F1015)</f>
        <v/>
      </c>
      <c r="AF1015" s="62">
        <f>IF(H1015=0,0,N1015/H1015)</f>
        <v/>
      </c>
      <c r="AG1015" s="76">
        <f>AF1015-AE1015</f>
        <v/>
      </c>
      <c r="AH1015" s="75">
        <f>SUMIFS([1]инфо!$E$15:$E$28,[1]инфо!$A$15:$A$28,F1015)</f>
        <v/>
      </c>
      <c r="AI1015" s="64">
        <f>IF(H1015=0,0,S1015/H1015)</f>
        <v/>
      </c>
      <c r="AJ1015" s="76">
        <f>AI1015-AH1015</f>
        <v/>
      </c>
      <c r="AK1015" s="75">
        <f>SUMIFS([1]инфо!$F$15:$F$28,[1]инфо!$A$15:$A$28,F1015)</f>
        <v/>
      </c>
      <c r="AL1015" s="64">
        <f>IF(H1015=0,0,Y1015/H1015)</f>
        <v/>
      </c>
      <c r="AM1015" s="76">
        <f>AL1015-AK1015</f>
        <v/>
      </c>
      <c r="AN1015" s="75">
        <f>SUMIFS([1]инфо!$G$15:$G$28,[1]инфо!$A$15:$A$28,F1015)</f>
        <v/>
      </c>
      <c r="AO1015" s="64">
        <f>IF(H1015=0,0,AA1015/H1015)</f>
        <v/>
      </c>
      <c r="AP1015" s="76">
        <f>AO1015-AN1015</f>
        <v/>
      </c>
      <c r="AQ1015" s="75">
        <f>SUMIFS([1]инфо!$H$15:$H$28,[1]инфо!$A$15:$A$28,F1015)</f>
        <v/>
      </c>
      <c r="AR1015" s="64">
        <f>IF(H1014=0,0,AC1015/H1014)</f>
        <v/>
      </c>
      <c r="AS1015" s="76">
        <f>AR1015-AQ1015</f>
        <v/>
      </c>
      <c r="AT1015" s="75">
        <f>SUMIFS([1]инфо!$I$15:$I$28,[1]инфо!$A$15:$A$28,F1015)</f>
        <v/>
      </c>
      <c r="AU1015" s="62">
        <f>IF(H1015=0,0,AD1015/H1015)</f>
        <v/>
      </c>
      <c r="AV1015" s="76">
        <f>AU1015-AT1015</f>
        <v/>
      </c>
      <c r="AX1015" s="70">
        <f>SUMIFS([1]инфо!$C$15:$C$28,[1]инфо!$A$15:$A$28,F1015)*H1014</f>
        <v/>
      </c>
    </row>
    <row r="1016">
      <c r="A1016" s="71">
        <f>A1014+1</f>
        <v/>
      </c>
      <c r="B1016" s="90" t="n"/>
      <c r="C1016" s="52" t="n"/>
      <c r="D1016" s="53" t="n"/>
      <c r="E1016" s="91" t="n"/>
      <c r="F1016" s="67" t="n"/>
      <c r="G1016" s="58" t="n"/>
      <c r="H1016" s="55" t="n"/>
      <c r="I1016" s="55" t="n"/>
      <c r="J1016" s="55" t="n"/>
      <c r="K1016" s="55" t="n"/>
      <c r="L1016" s="55" t="n"/>
      <c r="M1016" s="55" t="n"/>
      <c r="N1016" s="55" t="n"/>
      <c r="O1016" s="58" t="n"/>
      <c r="P1016" s="58" t="n"/>
      <c r="Q1016" s="58" t="n"/>
      <c r="R1016" s="58" t="n"/>
      <c r="S1016" s="59">
        <f>SUM(O1016:R1016)</f>
        <v/>
      </c>
      <c r="T1016" s="52" t="n"/>
      <c r="U1016" s="53" t="n"/>
      <c r="V1016" s="58" t="n"/>
      <c r="W1016" s="58" t="n"/>
      <c r="X1016" s="58" t="n"/>
      <c r="Y1016" s="52" t="n"/>
      <c r="Z1016" s="58" t="n"/>
      <c r="AA1016" s="58" t="n"/>
      <c r="AB1016" s="58" t="n"/>
      <c r="AC1016" s="58" t="n"/>
      <c r="AD1016" s="53" t="n"/>
      <c r="AE1016" s="61">
        <f>SUMIFS([1]инфо!$D$15:$D$28,[1]инфо!$A$15:$A$28,F1016)</f>
        <v/>
      </c>
      <c r="AF1016" s="62">
        <f>IF(H1016=0,0,N1016/H1016)</f>
        <v/>
      </c>
      <c r="AG1016" s="63">
        <f>AF1016-AE1016</f>
        <v/>
      </c>
      <c r="AH1016" s="61">
        <f>SUMIFS([1]инфо!$E$15:$E$28,[1]инфо!$A$15:$A$28,F1016)</f>
        <v/>
      </c>
      <c r="AI1016" s="64">
        <f>IF(H1016=0,0,S1016/H1016)</f>
        <v/>
      </c>
      <c r="AJ1016" s="63">
        <f>AI1016-AH1016</f>
        <v/>
      </c>
      <c r="AK1016" s="61">
        <f>SUMIFS([1]инфо!$F$15:$F$28,[1]инфо!$A$15:$A$28,F1016)</f>
        <v/>
      </c>
      <c r="AL1016" s="64">
        <f>IF(H1016=0,0,Y1016/H1016)</f>
        <v/>
      </c>
      <c r="AM1016" s="63">
        <f>AL1016-AK1016</f>
        <v/>
      </c>
      <c r="AN1016" s="61">
        <f>SUMIFS([1]инфо!$G$15:$G$28,[1]инфо!$A$15:$A$28,F1016)</f>
        <v/>
      </c>
      <c r="AO1016" s="64">
        <f>IF(H1016=0,0,AA1016/H1016)</f>
        <v/>
      </c>
      <c r="AP1016" s="63">
        <f>AO1016-AN1016</f>
        <v/>
      </c>
      <c r="AQ1016" s="61">
        <f>SUMIFS([1]инфо!$H$15:$H$28,[1]инфо!$A$15:$A$28,F1016)</f>
        <v/>
      </c>
      <c r="AR1016" s="62">
        <f>IF(H1015=0,0,AC1016/H1015)</f>
        <v/>
      </c>
      <c r="AS1016" s="63">
        <f>AR1016-AQ1016</f>
        <v/>
      </c>
      <c r="AT1016" s="61">
        <f>SUMIFS([1]инфо!$I$15:$I$28,[1]инфо!$A$15:$A$28,F1016)</f>
        <v/>
      </c>
      <c r="AU1016" s="62">
        <f>IF(H1016=0,0,AD1016/H1016)</f>
        <v/>
      </c>
      <c r="AV1016" s="63">
        <f>AU1016-AT1016</f>
        <v/>
      </c>
      <c r="AX1016" s="59">
        <f>SUMIFS([1]инфо!$C$15:$C$28,[1]инфо!$A$15:$A$28,F1016)*H1015</f>
        <v/>
      </c>
    </row>
    <row r="1017">
      <c r="A1017" s="71">
        <f>A1015+1</f>
        <v/>
      </c>
      <c r="B1017" s="90" t="n"/>
      <c r="C1017" s="52" t="n"/>
      <c r="D1017" s="53" t="n"/>
      <c r="E1017" s="91" t="n"/>
      <c r="F1017" s="67" t="n"/>
      <c r="G1017" s="58" t="n"/>
      <c r="H1017" s="56" t="n"/>
      <c r="I1017" s="55" t="n"/>
      <c r="J1017" s="55" t="n"/>
      <c r="K1017" s="55" t="n"/>
      <c r="L1017" s="55" t="n"/>
      <c r="M1017" s="55" t="n"/>
      <c r="N1017" s="55" t="n"/>
      <c r="O1017" s="58" t="n"/>
      <c r="P1017" s="58" t="n"/>
      <c r="Q1017" s="58" t="n"/>
      <c r="R1017" s="58" t="n"/>
      <c r="S1017" s="59">
        <f>SUM(O1017:R1017)</f>
        <v/>
      </c>
      <c r="T1017" s="52" t="n"/>
      <c r="U1017" s="53" t="n"/>
      <c r="V1017" s="58" t="n"/>
      <c r="W1017" s="58" t="n"/>
      <c r="X1017" s="58" t="n"/>
      <c r="Y1017" s="52" t="n"/>
      <c r="Z1017" s="58" t="n"/>
      <c r="AA1017" s="58" t="n"/>
      <c r="AB1017" s="58" t="n"/>
      <c r="AC1017" s="58" t="n"/>
      <c r="AD1017" s="53" t="n"/>
      <c r="AE1017" s="61">
        <f>SUMIFS([1]инфо!$D$15:$D$28,[1]инфо!$A$15:$A$28,F1017)</f>
        <v/>
      </c>
      <c r="AF1017" s="62">
        <f>IF(H1017=0,0,N1017/H1017)</f>
        <v/>
      </c>
      <c r="AG1017" s="63">
        <f>AF1017-AE1017</f>
        <v/>
      </c>
      <c r="AH1017" s="61">
        <f>SUMIFS([1]инфо!$E$15:$E$28,[1]инфо!$A$15:$A$28,F1017)</f>
        <v/>
      </c>
      <c r="AI1017" s="64">
        <f>IF(H1017=0,0,S1017/H1017)</f>
        <v/>
      </c>
      <c r="AJ1017" s="63">
        <f>AI1017-AH1017</f>
        <v/>
      </c>
      <c r="AK1017" s="61">
        <f>SUMIFS([1]инфо!$F$15:$F$28,[1]инфо!$A$15:$A$28,F1017)</f>
        <v/>
      </c>
      <c r="AL1017" s="64">
        <f>IF(H1017=0,0,Y1017/H1017)</f>
        <v/>
      </c>
      <c r="AM1017" s="63">
        <f>AL1017-AK1017</f>
        <v/>
      </c>
      <c r="AN1017" s="61">
        <f>SUMIFS([1]инфо!$G$15:$G$28,[1]инфо!$A$15:$A$28,F1017)</f>
        <v/>
      </c>
      <c r="AO1017" s="64">
        <f>IF(H1017=0,0,AA1017/H1017)</f>
        <v/>
      </c>
      <c r="AP1017" s="63">
        <f>AO1017-AN1017</f>
        <v/>
      </c>
      <c r="AQ1017" s="61">
        <f>SUMIFS([1]инфо!$H$15:$H$28,[1]инфо!$A$15:$A$28,F1017)</f>
        <v/>
      </c>
      <c r="AR1017" s="62">
        <f>IF(H1016=0,0,AC1017/H1016)</f>
        <v/>
      </c>
      <c r="AS1017" s="63">
        <f>AR1017-AQ1017</f>
        <v/>
      </c>
      <c r="AT1017" s="61">
        <f>SUMIFS([1]инфо!$I$15:$I$28,[1]инфо!$A$15:$A$28,F1017)</f>
        <v/>
      </c>
      <c r="AU1017" s="62">
        <f>IF(H1017=0,0,AD1017/H1017)</f>
        <v/>
      </c>
      <c r="AV1017" s="63">
        <f>AU1017-AT1017</f>
        <v/>
      </c>
      <c r="AX1017" s="59">
        <f>SUMIFS([1]инфо!$C$15:$C$28,[1]инфо!$A$15:$A$28,F1017)*H1016</f>
        <v/>
      </c>
    </row>
    <row r="1018">
      <c r="A1018" s="71">
        <f>A1016+1</f>
        <v/>
      </c>
      <c r="B1018" s="88" t="n"/>
      <c r="C1018" s="77" t="n"/>
      <c r="D1018" s="78" t="n"/>
      <c r="E1018" s="91" t="n"/>
      <c r="F1018" s="67" t="n"/>
      <c r="G1018" s="79" t="n"/>
      <c r="H1018" s="67" t="n"/>
      <c r="I1018" s="55" t="n"/>
      <c r="J1018" s="55" t="n"/>
      <c r="K1018" s="55" t="n"/>
      <c r="L1018" s="55" t="n"/>
      <c r="M1018" s="55" t="n"/>
      <c r="N1018" s="56" t="n"/>
      <c r="O1018" s="79" t="n"/>
      <c r="P1018" s="79" t="n"/>
      <c r="Q1018" s="79" t="n"/>
      <c r="R1018" s="79" t="n"/>
      <c r="S1018" s="80">
        <f>SUM(O1018:R1018)</f>
        <v/>
      </c>
      <c r="T1018" s="77" t="n"/>
      <c r="U1018" s="78" t="n"/>
      <c r="V1018" s="79" t="n"/>
      <c r="W1018" s="79" t="n"/>
      <c r="X1018" s="79" t="n"/>
      <c r="Y1018" s="77" t="n"/>
      <c r="Z1018" s="79" t="n"/>
      <c r="AA1018" s="79" t="n"/>
      <c r="AB1018" s="79" t="n"/>
      <c r="AC1018" s="79" t="n"/>
      <c r="AD1018" s="78" t="n"/>
      <c r="AE1018" s="81">
        <f>SUMIFS([1]инфо!$D$15:$D$28,[1]инфо!$A$15:$A$28,F1018)</f>
        <v/>
      </c>
      <c r="AF1018" s="62">
        <f>IF(H1018=0,0,N1018/H1018)</f>
        <v/>
      </c>
      <c r="AG1018" s="82">
        <f>AF1018-AE1018</f>
        <v/>
      </c>
      <c r="AH1018" s="81">
        <f>SUMIFS([1]инфо!$E$15:$E$28,[1]инфо!$A$15:$A$28,F1018)</f>
        <v/>
      </c>
      <c r="AI1018" s="64">
        <f>IF(H1018=0,0,S1018/H1018)</f>
        <v/>
      </c>
      <c r="AJ1018" s="82">
        <f>AI1018-AH1018</f>
        <v/>
      </c>
      <c r="AK1018" s="81">
        <f>SUMIFS([1]инфо!$F$15:$F$28,[1]инфо!$A$15:$A$28,F1018)</f>
        <v/>
      </c>
      <c r="AL1018" s="64">
        <f>IF(H1018=0,0,Y1018/H1018)</f>
        <v/>
      </c>
      <c r="AM1018" s="82">
        <f>AL1018-AK1018</f>
        <v/>
      </c>
      <c r="AN1018" s="81">
        <f>SUMIFS([1]инфо!$G$15:$G$28,[1]инфо!$A$15:$A$28,F1018)</f>
        <v/>
      </c>
      <c r="AO1018" s="64">
        <f>IF(H1018=0,0,AA1018/H1018)</f>
        <v/>
      </c>
      <c r="AP1018" s="82">
        <f>AO1018-AN1018</f>
        <v/>
      </c>
      <c r="AQ1018" s="81">
        <f>SUMIFS([1]инфо!$H$15:$H$28,[1]инфо!$A$15:$A$28,F1018)</f>
        <v/>
      </c>
      <c r="AR1018" s="85">
        <f>IF(H1017=0,0,AC1018/H1017)</f>
        <v/>
      </c>
      <c r="AS1018" s="82">
        <f>AR1018-AQ1018</f>
        <v/>
      </c>
      <c r="AT1018" s="81">
        <f>SUMIFS([1]инфо!$I$15:$I$28,[1]инфо!$A$15:$A$28,F1018)</f>
        <v/>
      </c>
      <c r="AU1018" s="62">
        <f>IF(H1018=0,0,AD1018/H1018)</f>
        <v/>
      </c>
      <c r="AV1018" s="82">
        <f>AU1018-AT1018</f>
        <v/>
      </c>
      <c r="AX1018" s="80">
        <f>SUMIFS([1]инфо!$C$15:$C$28,[1]инфо!$A$15:$A$28,F1018)*H1017</f>
        <v/>
      </c>
    </row>
    <row r="1019">
      <c r="A1019" s="71">
        <f>A1017+1</f>
        <v/>
      </c>
      <c r="B1019" s="89" t="n"/>
      <c r="C1019" s="72" t="n"/>
      <c r="D1019" s="73" t="n"/>
      <c r="E1019" s="91" t="n"/>
      <c r="F1019" s="67" t="n"/>
      <c r="G1019" s="74" t="n"/>
      <c r="H1019" s="55" t="n"/>
      <c r="I1019" s="55" t="n"/>
      <c r="J1019" s="55" t="n"/>
      <c r="K1019" s="55" t="n"/>
      <c r="L1019" s="55" t="n"/>
      <c r="M1019" s="55" t="n"/>
      <c r="N1019" s="67" t="n"/>
      <c r="O1019" s="74" t="n"/>
      <c r="P1019" s="74" t="n"/>
      <c r="Q1019" s="74" t="n"/>
      <c r="R1019" s="74" t="n"/>
      <c r="S1019" s="70">
        <f>SUM(O1019:R1019)</f>
        <v/>
      </c>
      <c r="T1019" s="72" t="n"/>
      <c r="U1019" s="73" t="n"/>
      <c r="V1019" s="74" t="n"/>
      <c r="W1019" s="74" t="n"/>
      <c r="X1019" s="74" t="n"/>
      <c r="Y1019" s="72" t="n"/>
      <c r="Z1019" s="74" t="n"/>
      <c r="AA1019" s="74" t="n"/>
      <c r="AB1019" s="74" t="n"/>
      <c r="AC1019" s="74" t="n"/>
      <c r="AD1019" s="73" t="n"/>
      <c r="AE1019" s="75">
        <f>SUMIFS([1]инфо!$D$15:$D$28,[1]инфо!$A$15:$A$28,F1019)</f>
        <v/>
      </c>
      <c r="AF1019" s="62">
        <f>IF(H1019=0,0,N1019/H1019)</f>
        <v/>
      </c>
      <c r="AG1019" s="76">
        <f>AF1019-AE1019</f>
        <v/>
      </c>
      <c r="AH1019" s="75">
        <f>SUMIFS([1]инфо!$E$15:$E$28,[1]инфо!$A$15:$A$28,F1019)</f>
        <v/>
      </c>
      <c r="AI1019" s="64">
        <f>IF(H1019=0,0,S1019/H1019)</f>
        <v/>
      </c>
      <c r="AJ1019" s="76">
        <f>AI1019-AH1019</f>
        <v/>
      </c>
      <c r="AK1019" s="75">
        <f>SUMIFS([1]инфо!$F$15:$F$28,[1]инфо!$A$15:$A$28,F1019)</f>
        <v/>
      </c>
      <c r="AL1019" s="64">
        <f>IF(H1019=0,0,Y1019/H1019)</f>
        <v/>
      </c>
      <c r="AM1019" s="76">
        <f>AL1019-AK1019</f>
        <v/>
      </c>
      <c r="AN1019" s="75">
        <f>SUMIFS([1]инфо!$G$15:$G$28,[1]инфо!$A$15:$A$28,F1019)</f>
        <v/>
      </c>
      <c r="AO1019" s="64">
        <f>IF(H1019=0,0,AA1019/H1019)</f>
        <v/>
      </c>
      <c r="AP1019" s="76">
        <f>AO1019-AN1019</f>
        <v/>
      </c>
      <c r="AQ1019" s="75">
        <f>SUMIFS([1]инфо!$H$15:$H$28,[1]инфо!$A$15:$A$28,F1019)</f>
        <v/>
      </c>
      <c r="AR1019" s="64">
        <f>IF(H1018=0,0,AC1019/H1018)</f>
        <v/>
      </c>
      <c r="AS1019" s="76">
        <f>AR1019-AQ1019</f>
        <v/>
      </c>
      <c r="AT1019" s="75">
        <f>SUMIFS([1]инфо!$I$15:$I$28,[1]инфо!$A$15:$A$28,F1019)</f>
        <v/>
      </c>
      <c r="AU1019" s="62">
        <f>IF(H1019=0,0,AD1019/H1019)</f>
        <v/>
      </c>
      <c r="AV1019" s="76">
        <f>AU1019-AT1019</f>
        <v/>
      </c>
      <c r="AX1019" s="70">
        <f>SUMIFS([1]инфо!$C$15:$C$28,[1]инфо!$A$15:$A$28,F1019)*H1018</f>
        <v/>
      </c>
    </row>
    <row r="1020">
      <c r="A1020" s="71">
        <f>A1018+1</f>
        <v/>
      </c>
      <c r="B1020" s="90" t="n"/>
      <c r="C1020" s="52" t="n"/>
      <c r="D1020" s="53" t="n"/>
      <c r="E1020" s="91" t="n"/>
      <c r="F1020" s="67" t="n"/>
      <c r="G1020" s="58" t="n"/>
      <c r="H1020" s="55" t="n"/>
      <c r="I1020" s="55" t="n"/>
      <c r="J1020" s="55" t="n"/>
      <c r="K1020" s="55" t="n"/>
      <c r="L1020" s="55" t="n"/>
      <c r="M1020" s="55" t="n"/>
      <c r="N1020" s="55" t="n"/>
      <c r="O1020" s="58" t="n"/>
      <c r="P1020" s="58" t="n"/>
      <c r="Q1020" s="58" t="n"/>
      <c r="R1020" s="58" t="n"/>
      <c r="S1020" s="59">
        <f>SUM(O1020:R1020)</f>
        <v/>
      </c>
      <c r="T1020" s="52" t="n"/>
      <c r="U1020" s="53" t="n"/>
      <c r="V1020" s="58" t="n"/>
      <c r="W1020" s="58" t="n"/>
      <c r="X1020" s="58" t="n"/>
      <c r="Y1020" s="52" t="n"/>
      <c r="Z1020" s="58" t="n"/>
      <c r="AA1020" s="58" t="n"/>
      <c r="AB1020" s="58" t="n"/>
      <c r="AC1020" s="58" t="n"/>
      <c r="AD1020" s="53" t="n"/>
      <c r="AE1020" s="61">
        <f>SUMIFS([1]инфо!$D$15:$D$28,[1]инфо!$A$15:$A$28,F1020)</f>
        <v/>
      </c>
      <c r="AF1020" s="62">
        <f>IF(H1020=0,0,N1020/H1020)</f>
        <v/>
      </c>
      <c r="AG1020" s="63">
        <f>AF1020-AE1020</f>
        <v/>
      </c>
      <c r="AH1020" s="61">
        <f>SUMIFS([1]инфо!$E$15:$E$28,[1]инфо!$A$15:$A$28,F1020)</f>
        <v/>
      </c>
      <c r="AI1020" s="64">
        <f>IF(H1020=0,0,S1020/H1020)</f>
        <v/>
      </c>
      <c r="AJ1020" s="63">
        <f>AI1020-AH1020</f>
        <v/>
      </c>
      <c r="AK1020" s="61">
        <f>SUMIFS([1]инфо!$F$15:$F$28,[1]инфо!$A$15:$A$28,F1020)</f>
        <v/>
      </c>
      <c r="AL1020" s="64">
        <f>IF(H1020=0,0,Y1020/H1020)</f>
        <v/>
      </c>
      <c r="AM1020" s="63">
        <f>AL1020-AK1020</f>
        <v/>
      </c>
      <c r="AN1020" s="61">
        <f>SUMIFS([1]инфо!$G$15:$G$28,[1]инфо!$A$15:$A$28,F1020)</f>
        <v/>
      </c>
      <c r="AO1020" s="64">
        <f>IF(H1020=0,0,AA1020/H1020)</f>
        <v/>
      </c>
      <c r="AP1020" s="63">
        <f>AO1020-AN1020</f>
        <v/>
      </c>
      <c r="AQ1020" s="61">
        <f>SUMIFS([1]инфо!$H$15:$H$28,[1]инфо!$A$15:$A$28,F1020)</f>
        <v/>
      </c>
      <c r="AR1020" s="62">
        <f>IF(H1019=0,0,AC1020/H1019)</f>
        <v/>
      </c>
      <c r="AS1020" s="63">
        <f>AR1020-AQ1020</f>
        <v/>
      </c>
      <c r="AT1020" s="61">
        <f>SUMIFS([1]инфо!$I$15:$I$28,[1]инфо!$A$15:$A$28,F1020)</f>
        <v/>
      </c>
      <c r="AU1020" s="62">
        <f>IF(H1020=0,0,AD1020/H1020)</f>
        <v/>
      </c>
      <c r="AV1020" s="63">
        <f>AU1020-AT1020</f>
        <v/>
      </c>
      <c r="AX1020" s="59">
        <f>SUMIFS([1]инфо!$C$15:$C$28,[1]инфо!$A$15:$A$28,F1020)*H1019</f>
        <v/>
      </c>
    </row>
    <row r="1021">
      <c r="A1021" s="71">
        <f>A1019+1</f>
        <v/>
      </c>
      <c r="B1021" s="90" t="n"/>
      <c r="C1021" s="52" t="n"/>
      <c r="D1021" s="53" t="n"/>
      <c r="E1021" s="91" t="n"/>
      <c r="F1021" s="67" t="n"/>
      <c r="G1021" s="58" t="n"/>
      <c r="H1021" s="56" t="n"/>
      <c r="I1021" s="55" t="n"/>
      <c r="J1021" s="55" t="n"/>
      <c r="K1021" s="55" t="n"/>
      <c r="L1021" s="55" t="n"/>
      <c r="M1021" s="55" t="n"/>
      <c r="N1021" s="55" t="n"/>
      <c r="O1021" s="58" t="n"/>
      <c r="P1021" s="58" t="n"/>
      <c r="Q1021" s="58" t="n"/>
      <c r="R1021" s="58" t="n"/>
      <c r="S1021" s="59">
        <f>SUM(O1021:R1021)</f>
        <v/>
      </c>
      <c r="T1021" s="52" t="n"/>
      <c r="U1021" s="53" t="n"/>
      <c r="V1021" s="58" t="n"/>
      <c r="W1021" s="58" t="n"/>
      <c r="X1021" s="58" t="n"/>
      <c r="Y1021" s="52" t="n"/>
      <c r="Z1021" s="58" t="n"/>
      <c r="AA1021" s="58" t="n"/>
      <c r="AB1021" s="58" t="n"/>
      <c r="AC1021" s="58" t="n"/>
      <c r="AD1021" s="53" t="n"/>
      <c r="AE1021" s="61">
        <f>SUMIFS([1]инфо!$D$15:$D$28,[1]инфо!$A$15:$A$28,F1021)</f>
        <v/>
      </c>
      <c r="AF1021" s="62">
        <f>IF(H1021=0,0,N1021/H1021)</f>
        <v/>
      </c>
      <c r="AG1021" s="63">
        <f>AF1021-AE1021</f>
        <v/>
      </c>
      <c r="AH1021" s="61">
        <f>SUMIFS([1]инфо!$E$15:$E$28,[1]инфо!$A$15:$A$28,F1021)</f>
        <v/>
      </c>
      <c r="AI1021" s="64">
        <f>IF(H1021=0,0,S1021/H1021)</f>
        <v/>
      </c>
      <c r="AJ1021" s="63">
        <f>AI1021-AH1021</f>
        <v/>
      </c>
      <c r="AK1021" s="61">
        <f>SUMIFS([1]инфо!$F$15:$F$28,[1]инфо!$A$15:$A$28,F1021)</f>
        <v/>
      </c>
      <c r="AL1021" s="64">
        <f>IF(H1021=0,0,Y1021/H1021)</f>
        <v/>
      </c>
      <c r="AM1021" s="63">
        <f>AL1021-AK1021</f>
        <v/>
      </c>
      <c r="AN1021" s="61">
        <f>SUMIFS([1]инфо!$G$15:$G$28,[1]инфо!$A$15:$A$28,F1021)</f>
        <v/>
      </c>
      <c r="AO1021" s="64">
        <f>IF(H1021=0,0,AA1021/H1021)</f>
        <v/>
      </c>
      <c r="AP1021" s="63">
        <f>AO1021-AN1021</f>
        <v/>
      </c>
      <c r="AQ1021" s="61">
        <f>SUMIFS([1]инфо!$H$15:$H$28,[1]инфо!$A$15:$A$28,F1021)</f>
        <v/>
      </c>
      <c r="AR1021" s="62">
        <f>IF(H1020=0,0,AC1021/H1020)</f>
        <v/>
      </c>
      <c r="AS1021" s="63">
        <f>AR1021-AQ1021</f>
        <v/>
      </c>
      <c r="AT1021" s="61">
        <f>SUMIFS([1]инфо!$I$15:$I$28,[1]инфо!$A$15:$A$28,F1021)</f>
        <v/>
      </c>
      <c r="AU1021" s="62">
        <f>IF(H1021=0,0,AD1021/H1021)</f>
        <v/>
      </c>
      <c r="AV1021" s="63">
        <f>AU1021-AT1021</f>
        <v/>
      </c>
      <c r="AX1021" s="59">
        <f>SUMIFS([1]инфо!$C$15:$C$28,[1]инфо!$A$15:$A$28,F1021)*H1020</f>
        <v/>
      </c>
    </row>
    <row r="1022">
      <c r="A1022" s="71">
        <f>A1020+1</f>
        <v/>
      </c>
      <c r="B1022" s="88" t="n"/>
      <c r="C1022" s="77" t="n"/>
      <c r="D1022" s="78" t="n"/>
      <c r="E1022" s="91" t="n"/>
      <c r="F1022" s="67" t="n"/>
      <c r="G1022" s="79" t="n"/>
      <c r="H1022" s="67" t="n"/>
      <c r="I1022" s="55" t="n"/>
      <c r="J1022" s="55" t="n"/>
      <c r="K1022" s="55" t="n"/>
      <c r="L1022" s="55" t="n"/>
      <c r="M1022" s="55" t="n"/>
      <c r="N1022" s="56" t="n"/>
      <c r="O1022" s="79" t="n"/>
      <c r="P1022" s="79" t="n"/>
      <c r="Q1022" s="79" t="n"/>
      <c r="R1022" s="79" t="n"/>
      <c r="S1022" s="80">
        <f>SUM(O1022:R1022)</f>
        <v/>
      </c>
      <c r="T1022" s="77" t="n"/>
      <c r="U1022" s="78" t="n"/>
      <c r="V1022" s="79" t="n"/>
      <c r="W1022" s="79" t="n"/>
      <c r="X1022" s="79" t="n"/>
      <c r="Y1022" s="77" t="n"/>
      <c r="Z1022" s="79" t="n"/>
      <c r="AA1022" s="79" t="n"/>
      <c r="AB1022" s="79" t="n"/>
      <c r="AC1022" s="79" t="n"/>
      <c r="AD1022" s="78" t="n"/>
      <c r="AE1022" s="81">
        <f>SUMIFS([1]инфо!$D$15:$D$28,[1]инфо!$A$15:$A$28,F1022)</f>
        <v/>
      </c>
      <c r="AF1022" s="62">
        <f>IF(H1022=0,0,N1022/H1022)</f>
        <v/>
      </c>
      <c r="AG1022" s="82">
        <f>AF1022-AE1022</f>
        <v/>
      </c>
      <c r="AH1022" s="81">
        <f>SUMIFS([1]инфо!$E$15:$E$28,[1]инфо!$A$15:$A$28,F1022)</f>
        <v/>
      </c>
      <c r="AI1022" s="64">
        <f>IF(H1022=0,0,S1022/H1022)</f>
        <v/>
      </c>
      <c r="AJ1022" s="82">
        <f>AI1022-AH1022</f>
        <v/>
      </c>
      <c r="AK1022" s="81">
        <f>SUMIFS([1]инфо!$F$15:$F$28,[1]инфо!$A$15:$A$28,F1022)</f>
        <v/>
      </c>
      <c r="AL1022" s="64">
        <f>IF(H1022=0,0,Y1022/H1022)</f>
        <v/>
      </c>
      <c r="AM1022" s="82">
        <f>AL1022-AK1022</f>
        <v/>
      </c>
      <c r="AN1022" s="81">
        <f>SUMIFS([1]инфо!$G$15:$G$28,[1]инфо!$A$15:$A$28,F1022)</f>
        <v/>
      </c>
      <c r="AO1022" s="64">
        <f>IF(H1022=0,0,AA1022/H1022)</f>
        <v/>
      </c>
      <c r="AP1022" s="82">
        <f>AO1022-AN1022</f>
        <v/>
      </c>
      <c r="AQ1022" s="81">
        <f>SUMIFS([1]инфо!$H$15:$H$28,[1]инфо!$A$15:$A$28,F1022)</f>
        <v/>
      </c>
      <c r="AR1022" s="85">
        <f>IF(H1021=0,0,AC1022/H1021)</f>
        <v/>
      </c>
      <c r="AS1022" s="82">
        <f>AR1022-AQ1022</f>
        <v/>
      </c>
      <c r="AT1022" s="81">
        <f>SUMIFS([1]инфо!$I$15:$I$28,[1]инфо!$A$15:$A$28,F1022)</f>
        <v/>
      </c>
      <c r="AU1022" s="62">
        <f>IF(H1022=0,0,AD1022/H1022)</f>
        <v/>
      </c>
      <c r="AV1022" s="82">
        <f>AU1022-AT1022</f>
        <v/>
      </c>
      <c r="AX1022" s="80">
        <f>SUMIFS([1]инфо!$C$15:$C$28,[1]инфо!$A$15:$A$28,F1022)*H1021</f>
        <v/>
      </c>
    </row>
    <row r="1023">
      <c r="A1023" s="71">
        <f>A1021+1</f>
        <v/>
      </c>
      <c r="B1023" s="89" t="n"/>
      <c r="C1023" s="72" t="n"/>
      <c r="D1023" s="73" t="n"/>
      <c r="E1023" s="91" t="n"/>
      <c r="F1023" s="67" t="n"/>
      <c r="G1023" s="74" t="n"/>
      <c r="H1023" s="55" t="n"/>
      <c r="I1023" s="55" t="n"/>
      <c r="J1023" s="55" t="n"/>
      <c r="K1023" s="55" t="n"/>
      <c r="L1023" s="55" t="n"/>
      <c r="M1023" s="55" t="n"/>
      <c r="N1023" s="67" t="n"/>
      <c r="O1023" s="74" t="n"/>
      <c r="P1023" s="74" t="n"/>
      <c r="Q1023" s="74" t="n"/>
      <c r="R1023" s="74" t="n"/>
      <c r="S1023" s="70">
        <f>SUM(O1023:R1023)</f>
        <v/>
      </c>
      <c r="T1023" s="72" t="n"/>
      <c r="U1023" s="73" t="n"/>
      <c r="V1023" s="74" t="n"/>
      <c r="W1023" s="74" t="n"/>
      <c r="X1023" s="74" t="n"/>
      <c r="Y1023" s="72" t="n"/>
      <c r="Z1023" s="74" t="n"/>
      <c r="AA1023" s="74" t="n"/>
      <c r="AB1023" s="74" t="n"/>
      <c r="AC1023" s="74" t="n"/>
      <c r="AD1023" s="73" t="n"/>
      <c r="AE1023" s="75">
        <f>SUMIFS([1]инфо!$D$15:$D$28,[1]инфо!$A$15:$A$28,F1023)</f>
        <v/>
      </c>
      <c r="AF1023" s="62">
        <f>IF(H1023=0,0,N1023/H1023)</f>
        <v/>
      </c>
      <c r="AG1023" s="76">
        <f>AF1023-AE1023</f>
        <v/>
      </c>
      <c r="AH1023" s="75">
        <f>SUMIFS([1]инфо!$E$15:$E$28,[1]инфо!$A$15:$A$28,F1023)</f>
        <v/>
      </c>
      <c r="AI1023" s="64">
        <f>IF(H1023=0,0,S1023/H1023)</f>
        <v/>
      </c>
      <c r="AJ1023" s="76">
        <f>AI1023-AH1023</f>
        <v/>
      </c>
      <c r="AK1023" s="75">
        <f>SUMIFS([1]инфо!$F$15:$F$28,[1]инфо!$A$15:$A$28,F1023)</f>
        <v/>
      </c>
      <c r="AL1023" s="64">
        <f>IF(H1023=0,0,Y1023/H1023)</f>
        <v/>
      </c>
      <c r="AM1023" s="76">
        <f>AL1023-AK1023</f>
        <v/>
      </c>
      <c r="AN1023" s="75">
        <f>SUMIFS([1]инфо!$G$15:$G$28,[1]инфо!$A$15:$A$28,F1023)</f>
        <v/>
      </c>
      <c r="AO1023" s="64">
        <f>IF(H1023=0,0,AA1023/H1023)</f>
        <v/>
      </c>
      <c r="AP1023" s="76">
        <f>AO1023-AN1023</f>
        <v/>
      </c>
      <c r="AQ1023" s="75">
        <f>SUMIFS([1]инфо!$H$15:$H$28,[1]инфо!$A$15:$A$28,F1023)</f>
        <v/>
      </c>
      <c r="AR1023" s="64">
        <f>IF(H1022=0,0,AC1023/H1022)</f>
        <v/>
      </c>
      <c r="AS1023" s="76">
        <f>AR1023-AQ1023</f>
        <v/>
      </c>
      <c r="AT1023" s="75">
        <f>SUMIFS([1]инфо!$I$15:$I$28,[1]инфо!$A$15:$A$28,F1023)</f>
        <v/>
      </c>
      <c r="AU1023" s="62">
        <f>IF(H1023=0,0,AD1023/H1023)</f>
        <v/>
      </c>
      <c r="AV1023" s="76">
        <f>AU1023-AT1023</f>
        <v/>
      </c>
      <c r="AX1023" s="70">
        <f>SUMIFS([1]инфо!$C$15:$C$28,[1]инфо!$A$15:$A$28,F1023)*H1022</f>
        <v/>
      </c>
    </row>
    <row r="1024">
      <c r="A1024" s="71">
        <f>A1022+1</f>
        <v/>
      </c>
      <c r="B1024" s="90" t="n"/>
      <c r="C1024" s="52" t="n"/>
      <c r="D1024" s="53" t="n"/>
      <c r="E1024" s="91" t="n"/>
      <c r="F1024" s="67" t="n"/>
      <c r="G1024" s="58" t="n"/>
      <c r="H1024" s="55" t="n"/>
      <c r="I1024" s="55" t="n"/>
      <c r="J1024" s="55" t="n"/>
      <c r="K1024" s="55" t="n"/>
      <c r="L1024" s="55" t="n"/>
      <c r="M1024" s="55" t="n"/>
      <c r="N1024" s="55" t="n"/>
      <c r="O1024" s="58" t="n"/>
      <c r="P1024" s="58" t="n"/>
      <c r="Q1024" s="58" t="n"/>
      <c r="R1024" s="58" t="n"/>
      <c r="S1024" s="59">
        <f>SUM(O1024:R1024)</f>
        <v/>
      </c>
      <c r="T1024" s="52" t="n"/>
      <c r="U1024" s="53" t="n"/>
      <c r="V1024" s="58" t="n"/>
      <c r="W1024" s="58" t="n"/>
      <c r="X1024" s="58" t="n"/>
      <c r="Y1024" s="52" t="n"/>
      <c r="Z1024" s="58" t="n"/>
      <c r="AA1024" s="58" t="n"/>
      <c r="AB1024" s="58" t="n"/>
      <c r="AC1024" s="58" t="n"/>
      <c r="AD1024" s="53" t="n"/>
      <c r="AE1024" s="61">
        <f>SUMIFS([1]инфо!$D$15:$D$28,[1]инфо!$A$15:$A$28,F1024)</f>
        <v/>
      </c>
      <c r="AF1024" s="62">
        <f>IF(H1024=0,0,N1024/H1024)</f>
        <v/>
      </c>
      <c r="AG1024" s="63">
        <f>AF1024-AE1024</f>
        <v/>
      </c>
      <c r="AH1024" s="61">
        <f>SUMIFS([1]инфо!$E$15:$E$28,[1]инфо!$A$15:$A$28,F1024)</f>
        <v/>
      </c>
      <c r="AI1024" s="64">
        <f>IF(H1024=0,0,S1024/H1024)</f>
        <v/>
      </c>
      <c r="AJ1024" s="63">
        <f>AI1024-AH1024</f>
        <v/>
      </c>
      <c r="AK1024" s="61">
        <f>SUMIFS([1]инфо!$F$15:$F$28,[1]инфо!$A$15:$A$28,F1024)</f>
        <v/>
      </c>
      <c r="AL1024" s="64">
        <f>IF(H1024=0,0,Y1024/H1024)</f>
        <v/>
      </c>
      <c r="AM1024" s="63">
        <f>AL1024-AK1024</f>
        <v/>
      </c>
      <c r="AN1024" s="61">
        <f>SUMIFS([1]инфо!$G$15:$G$28,[1]инфо!$A$15:$A$28,F1024)</f>
        <v/>
      </c>
      <c r="AO1024" s="64">
        <f>IF(H1024=0,0,AA1024/H1024)</f>
        <v/>
      </c>
      <c r="AP1024" s="63">
        <f>AO1024-AN1024</f>
        <v/>
      </c>
      <c r="AQ1024" s="61">
        <f>SUMIFS([1]инфо!$H$15:$H$28,[1]инфо!$A$15:$A$28,F1024)</f>
        <v/>
      </c>
      <c r="AR1024" s="62">
        <f>IF(H1023=0,0,AC1024/H1023)</f>
        <v/>
      </c>
      <c r="AS1024" s="63">
        <f>AR1024-AQ1024</f>
        <v/>
      </c>
      <c r="AT1024" s="61">
        <f>SUMIFS([1]инфо!$I$15:$I$28,[1]инфо!$A$15:$A$28,F1024)</f>
        <v/>
      </c>
      <c r="AU1024" s="62">
        <f>IF(H1024=0,0,AD1024/H1024)</f>
        <v/>
      </c>
      <c r="AV1024" s="63">
        <f>AU1024-AT1024</f>
        <v/>
      </c>
      <c r="AX1024" s="59">
        <f>SUMIFS([1]инфо!$C$15:$C$28,[1]инфо!$A$15:$A$28,F1024)*H1023</f>
        <v/>
      </c>
    </row>
    <row r="1025">
      <c r="A1025" s="71">
        <f>A1023+1</f>
        <v/>
      </c>
      <c r="B1025" s="90" t="n"/>
      <c r="C1025" s="52" t="n"/>
      <c r="D1025" s="53" t="n"/>
      <c r="E1025" s="91" t="n"/>
      <c r="F1025" s="67" t="n"/>
      <c r="G1025" s="58" t="n"/>
      <c r="H1025" s="56" t="n"/>
      <c r="I1025" s="55" t="n"/>
      <c r="J1025" s="55" t="n"/>
      <c r="K1025" s="55" t="n"/>
      <c r="L1025" s="55" t="n"/>
      <c r="M1025" s="55" t="n"/>
      <c r="N1025" s="55" t="n"/>
      <c r="O1025" s="58" t="n"/>
      <c r="P1025" s="58" t="n"/>
      <c r="Q1025" s="58" t="n"/>
      <c r="R1025" s="58" t="n"/>
      <c r="S1025" s="59">
        <f>SUM(O1025:R1025)</f>
        <v/>
      </c>
      <c r="T1025" s="52" t="n"/>
      <c r="U1025" s="53" t="n"/>
      <c r="V1025" s="58" t="n"/>
      <c r="W1025" s="58" t="n"/>
      <c r="X1025" s="58" t="n"/>
      <c r="Y1025" s="52" t="n"/>
      <c r="Z1025" s="58" t="n"/>
      <c r="AA1025" s="58" t="n"/>
      <c r="AB1025" s="58" t="n"/>
      <c r="AC1025" s="58" t="n"/>
      <c r="AD1025" s="53" t="n"/>
      <c r="AE1025" s="61">
        <f>SUMIFS([1]инфо!$D$15:$D$28,[1]инфо!$A$15:$A$28,F1025)</f>
        <v/>
      </c>
      <c r="AF1025" s="62">
        <f>IF(H1025=0,0,N1025/H1025)</f>
        <v/>
      </c>
      <c r="AG1025" s="63">
        <f>AF1025-AE1025</f>
        <v/>
      </c>
      <c r="AH1025" s="61">
        <f>SUMIFS([1]инфо!$E$15:$E$28,[1]инфо!$A$15:$A$28,F1025)</f>
        <v/>
      </c>
      <c r="AI1025" s="64">
        <f>IF(H1025=0,0,S1025/H1025)</f>
        <v/>
      </c>
      <c r="AJ1025" s="63">
        <f>AI1025-AH1025</f>
        <v/>
      </c>
      <c r="AK1025" s="61">
        <f>SUMIFS([1]инфо!$F$15:$F$28,[1]инфо!$A$15:$A$28,F1025)</f>
        <v/>
      </c>
      <c r="AL1025" s="64">
        <f>IF(H1025=0,0,Y1025/H1025)</f>
        <v/>
      </c>
      <c r="AM1025" s="63">
        <f>AL1025-AK1025</f>
        <v/>
      </c>
      <c r="AN1025" s="61">
        <f>SUMIFS([1]инфо!$G$15:$G$28,[1]инфо!$A$15:$A$28,F1025)</f>
        <v/>
      </c>
      <c r="AO1025" s="64">
        <f>IF(H1025=0,0,AA1025/H1025)</f>
        <v/>
      </c>
      <c r="AP1025" s="63">
        <f>AO1025-AN1025</f>
        <v/>
      </c>
      <c r="AQ1025" s="61">
        <f>SUMIFS([1]инфо!$H$15:$H$28,[1]инфо!$A$15:$A$28,F1025)</f>
        <v/>
      </c>
      <c r="AR1025" s="62">
        <f>IF(H1024=0,0,AC1025/H1024)</f>
        <v/>
      </c>
      <c r="AS1025" s="63">
        <f>AR1025-AQ1025</f>
        <v/>
      </c>
      <c r="AT1025" s="61">
        <f>SUMIFS([1]инфо!$I$15:$I$28,[1]инфо!$A$15:$A$28,F1025)</f>
        <v/>
      </c>
      <c r="AU1025" s="62">
        <f>IF(H1025=0,0,AD1025/H1025)</f>
        <v/>
      </c>
      <c r="AV1025" s="63">
        <f>AU1025-AT1025</f>
        <v/>
      </c>
      <c r="AX1025" s="59">
        <f>SUMIFS([1]инфо!$C$15:$C$28,[1]инфо!$A$15:$A$28,F1025)*H1024</f>
        <v/>
      </c>
    </row>
    <row r="1026">
      <c r="A1026" s="71">
        <f>A1024+1</f>
        <v/>
      </c>
      <c r="B1026" s="88" t="n"/>
      <c r="C1026" s="77" t="n"/>
      <c r="D1026" s="78" t="n"/>
      <c r="E1026" s="91" t="n"/>
      <c r="F1026" s="67" t="n"/>
      <c r="G1026" s="79" t="n"/>
      <c r="H1026" s="67" t="n"/>
      <c r="I1026" s="55" t="n"/>
      <c r="J1026" s="55" t="n"/>
      <c r="K1026" s="55" t="n"/>
      <c r="L1026" s="55" t="n"/>
      <c r="M1026" s="55" t="n"/>
      <c r="N1026" s="56" t="n"/>
      <c r="O1026" s="79" t="n"/>
      <c r="P1026" s="79" t="n"/>
      <c r="Q1026" s="79" t="n"/>
      <c r="R1026" s="79" t="n"/>
      <c r="S1026" s="80">
        <f>SUM(O1026:R1026)</f>
        <v/>
      </c>
      <c r="T1026" s="77" t="n"/>
      <c r="U1026" s="78" t="n"/>
      <c r="V1026" s="79" t="n"/>
      <c r="W1026" s="79" t="n"/>
      <c r="X1026" s="79" t="n"/>
      <c r="Y1026" s="77" t="n"/>
      <c r="Z1026" s="79" t="n"/>
      <c r="AA1026" s="79" t="n"/>
      <c r="AB1026" s="79" t="n"/>
      <c r="AC1026" s="79" t="n"/>
      <c r="AD1026" s="78" t="n"/>
      <c r="AE1026" s="81">
        <f>SUMIFS([1]инфо!$D$15:$D$28,[1]инфо!$A$15:$A$28,F1026)</f>
        <v/>
      </c>
      <c r="AF1026" s="62">
        <f>IF(H1026=0,0,N1026/H1026)</f>
        <v/>
      </c>
      <c r="AG1026" s="82">
        <f>AF1026-AE1026</f>
        <v/>
      </c>
      <c r="AH1026" s="81">
        <f>SUMIFS([1]инфо!$E$15:$E$28,[1]инфо!$A$15:$A$28,F1026)</f>
        <v/>
      </c>
      <c r="AI1026" s="64">
        <f>IF(H1026=0,0,S1026/H1026)</f>
        <v/>
      </c>
      <c r="AJ1026" s="82">
        <f>AI1026-AH1026</f>
        <v/>
      </c>
      <c r="AK1026" s="81">
        <f>SUMIFS([1]инфо!$F$15:$F$28,[1]инфо!$A$15:$A$28,F1026)</f>
        <v/>
      </c>
      <c r="AL1026" s="64">
        <f>IF(H1026=0,0,Y1026/H1026)</f>
        <v/>
      </c>
      <c r="AM1026" s="82">
        <f>AL1026-AK1026</f>
        <v/>
      </c>
      <c r="AN1026" s="81">
        <f>SUMIFS([1]инфо!$G$15:$G$28,[1]инфо!$A$15:$A$28,F1026)</f>
        <v/>
      </c>
      <c r="AO1026" s="64">
        <f>IF(H1026=0,0,AA1026/H1026)</f>
        <v/>
      </c>
      <c r="AP1026" s="82">
        <f>AO1026-AN1026</f>
        <v/>
      </c>
      <c r="AQ1026" s="81">
        <f>SUMIFS([1]инфо!$H$15:$H$28,[1]инфо!$A$15:$A$28,F1026)</f>
        <v/>
      </c>
      <c r="AR1026" s="85">
        <f>IF(H1025=0,0,AC1026/H1025)</f>
        <v/>
      </c>
      <c r="AS1026" s="82">
        <f>AR1026-AQ1026</f>
        <v/>
      </c>
      <c r="AT1026" s="81">
        <f>SUMIFS([1]инфо!$I$15:$I$28,[1]инфо!$A$15:$A$28,F1026)</f>
        <v/>
      </c>
      <c r="AU1026" s="62">
        <f>IF(H1026=0,0,AD1026/H1026)</f>
        <v/>
      </c>
      <c r="AV1026" s="82">
        <f>AU1026-AT1026</f>
        <v/>
      </c>
      <c r="AX1026" s="80">
        <f>SUMIFS([1]инфо!$C$15:$C$28,[1]инфо!$A$15:$A$28,F1026)*H1025</f>
        <v/>
      </c>
    </row>
    <row r="1027">
      <c r="A1027" s="71">
        <f>A1025+1</f>
        <v/>
      </c>
      <c r="B1027" s="89" t="n"/>
      <c r="C1027" s="72" t="n"/>
      <c r="D1027" s="73" t="n"/>
      <c r="E1027" s="91" t="n"/>
      <c r="F1027" s="67" t="n"/>
      <c r="G1027" s="74" t="n"/>
      <c r="H1027" s="55" t="n"/>
      <c r="I1027" s="55" t="n"/>
      <c r="J1027" s="55" t="n"/>
      <c r="K1027" s="55" t="n"/>
      <c r="L1027" s="55" t="n"/>
      <c r="M1027" s="55" t="n"/>
      <c r="N1027" s="67" t="n"/>
      <c r="O1027" s="74" t="n"/>
      <c r="P1027" s="74" t="n"/>
      <c r="Q1027" s="74" t="n"/>
      <c r="R1027" s="74" t="n"/>
      <c r="S1027" s="70">
        <f>SUM(O1027:R1027)</f>
        <v/>
      </c>
      <c r="T1027" s="72" t="n"/>
      <c r="U1027" s="73" t="n"/>
      <c r="V1027" s="74" t="n"/>
      <c r="W1027" s="74" t="n"/>
      <c r="X1027" s="74" t="n"/>
      <c r="Y1027" s="72" t="n"/>
      <c r="Z1027" s="74" t="n"/>
      <c r="AA1027" s="74" t="n"/>
      <c r="AB1027" s="74" t="n"/>
      <c r="AC1027" s="74" t="n"/>
      <c r="AD1027" s="73" t="n"/>
      <c r="AE1027" s="75">
        <f>SUMIFS([1]инфо!$D$15:$D$28,[1]инфо!$A$15:$A$28,F1027)</f>
        <v/>
      </c>
      <c r="AF1027" s="62">
        <f>IF(H1027=0,0,N1027/H1027)</f>
        <v/>
      </c>
      <c r="AG1027" s="76">
        <f>AF1027-AE1027</f>
        <v/>
      </c>
      <c r="AH1027" s="75">
        <f>SUMIFS([1]инфо!$E$15:$E$28,[1]инфо!$A$15:$A$28,F1027)</f>
        <v/>
      </c>
      <c r="AI1027" s="64">
        <f>IF(H1027=0,0,S1027/H1027)</f>
        <v/>
      </c>
      <c r="AJ1027" s="76">
        <f>AI1027-AH1027</f>
        <v/>
      </c>
      <c r="AK1027" s="75">
        <f>SUMIFS([1]инфо!$F$15:$F$28,[1]инфо!$A$15:$A$28,F1027)</f>
        <v/>
      </c>
      <c r="AL1027" s="64">
        <f>IF(H1027=0,0,Y1027/H1027)</f>
        <v/>
      </c>
      <c r="AM1027" s="76">
        <f>AL1027-AK1027</f>
        <v/>
      </c>
      <c r="AN1027" s="75">
        <f>SUMIFS([1]инфо!$G$15:$G$28,[1]инфо!$A$15:$A$28,F1027)</f>
        <v/>
      </c>
      <c r="AO1027" s="64">
        <f>IF(H1027=0,0,AA1027/H1027)</f>
        <v/>
      </c>
      <c r="AP1027" s="76">
        <f>AO1027-AN1027</f>
        <v/>
      </c>
      <c r="AQ1027" s="75">
        <f>SUMIFS([1]инфо!$H$15:$H$28,[1]инфо!$A$15:$A$28,F1027)</f>
        <v/>
      </c>
      <c r="AR1027" s="64">
        <f>IF(H1026=0,0,AC1027/H1026)</f>
        <v/>
      </c>
      <c r="AS1027" s="76">
        <f>AR1027-AQ1027</f>
        <v/>
      </c>
      <c r="AT1027" s="75">
        <f>SUMIFS([1]инфо!$I$15:$I$28,[1]инфо!$A$15:$A$28,F1027)</f>
        <v/>
      </c>
      <c r="AU1027" s="62">
        <f>IF(H1027=0,0,AD1027/H1027)</f>
        <v/>
      </c>
      <c r="AV1027" s="76">
        <f>AU1027-AT1027</f>
        <v/>
      </c>
      <c r="AX1027" s="70">
        <f>SUMIFS([1]инфо!$C$15:$C$28,[1]инфо!$A$15:$A$28,F1027)*H1026</f>
        <v/>
      </c>
    </row>
    <row r="1028">
      <c r="A1028" s="71">
        <f>A1026+1</f>
        <v/>
      </c>
      <c r="B1028" s="90" t="n"/>
      <c r="C1028" s="52" t="n"/>
      <c r="D1028" s="53" t="n"/>
      <c r="E1028" s="91" t="n"/>
      <c r="F1028" s="67" t="n"/>
      <c r="G1028" s="58" t="n"/>
      <c r="H1028" s="55" t="n"/>
      <c r="I1028" s="55" t="n"/>
      <c r="J1028" s="55" t="n"/>
      <c r="K1028" s="55" t="n"/>
      <c r="L1028" s="55" t="n"/>
      <c r="M1028" s="55" t="n"/>
      <c r="N1028" s="55" t="n"/>
      <c r="O1028" s="58" t="n"/>
      <c r="P1028" s="58" t="n"/>
      <c r="Q1028" s="58" t="n"/>
      <c r="R1028" s="58" t="n"/>
      <c r="S1028" s="59">
        <f>SUM(O1028:R1028)</f>
        <v/>
      </c>
      <c r="T1028" s="52" t="n"/>
      <c r="U1028" s="53" t="n"/>
      <c r="V1028" s="58" t="n"/>
      <c r="W1028" s="58" t="n"/>
      <c r="X1028" s="58" t="n"/>
      <c r="Y1028" s="52" t="n"/>
      <c r="Z1028" s="58" t="n"/>
      <c r="AA1028" s="58" t="n"/>
      <c r="AB1028" s="58" t="n"/>
      <c r="AC1028" s="58" t="n"/>
      <c r="AD1028" s="53" t="n"/>
      <c r="AE1028" s="61">
        <f>SUMIFS([1]инфо!$D$15:$D$28,[1]инфо!$A$15:$A$28,F1028)</f>
        <v/>
      </c>
      <c r="AF1028" s="62">
        <f>IF(H1028=0,0,N1028/H1028)</f>
        <v/>
      </c>
      <c r="AG1028" s="63">
        <f>AF1028-AE1028</f>
        <v/>
      </c>
      <c r="AH1028" s="61">
        <f>SUMIFS([1]инфо!$E$15:$E$28,[1]инфо!$A$15:$A$28,F1028)</f>
        <v/>
      </c>
      <c r="AI1028" s="64">
        <f>IF(H1028=0,0,S1028/H1028)</f>
        <v/>
      </c>
      <c r="AJ1028" s="63">
        <f>AI1028-AH1028</f>
        <v/>
      </c>
      <c r="AK1028" s="61">
        <f>SUMIFS([1]инфо!$F$15:$F$28,[1]инфо!$A$15:$A$28,F1028)</f>
        <v/>
      </c>
      <c r="AL1028" s="64">
        <f>IF(H1028=0,0,Y1028/H1028)</f>
        <v/>
      </c>
      <c r="AM1028" s="63">
        <f>AL1028-AK1028</f>
        <v/>
      </c>
      <c r="AN1028" s="61">
        <f>SUMIFS([1]инфо!$G$15:$G$28,[1]инфо!$A$15:$A$28,F1028)</f>
        <v/>
      </c>
      <c r="AO1028" s="64">
        <f>IF(H1028=0,0,AA1028/H1028)</f>
        <v/>
      </c>
      <c r="AP1028" s="63">
        <f>AO1028-AN1028</f>
        <v/>
      </c>
      <c r="AQ1028" s="61">
        <f>SUMIFS([1]инфо!$H$15:$H$28,[1]инфо!$A$15:$A$28,F1028)</f>
        <v/>
      </c>
      <c r="AR1028" s="62">
        <f>IF(H1027=0,0,AC1028/H1027)</f>
        <v/>
      </c>
      <c r="AS1028" s="63">
        <f>AR1028-AQ1028</f>
        <v/>
      </c>
      <c r="AT1028" s="61">
        <f>SUMIFS([1]инфо!$I$15:$I$28,[1]инфо!$A$15:$A$28,F1028)</f>
        <v/>
      </c>
      <c r="AU1028" s="62">
        <f>IF(H1028=0,0,AD1028/H1028)</f>
        <v/>
      </c>
      <c r="AV1028" s="63">
        <f>AU1028-AT1028</f>
        <v/>
      </c>
      <c r="AX1028" s="59">
        <f>SUMIFS([1]инфо!$C$15:$C$28,[1]инфо!$A$15:$A$28,F1028)*H1027</f>
        <v/>
      </c>
    </row>
    <row r="1029">
      <c r="A1029" s="71">
        <f>A1027+1</f>
        <v/>
      </c>
      <c r="B1029" s="90" t="n"/>
      <c r="C1029" s="52" t="n"/>
      <c r="D1029" s="53" t="n"/>
      <c r="E1029" s="91" t="n"/>
      <c r="F1029" s="67" t="n"/>
      <c r="G1029" s="58" t="n"/>
      <c r="H1029" s="56" t="n"/>
      <c r="I1029" s="55" t="n"/>
      <c r="J1029" s="55" t="n"/>
      <c r="K1029" s="55" t="n"/>
      <c r="L1029" s="55" t="n"/>
      <c r="M1029" s="55" t="n"/>
      <c r="N1029" s="55" t="n"/>
      <c r="O1029" s="58" t="n"/>
      <c r="P1029" s="58" t="n"/>
      <c r="Q1029" s="58" t="n"/>
      <c r="R1029" s="58" t="n"/>
      <c r="S1029" s="59">
        <f>SUM(O1029:R1029)</f>
        <v/>
      </c>
      <c r="T1029" s="52" t="n"/>
      <c r="U1029" s="53" t="n"/>
      <c r="V1029" s="58" t="n"/>
      <c r="W1029" s="58" t="n"/>
      <c r="X1029" s="58" t="n"/>
      <c r="Y1029" s="52" t="n"/>
      <c r="Z1029" s="58" t="n"/>
      <c r="AA1029" s="58" t="n"/>
      <c r="AB1029" s="58" t="n"/>
      <c r="AC1029" s="58" t="n"/>
      <c r="AD1029" s="53" t="n"/>
      <c r="AE1029" s="61">
        <f>SUMIFS([1]инфо!$D$15:$D$28,[1]инфо!$A$15:$A$28,F1029)</f>
        <v/>
      </c>
      <c r="AF1029" s="62">
        <f>IF(H1029=0,0,N1029/H1029)</f>
        <v/>
      </c>
      <c r="AG1029" s="63">
        <f>AF1029-AE1029</f>
        <v/>
      </c>
      <c r="AH1029" s="61">
        <f>SUMIFS([1]инфо!$E$15:$E$28,[1]инфо!$A$15:$A$28,F1029)</f>
        <v/>
      </c>
      <c r="AI1029" s="64">
        <f>IF(H1029=0,0,S1029/H1029)</f>
        <v/>
      </c>
      <c r="AJ1029" s="63">
        <f>AI1029-AH1029</f>
        <v/>
      </c>
      <c r="AK1029" s="61">
        <f>SUMIFS([1]инфо!$F$15:$F$28,[1]инфо!$A$15:$A$28,F1029)</f>
        <v/>
      </c>
      <c r="AL1029" s="64">
        <f>IF(H1029=0,0,Y1029/H1029)</f>
        <v/>
      </c>
      <c r="AM1029" s="63">
        <f>AL1029-AK1029</f>
        <v/>
      </c>
      <c r="AN1029" s="61">
        <f>SUMIFS([1]инфо!$G$15:$G$28,[1]инфо!$A$15:$A$28,F1029)</f>
        <v/>
      </c>
      <c r="AO1029" s="64">
        <f>IF(H1029=0,0,AA1029/H1029)</f>
        <v/>
      </c>
      <c r="AP1029" s="63">
        <f>AO1029-AN1029</f>
        <v/>
      </c>
      <c r="AQ1029" s="61">
        <f>SUMIFS([1]инфо!$H$15:$H$28,[1]инфо!$A$15:$A$28,F1029)</f>
        <v/>
      </c>
      <c r="AR1029" s="62">
        <f>IF(H1028=0,0,AC1029/H1028)</f>
        <v/>
      </c>
      <c r="AS1029" s="63">
        <f>AR1029-AQ1029</f>
        <v/>
      </c>
      <c r="AT1029" s="61">
        <f>SUMIFS([1]инфо!$I$15:$I$28,[1]инфо!$A$15:$A$28,F1029)</f>
        <v/>
      </c>
      <c r="AU1029" s="62">
        <f>IF(H1029=0,0,AD1029/H1029)</f>
        <v/>
      </c>
      <c r="AV1029" s="63">
        <f>AU1029-AT1029</f>
        <v/>
      </c>
      <c r="AX1029" s="59">
        <f>SUMIFS([1]инфо!$C$15:$C$28,[1]инфо!$A$15:$A$28,F1029)*H1028</f>
        <v/>
      </c>
    </row>
    <row r="1030">
      <c r="A1030" s="71">
        <f>A1028+1</f>
        <v/>
      </c>
      <c r="B1030" s="88" t="n"/>
      <c r="C1030" s="77" t="n"/>
      <c r="D1030" s="78" t="n"/>
      <c r="E1030" s="91" t="n"/>
      <c r="F1030" s="67" t="n"/>
      <c r="G1030" s="79" t="n"/>
      <c r="H1030" s="67" t="n"/>
      <c r="I1030" s="55" t="n"/>
      <c r="J1030" s="55" t="n"/>
      <c r="K1030" s="55" t="n"/>
      <c r="L1030" s="55" t="n"/>
      <c r="M1030" s="55" t="n"/>
      <c r="N1030" s="56" t="n"/>
      <c r="O1030" s="79" t="n"/>
      <c r="P1030" s="79" t="n"/>
      <c r="Q1030" s="79" t="n"/>
      <c r="R1030" s="79" t="n"/>
      <c r="S1030" s="80">
        <f>SUM(O1030:R1030)</f>
        <v/>
      </c>
      <c r="T1030" s="77" t="n"/>
      <c r="U1030" s="78" t="n"/>
      <c r="V1030" s="79" t="n"/>
      <c r="W1030" s="79" t="n"/>
      <c r="X1030" s="79" t="n"/>
      <c r="Y1030" s="77" t="n"/>
      <c r="Z1030" s="79" t="n"/>
      <c r="AA1030" s="79" t="n"/>
      <c r="AB1030" s="79" t="n"/>
      <c r="AC1030" s="79" t="n"/>
      <c r="AD1030" s="78" t="n"/>
      <c r="AE1030" s="81">
        <f>SUMIFS([1]инфо!$D$15:$D$28,[1]инфо!$A$15:$A$28,F1030)</f>
        <v/>
      </c>
      <c r="AF1030" s="62">
        <f>IF(H1030=0,0,N1030/H1030)</f>
        <v/>
      </c>
      <c r="AG1030" s="82">
        <f>AF1030-AE1030</f>
        <v/>
      </c>
      <c r="AH1030" s="81">
        <f>SUMIFS([1]инфо!$E$15:$E$28,[1]инфо!$A$15:$A$28,F1030)</f>
        <v/>
      </c>
      <c r="AI1030" s="64">
        <f>IF(H1030=0,0,S1030/H1030)</f>
        <v/>
      </c>
      <c r="AJ1030" s="82">
        <f>AI1030-AH1030</f>
        <v/>
      </c>
      <c r="AK1030" s="81">
        <f>SUMIFS([1]инфо!$F$15:$F$28,[1]инфо!$A$15:$A$28,F1030)</f>
        <v/>
      </c>
      <c r="AL1030" s="64">
        <f>IF(H1030=0,0,Y1030/H1030)</f>
        <v/>
      </c>
      <c r="AM1030" s="82">
        <f>AL1030-AK1030</f>
        <v/>
      </c>
      <c r="AN1030" s="81">
        <f>SUMIFS([1]инфо!$G$15:$G$28,[1]инфо!$A$15:$A$28,F1030)</f>
        <v/>
      </c>
      <c r="AO1030" s="64">
        <f>IF(H1030=0,0,AA1030/H1030)</f>
        <v/>
      </c>
      <c r="AP1030" s="82">
        <f>AO1030-AN1030</f>
        <v/>
      </c>
      <c r="AQ1030" s="81">
        <f>SUMIFS([1]инфо!$H$15:$H$28,[1]инфо!$A$15:$A$28,F1030)</f>
        <v/>
      </c>
      <c r="AR1030" s="85">
        <f>IF(H1029=0,0,AC1030/H1029)</f>
        <v/>
      </c>
      <c r="AS1030" s="82">
        <f>AR1030-AQ1030</f>
        <v/>
      </c>
      <c r="AT1030" s="81">
        <f>SUMIFS([1]инфо!$I$15:$I$28,[1]инфо!$A$15:$A$28,F1030)</f>
        <v/>
      </c>
      <c r="AU1030" s="62">
        <f>IF(H1030=0,0,AD1030/H1030)</f>
        <v/>
      </c>
      <c r="AV1030" s="82">
        <f>AU1030-AT1030</f>
        <v/>
      </c>
      <c r="AX1030" s="80">
        <f>SUMIFS([1]инфо!$C$15:$C$28,[1]инфо!$A$15:$A$28,F1030)*H1029</f>
        <v/>
      </c>
    </row>
    <row r="1031">
      <c r="A1031" s="71">
        <f>A1029+1</f>
        <v/>
      </c>
      <c r="B1031" s="89" t="n"/>
      <c r="C1031" s="72" t="n"/>
      <c r="D1031" s="73" t="n"/>
      <c r="E1031" s="91" t="n"/>
      <c r="F1031" s="67" t="n"/>
      <c r="G1031" s="74" t="n"/>
      <c r="H1031" s="55" t="n"/>
      <c r="I1031" s="55" t="n"/>
      <c r="J1031" s="55" t="n"/>
      <c r="K1031" s="55" t="n"/>
      <c r="L1031" s="55" t="n"/>
      <c r="M1031" s="55" t="n"/>
      <c r="N1031" s="67" t="n"/>
      <c r="O1031" s="74" t="n"/>
      <c r="P1031" s="74" t="n"/>
      <c r="Q1031" s="74" t="n"/>
      <c r="R1031" s="74" t="n"/>
      <c r="S1031" s="70">
        <f>SUM(O1031:R1031)</f>
        <v/>
      </c>
      <c r="T1031" s="72" t="n"/>
      <c r="U1031" s="73" t="n"/>
      <c r="V1031" s="74" t="n"/>
      <c r="W1031" s="74" t="n"/>
      <c r="X1031" s="74" t="n"/>
      <c r="Y1031" s="72" t="n"/>
      <c r="Z1031" s="74" t="n"/>
      <c r="AA1031" s="74" t="n"/>
      <c r="AB1031" s="74" t="n"/>
      <c r="AC1031" s="74" t="n"/>
      <c r="AD1031" s="73" t="n"/>
      <c r="AE1031" s="75">
        <f>SUMIFS([1]инфо!$D$15:$D$28,[1]инфо!$A$15:$A$28,F1031)</f>
        <v/>
      </c>
      <c r="AF1031" s="62">
        <f>IF(H1031=0,0,N1031/H1031)</f>
        <v/>
      </c>
      <c r="AG1031" s="76">
        <f>AF1031-AE1031</f>
        <v/>
      </c>
      <c r="AH1031" s="75">
        <f>SUMIFS([1]инфо!$E$15:$E$28,[1]инфо!$A$15:$A$28,F1031)</f>
        <v/>
      </c>
      <c r="AI1031" s="64">
        <f>IF(H1031=0,0,S1031/H1031)</f>
        <v/>
      </c>
      <c r="AJ1031" s="76">
        <f>AI1031-AH1031</f>
        <v/>
      </c>
      <c r="AK1031" s="75">
        <f>SUMIFS([1]инфо!$F$15:$F$28,[1]инфо!$A$15:$A$28,F1031)</f>
        <v/>
      </c>
      <c r="AL1031" s="64">
        <f>IF(H1031=0,0,Y1031/H1031)</f>
        <v/>
      </c>
      <c r="AM1031" s="76">
        <f>AL1031-AK1031</f>
        <v/>
      </c>
      <c r="AN1031" s="75">
        <f>SUMIFS([1]инфо!$G$15:$G$28,[1]инфо!$A$15:$A$28,F1031)</f>
        <v/>
      </c>
      <c r="AO1031" s="64">
        <f>IF(H1031=0,0,AA1031/H1031)</f>
        <v/>
      </c>
      <c r="AP1031" s="76">
        <f>AO1031-AN1031</f>
        <v/>
      </c>
      <c r="AQ1031" s="75">
        <f>SUMIFS([1]инфо!$H$15:$H$28,[1]инфо!$A$15:$A$28,F1031)</f>
        <v/>
      </c>
      <c r="AR1031" s="64">
        <f>IF(H1030=0,0,AC1031/H1030)</f>
        <v/>
      </c>
      <c r="AS1031" s="76">
        <f>AR1031-AQ1031</f>
        <v/>
      </c>
      <c r="AT1031" s="75">
        <f>SUMIFS([1]инфо!$I$15:$I$28,[1]инфо!$A$15:$A$28,F1031)</f>
        <v/>
      </c>
      <c r="AU1031" s="62">
        <f>IF(H1031=0,0,AD1031/H1031)</f>
        <v/>
      </c>
      <c r="AV1031" s="76">
        <f>AU1031-AT1031</f>
        <v/>
      </c>
      <c r="AX1031" s="70">
        <f>SUMIFS([1]инфо!$C$15:$C$28,[1]инфо!$A$15:$A$28,F1031)*H1030</f>
        <v/>
      </c>
    </row>
    <row r="1032">
      <c r="A1032" s="71">
        <f>A1030+1</f>
        <v/>
      </c>
      <c r="B1032" s="90" t="n"/>
      <c r="C1032" s="52" t="n"/>
      <c r="D1032" s="53" t="n"/>
      <c r="E1032" s="91" t="n"/>
      <c r="F1032" s="67" t="n"/>
      <c r="G1032" s="58" t="n"/>
      <c r="H1032" s="55" t="n"/>
      <c r="I1032" s="55" t="n"/>
      <c r="J1032" s="55" t="n"/>
      <c r="K1032" s="55" t="n"/>
      <c r="L1032" s="55" t="n"/>
      <c r="M1032" s="55" t="n"/>
      <c r="N1032" s="55" t="n"/>
      <c r="O1032" s="58" t="n"/>
      <c r="P1032" s="58" t="n"/>
      <c r="Q1032" s="58" t="n"/>
      <c r="R1032" s="58" t="n"/>
      <c r="S1032" s="59">
        <f>SUM(O1032:R1032)</f>
        <v/>
      </c>
      <c r="T1032" s="52" t="n"/>
      <c r="U1032" s="53" t="n"/>
      <c r="V1032" s="58" t="n"/>
      <c r="W1032" s="58" t="n"/>
      <c r="X1032" s="58" t="n"/>
      <c r="Y1032" s="52" t="n"/>
      <c r="Z1032" s="58" t="n"/>
      <c r="AA1032" s="58" t="n"/>
      <c r="AB1032" s="58" t="n"/>
      <c r="AC1032" s="58" t="n"/>
      <c r="AD1032" s="53" t="n"/>
      <c r="AE1032" s="61">
        <f>SUMIFS([1]инфо!$D$15:$D$28,[1]инфо!$A$15:$A$28,F1032)</f>
        <v/>
      </c>
      <c r="AF1032" s="62">
        <f>IF(H1032=0,0,N1032/H1032)</f>
        <v/>
      </c>
      <c r="AG1032" s="63">
        <f>AF1032-AE1032</f>
        <v/>
      </c>
      <c r="AH1032" s="61">
        <f>SUMIFS([1]инфо!$E$15:$E$28,[1]инфо!$A$15:$A$28,F1032)</f>
        <v/>
      </c>
      <c r="AI1032" s="64">
        <f>IF(H1032=0,0,S1032/H1032)</f>
        <v/>
      </c>
      <c r="AJ1032" s="63">
        <f>AI1032-AH1032</f>
        <v/>
      </c>
      <c r="AK1032" s="61">
        <f>SUMIFS([1]инфо!$F$15:$F$28,[1]инфо!$A$15:$A$28,F1032)</f>
        <v/>
      </c>
      <c r="AL1032" s="64">
        <f>IF(H1032=0,0,Y1032/H1032)</f>
        <v/>
      </c>
      <c r="AM1032" s="63">
        <f>AL1032-AK1032</f>
        <v/>
      </c>
      <c r="AN1032" s="61">
        <f>SUMIFS([1]инфо!$G$15:$G$28,[1]инфо!$A$15:$A$28,F1032)</f>
        <v/>
      </c>
      <c r="AO1032" s="64">
        <f>IF(H1032=0,0,AA1032/H1032)</f>
        <v/>
      </c>
      <c r="AP1032" s="63">
        <f>AO1032-AN1032</f>
        <v/>
      </c>
      <c r="AQ1032" s="61">
        <f>SUMIFS([1]инфо!$H$15:$H$28,[1]инфо!$A$15:$A$28,F1032)</f>
        <v/>
      </c>
      <c r="AR1032" s="62">
        <f>IF(H1031=0,0,AC1032/H1031)</f>
        <v/>
      </c>
      <c r="AS1032" s="63">
        <f>AR1032-AQ1032</f>
        <v/>
      </c>
      <c r="AT1032" s="61">
        <f>SUMIFS([1]инфо!$I$15:$I$28,[1]инфо!$A$15:$A$28,F1032)</f>
        <v/>
      </c>
      <c r="AU1032" s="62">
        <f>IF(H1032=0,0,AD1032/H1032)</f>
        <v/>
      </c>
      <c r="AV1032" s="63">
        <f>AU1032-AT1032</f>
        <v/>
      </c>
      <c r="AX1032" s="59">
        <f>SUMIFS([1]инфо!$C$15:$C$28,[1]инфо!$A$15:$A$28,F1032)*H1031</f>
        <v/>
      </c>
    </row>
    <row r="1033">
      <c r="A1033" s="71">
        <f>A1031+1</f>
        <v/>
      </c>
      <c r="B1033" s="90" t="n"/>
      <c r="C1033" s="52" t="n"/>
      <c r="D1033" s="53" t="n"/>
      <c r="E1033" s="91" t="n"/>
      <c r="F1033" s="67" t="n"/>
      <c r="G1033" s="58" t="n"/>
      <c r="H1033" s="56" t="n"/>
      <c r="I1033" s="55" t="n"/>
      <c r="J1033" s="55" t="n"/>
      <c r="K1033" s="55" t="n"/>
      <c r="L1033" s="55" t="n"/>
      <c r="M1033" s="55" t="n"/>
      <c r="N1033" s="55" t="n"/>
      <c r="O1033" s="58" t="n"/>
      <c r="P1033" s="58" t="n"/>
      <c r="Q1033" s="58" t="n"/>
      <c r="R1033" s="58" t="n"/>
      <c r="S1033" s="59">
        <f>SUM(O1033:R1033)</f>
        <v/>
      </c>
      <c r="T1033" s="52" t="n"/>
      <c r="U1033" s="53" t="n"/>
      <c r="V1033" s="58" t="n"/>
      <c r="W1033" s="58" t="n"/>
      <c r="X1033" s="58" t="n"/>
      <c r="Y1033" s="52" t="n"/>
      <c r="Z1033" s="58" t="n"/>
      <c r="AA1033" s="58" t="n"/>
      <c r="AB1033" s="58" t="n"/>
      <c r="AC1033" s="58" t="n"/>
      <c r="AD1033" s="53" t="n"/>
      <c r="AE1033" s="61">
        <f>SUMIFS([1]инфо!$D$15:$D$28,[1]инфо!$A$15:$A$28,F1033)</f>
        <v/>
      </c>
      <c r="AF1033" s="62">
        <f>IF(H1033=0,0,N1033/H1033)</f>
        <v/>
      </c>
      <c r="AG1033" s="63">
        <f>AF1033-AE1033</f>
        <v/>
      </c>
      <c r="AH1033" s="61">
        <f>SUMIFS([1]инфо!$E$15:$E$28,[1]инфо!$A$15:$A$28,F1033)</f>
        <v/>
      </c>
      <c r="AI1033" s="64">
        <f>IF(H1033=0,0,S1033/H1033)</f>
        <v/>
      </c>
      <c r="AJ1033" s="63">
        <f>AI1033-AH1033</f>
        <v/>
      </c>
      <c r="AK1033" s="61">
        <f>SUMIFS([1]инфо!$F$15:$F$28,[1]инфо!$A$15:$A$28,F1033)</f>
        <v/>
      </c>
      <c r="AL1033" s="64">
        <f>IF(H1033=0,0,Y1033/H1033)</f>
        <v/>
      </c>
      <c r="AM1033" s="63">
        <f>AL1033-AK1033</f>
        <v/>
      </c>
      <c r="AN1033" s="61">
        <f>SUMIFS([1]инфо!$G$15:$G$28,[1]инфо!$A$15:$A$28,F1033)</f>
        <v/>
      </c>
      <c r="AO1033" s="64">
        <f>IF(H1033=0,0,AA1033/H1033)</f>
        <v/>
      </c>
      <c r="AP1033" s="63">
        <f>AO1033-AN1033</f>
        <v/>
      </c>
      <c r="AQ1033" s="61">
        <f>SUMIFS([1]инфо!$H$15:$H$28,[1]инфо!$A$15:$A$28,F1033)</f>
        <v/>
      </c>
      <c r="AR1033" s="62">
        <f>IF(H1032=0,0,AC1033/H1032)</f>
        <v/>
      </c>
      <c r="AS1033" s="63">
        <f>AR1033-AQ1033</f>
        <v/>
      </c>
      <c r="AT1033" s="61">
        <f>SUMIFS([1]инфо!$I$15:$I$28,[1]инфо!$A$15:$A$28,F1033)</f>
        <v/>
      </c>
      <c r="AU1033" s="62">
        <f>IF(H1033=0,0,AD1033/H1033)</f>
        <v/>
      </c>
      <c r="AV1033" s="63">
        <f>AU1033-AT1033</f>
        <v/>
      </c>
      <c r="AX1033" s="59">
        <f>SUMIFS([1]инфо!$C$15:$C$28,[1]инфо!$A$15:$A$28,F1033)*H1032</f>
        <v/>
      </c>
    </row>
    <row r="1034">
      <c r="A1034" s="71">
        <f>A1032+1</f>
        <v/>
      </c>
      <c r="B1034" s="88" t="n"/>
      <c r="C1034" s="77" t="n"/>
      <c r="D1034" s="78" t="n"/>
      <c r="E1034" s="91" t="n"/>
      <c r="F1034" s="67" t="n"/>
      <c r="G1034" s="79" t="n"/>
      <c r="H1034" s="67" t="n"/>
      <c r="I1034" s="55" t="n"/>
      <c r="J1034" s="55" t="n"/>
      <c r="K1034" s="55" t="n"/>
      <c r="L1034" s="55" t="n"/>
      <c r="M1034" s="55" t="n"/>
      <c r="N1034" s="56" t="n"/>
      <c r="O1034" s="79" t="n"/>
      <c r="P1034" s="79" t="n"/>
      <c r="Q1034" s="79" t="n"/>
      <c r="R1034" s="79" t="n"/>
      <c r="S1034" s="80">
        <f>SUM(O1034:R1034)</f>
        <v/>
      </c>
      <c r="T1034" s="77" t="n"/>
      <c r="U1034" s="78" t="n"/>
      <c r="V1034" s="79" t="n"/>
      <c r="W1034" s="79" t="n"/>
      <c r="X1034" s="79" t="n"/>
      <c r="Y1034" s="77" t="n"/>
      <c r="Z1034" s="79" t="n"/>
      <c r="AA1034" s="79" t="n"/>
      <c r="AB1034" s="79" t="n"/>
      <c r="AC1034" s="79" t="n"/>
      <c r="AD1034" s="78" t="n"/>
      <c r="AE1034" s="81">
        <f>SUMIFS([1]инфо!$D$15:$D$28,[1]инфо!$A$15:$A$28,F1034)</f>
        <v/>
      </c>
      <c r="AF1034" s="62">
        <f>IF(H1034=0,0,N1034/H1034)</f>
        <v/>
      </c>
      <c r="AG1034" s="82">
        <f>AF1034-AE1034</f>
        <v/>
      </c>
      <c r="AH1034" s="81">
        <f>SUMIFS([1]инфо!$E$15:$E$28,[1]инфо!$A$15:$A$28,F1034)</f>
        <v/>
      </c>
      <c r="AI1034" s="64">
        <f>IF(H1034=0,0,S1034/H1034)</f>
        <v/>
      </c>
      <c r="AJ1034" s="82">
        <f>AI1034-AH1034</f>
        <v/>
      </c>
      <c r="AK1034" s="81">
        <f>SUMIFS([1]инфо!$F$15:$F$28,[1]инфо!$A$15:$A$28,F1034)</f>
        <v/>
      </c>
      <c r="AL1034" s="64">
        <f>IF(H1034=0,0,Y1034/H1034)</f>
        <v/>
      </c>
      <c r="AM1034" s="82">
        <f>AL1034-AK1034</f>
        <v/>
      </c>
      <c r="AN1034" s="81">
        <f>SUMIFS([1]инфо!$G$15:$G$28,[1]инфо!$A$15:$A$28,F1034)</f>
        <v/>
      </c>
      <c r="AO1034" s="64">
        <f>IF(H1034=0,0,AA1034/H1034)</f>
        <v/>
      </c>
      <c r="AP1034" s="82">
        <f>AO1034-AN1034</f>
        <v/>
      </c>
      <c r="AQ1034" s="81">
        <f>SUMIFS([1]инфо!$H$15:$H$28,[1]инфо!$A$15:$A$28,F1034)</f>
        <v/>
      </c>
      <c r="AR1034" s="85">
        <f>IF(H1033=0,0,AC1034/H1033)</f>
        <v/>
      </c>
      <c r="AS1034" s="82">
        <f>AR1034-AQ1034</f>
        <v/>
      </c>
      <c r="AT1034" s="81">
        <f>SUMIFS([1]инфо!$I$15:$I$28,[1]инфо!$A$15:$A$28,F1034)</f>
        <v/>
      </c>
      <c r="AU1034" s="62">
        <f>IF(H1034=0,0,AD1034/H1034)</f>
        <v/>
      </c>
      <c r="AV1034" s="82">
        <f>AU1034-AT1034</f>
        <v/>
      </c>
      <c r="AX1034" s="80">
        <f>SUMIFS([1]инфо!$C$15:$C$28,[1]инфо!$A$15:$A$28,F1034)*H1033</f>
        <v/>
      </c>
    </row>
    <row r="1035">
      <c r="A1035" s="71">
        <f>A1033+1</f>
        <v/>
      </c>
      <c r="B1035" s="89" t="n"/>
      <c r="C1035" s="72" t="n"/>
      <c r="D1035" s="73" t="n"/>
      <c r="E1035" s="91" t="n"/>
      <c r="F1035" s="67" t="n"/>
      <c r="G1035" s="74" t="n"/>
      <c r="H1035" s="55" t="n"/>
      <c r="I1035" s="55" t="n"/>
      <c r="J1035" s="55" t="n"/>
      <c r="K1035" s="55" t="n"/>
      <c r="L1035" s="55" t="n"/>
      <c r="M1035" s="55" t="n"/>
      <c r="N1035" s="67" t="n"/>
      <c r="O1035" s="74" t="n"/>
      <c r="P1035" s="74" t="n"/>
      <c r="Q1035" s="74" t="n"/>
      <c r="R1035" s="74" t="n"/>
      <c r="S1035" s="70">
        <f>SUM(O1035:R1035)</f>
        <v/>
      </c>
      <c r="T1035" s="72" t="n"/>
      <c r="U1035" s="73" t="n"/>
      <c r="V1035" s="74" t="n"/>
      <c r="W1035" s="74" t="n"/>
      <c r="X1035" s="74" t="n"/>
      <c r="Y1035" s="72" t="n"/>
      <c r="Z1035" s="74" t="n"/>
      <c r="AA1035" s="74" t="n"/>
      <c r="AB1035" s="74" t="n"/>
      <c r="AC1035" s="74" t="n"/>
      <c r="AD1035" s="73" t="n"/>
      <c r="AE1035" s="75">
        <f>SUMIFS([1]инфо!$D$15:$D$28,[1]инфо!$A$15:$A$28,F1035)</f>
        <v/>
      </c>
      <c r="AF1035" s="62">
        <f>IF(H1035=0,0,N1035/H1035)</f>
        <v/>
      </c>
      <c r="AG1035" s="76">
        <f>AF1035-AE1035</f>
        <v/>
      </c>
      <c r="AH1035" s="75">
        <f>SUMIFS([1]инфо!$E$15:$E$28,[1]инфо!$A$15:$A$28,F1035)</f>
        <v/>
      </c>
      <c r="AI1035" s="64">
        <f>IF(H1035=0,0,S1035/H1035)</f>
        <v/>
      </c>
      <c r="AJ1035" s="76">
        <f>AI1035-AH1035</f>
        <v/>
      </c>
      <c r="AK1035" s="75">
        <f>SUMIFS([1]инфо!$F$15:$F$28,[1]инфо!$A$15:$A$28,F1035)</f>
        <v/>
      </c>
      <c r="AL1035" s="64">
        <f>IF(H1035=0,0,Y1035/H1035)</f>
        <v/>
      </c>
      <c r="AM1035" s="76">
        <f>AL1035-AK1035</f>
        <v/>
      </c>
      <c r="AN1035" s="75">
        <f>SUMIFS([1]инфо!$G$15:$G$28,[1]инфо!$A$15:$A$28,F1035)</f>
        <v/>
      </c>
      <c r="AO1035" s="64">
        <f>IF(H1035=0,0,AA1035/H1035)</f>
        <v/>
      </c>
      <c r="AP1035" s="76">
        <f>AO1035-AN1035</f>
        <v/>
      </c>
      <c r="AQ1035" s="75">
        <f>SUMIFS([1]инфо!$H$15:$H$28,[1]инфо!$A$15:$A$28,F1035)</f>
        <v/>
      </c>
      <c r="AR1035" s="64">
        <f>IF(H1034=0,0,AC1035/H1034)</f>
        <v/>
      </c>
      <c r="AS1035" s="76">
        <f>AR1035-AQ1035</f>
        <v/>
      </c>
      <c r="AT1035" s="75">
        <f>SUMIFS([1]инфо!$I$15:$I$28,[1]инфо!$A$15:$A$28,F1035)</f>
        <v/>
      </c>
      <c r="AU1035" s="62">
        <f>IF(H1035=0,0,AD1035/H1035)</f>
        <v/>
      </c>
      <c r="AV1035" s="76">
        <f>AU1035-AT1035</f>
        <v/>
      </c>
      <c r="AX1035" s="70">
        <f>SUMIFS([1]инфо!$C$15:$C$28,[1]инфо!$A$15:$A$28,F1035)*H1034</f>
        <v/>
      </c>
    </row>
    <row r="1036">
      <c r="A1036" s="71">
        <f>A1034+1</f>
        <v/>
      </c>
      <c r="B1036" s="90" t="n"/>
      <c r="C1036" s="52" t="n"/>
      <c r="D1036" s="53" t="n"/>
      <c r="E1036" s="91" t="n"/>
      <c r="F1036" s="67" t="n"/>
      <c r="G1036" s="58" t="n"/>
      <c r="H1036" s="55" t="n"/>
      <c r="I1036" s="55" t="n"/>
      <c r="J1036" s="55" t="n"/>
      <c r="K1036" s="55" t="n"/>
      <c r="L1036" s="55" t="n"/>
      <c r="M1036" s="55" t="n"/>
      <c r="N1036" s="55" t="n"/>
      <c r="O1036" s="58" t="n"/>
      <c r="P1036" s="58" t="n"/>
      <c r="Q1036" s="58" t="n"/>
      <c r="R1036" s="58" t="n"/>
      <c r="S1036" s="59">
        <f>SUM(O1036:R1036)</f>
        <v/>
      </c>
      <c r="T1036" s="52" t="n"/>
      <c r="U1036" s="53" t="n"/>
      <c r="V1036" s="58" t="n"/>
      <c r="W1036" s="58" t="n"/>
      <c r="X1036" s="58" t="n"/>
      <c r="Y1036" s="52" t="n"/>
      <c r="Z1036" s="58" t="n"/>
      <c r="AA1036" s="58" t="n"/>
      <c r="AB1036" s="58" t="n"/>
      <c r="AC1036" s="58" t="n"/>
      <c r="AD1036" s="53" t="n"/>
      <c r="AE1036" s="61">
        <f>SUMIFS([1]инфо!$D$15:$D$28,[1]инфо!$A$15:$A$28,F1036)</f>
        <v/>
      </c>
      <c r="AF1036" s="62">
        <f>IF(H1036=0,0,N1036/H1036)</f>
        <v/>
      </c>
      <c r="AG1036" s="63">
        <f>AF1036-AE1036</f>
        <v/>
      </c>
      <c r="AH1036" s="61">
        <f>SUMIFS([1]инфо!$E$15:$E$28,[1]инфо!$A$15:$A$28,F1036)</f>
        <v/>
      </c>
      <c r="AI1036" s="64">
        <f>IF(H1036=0,0,S1036/H1036)</f>
        <v/>
      </c>
      <c r="AJ1036" s="63">
        <f>AI1036-AH1036</f>
        <v/>
      </c>
      <c r="AK1036" s="61">
        <f>SUMIFS([1]инфо!$F$15:$F$28,[1]инфо!$A$15:$A$28,F1036)</f>
        <v/>
      </c>
      <c r="AL1036" s="64">
        <f>IF(H1036=0,0,Y1036/H1036)</f>
        <v/>
      </c>
      <c r="AM1036" s="63">
        <f>AL1036-AK1036</f>
        <v/>
      </c>
      <c r="AN1036" s="61">
        <f>SUMIFS([1]инфо!$G$15:$G$28,[1]инфо!$A$15:$A$28,F1036)</f>
        <v/>
      </c>
      <c r="AO1036" s="64">
        <f>IF(H1036=0,0,AA1036/H1036)</f>
        <v/>
      </c>
      <c r="AP1036" s="63">
        <f>AO1036-AN1036</f>
        <v/>
      </c>
      <c r="AQ1036" s="61">
        <f>SUMIFS([1]инфо!$H$15:$H$28,[1]инфо!$A$15:$A$28,F1036)</f>
        <v/>
      </c>
      <c r="AR1036" s="62">
        <f>IF(H1035=0,0,AC1036/H1035)</f>
        <v/>
      </c>
      <c r="AS1036" s="63">
        <f>AR1036-AQ1036</f>
        <v/>
      </c>
      <c r="AT1036" s="61">
        <f>SUMIFS([1]инфо!$I$15:$I$28,[1]инфо!$A$15:$A$28,F1036)</f>
        <v/>
      </c>
      <c r="AU1036" s="62">
        <f>IF(H1036=0,0,AD1036/H1036)</f>
        <v/>
      </c>
      <c r="AV1036" s="63">
        <f>AU1036-AT1036</f>
        <v/>
      </c>
      <c r="AX1036" s="59">
        <f>SUMIFS([1]инфо!$C$15:$C$28,[1]инфо!$A$15:$A$28,F1036)*H1035</f>
        <v/>
      </c>
    </row>
    <row r="1037">
      <c r="A1037" s="71">
        <f>A1035+1</f>
        <v/>
      </c>
      <c r="B1037" s="90" t="n"/>
      <c r="C1037" s="52" t="n"/>
      <c r="D1037" s="53" t="n"/>
      <c r="E1037" s="91" t="n"/>
      <c r="F1037" s="67" t="n"/>
      <c r="G1037" s="58" t="n"/>
      <c r="H1037" s="56" t="n"/>
      <c r="I1037" s="55" t="n"/>
      <c r="J1037" s="55" t="n"/>
      <c r="K1037" s="55" t="n"/>
      <c r="L1037" s="55" t="n"/>
      <c r="M1037" s="55" t="n"/>
      <c r="N1037" s="55" t="n"/>
      <c r="O1037" s="58" t="n"/>
      <c r="P1037" s="58" t="n"/>
      <c r="Q1037" s="58" t="n"/>
      <c r="R1037" s="58" t="n"/>
      <c r="S1037" s="59">
        <f>SUM(O1037:R1037)</f>
        <v/>
      </c>
      <c r="T1037" s="52" t="n"/>
      <c r="U1037" s="53" t="n"/>
      <c r="V1037" s="58" t="n"/>
      <c r="W1037" s="58" t="n"/>
      <c r="X1037" s="58" t="n"/>
      <c r="Y1037" s="52" t="n"/>
      <c r="Z1037" s="58" t="n"/>
      <c r="AA1037" s="58" t="n"/>
      <c r="AB1037" s="58" t="n"/>
      <c r="AC1037" s="58" t="n"/>
      <c r="AD1037" s="53" t="n"/>
      <c r="AE1037" s="61">
        <f>SUMIFS([1]инфо!$D$15:$D$28,[1]инфо!$A$15:$A$28,F1037)</f>
        <v/>
      </c>
      <c r="AF1037" s="62">
        <f>IF(H1037=0,0,N1037/H1037)</f>
        <v/>
      </c>
      <c r="AG1037" s="63">
        <f>AF1037-AE1037</f>
        <v/>
      </c>
      <c r="AH1037" s="61">
        <f>SUMIFS([1]инфо!$E$15:$E$28,[1]инфо!$A$15:$A$28,F1037)</f>
        <v/>
      </c>
      <c r="AI1037" s="64">
        <f>IF(H1037=0,0,S1037/H1037)</f>
        <v/>
      </c>
      <c r="AJ1037" s="63">
        <f>AI1037-AH1037</f>
        <v/>
      </c>
      <c r="AK1037" s="61">
        <f>SUMIFS([1]инфо!$F$15:$F$28,[1]инфо!$A$15:$A$28,F1037)</f>
        <v/>
      </c>
      <c r="AL1037" s="64">
        <f>IF(H1037=0,0,Y1037/H1037)</f>
        <v/>
      </c>
      <c r="AM1037" s="63">
        <f>AL1037-AK1037</f>
        <v/>
      </c>
      <c r="AN1037" s="61">
        <f>SUMIFS([1]инфо!$G$15:$G$28,[1]инфо!$A$15:$A$28,F1037)</f>
        <v/>
      </c>
      <c r="AO1037" s="64">
        <f>IF(H1037=0,0,AA1037/H1037)</f>
        <v/>
      </c>
      <c r="AP1037" s="63">
        <f>AO1037-AN1037</f>
        <v/>
      </c>
      <c r="AQ1037" s="61">
        <f>SUMIFS([1]инфо!$H$15:$H$28,[1]инфо!$A$15:$A$28,F1037)</f>
        <v/>
      </c>
      <c r="AR1037" s="62">
        <f>IF(H1036=0,0,AC1037/H1036)</f>
        <v/>
      </c>
      <c r="AS1037" s="63">
        <f>AR1037-AQ1037</f>
        <v/>
      </c>
      <c r="AT1037" s="61">
        <f>SUMIFS([1]инфо!$I$15:$I$28,[1]инфо!$A$15:$A$28,F1037)</f>
        <v/>
      </c>
      <c r="AU1037" s="62">
        <f>IF(H1037=0,0,AD1037/H1037)</f>
        <v/>
      </c>
      <c r="AV1037" s="63">
        <f>AU1037-AT1037</f>
        <v/>
      </c>
      <c r="AX1037" s="59">
        <f>SUMIFS([1]инфо!$C$15:$C$28,[1]инфо!$A$15:$A$28,F1037)*H1036</f>
        <v/>
      </c>
    </row>
    <row r="1038">
      <c r="A1038" s="71">
        <f>A1036+1</f>
        <v/>
      </c>
      <c r="B1038" s="88" t="n"/>
      <c r="C1038" s="77" t="n"/>
      <c r="D1038" s="78" t="n"/>
      <c r="E1038" s="91" t="n"/>
      <c r="F1038" s="67" t="n"/>
      <c r="G1038" s="79" t="n"/>
      <c r="H1038" s="67" t="n"/>
      <c r="I1038" s="55" t="n"/>
      <c r="J1038" s="55" t="n"/>
      <c r="K1038" s="55" t="n"/>
      <c r="L1038" s="55" t="n"/>
      <c r="M1038" s="55" t="n"/>
      <c r="N1038" s="56" t="n"/>
      <c r="O1038" s="79" t="n"/>
      <c r="P1038" s="79" t="n"/>
      <c r="Q1038" s="79" t="n"/>
      <c r="R1038" s="79" t="n"/>
      <c r="S1038" s="80">
        <f>SUM(O1038:R1038)</f>
        <v/>
      </c>
      <c r="T1038" s="77" t="n"/>
      <c r="U1038" s="78" t="n"/>
      <c r="V1038" s="79" t="n"/>
      <c r="W1038" s="79" t="n"/>
      <c r="X1038" s="79" t="n"/>
      <c r="Y1038" s="77" t="n"/>
      <c r="Z1038" s="79" t="n"/>
      <c r="AA1038" s="79" t="n"/>
      <c r="AB1038" s="79" t="n"/>
      <c r="AC1038" s="79" t="n"/>
      <c r="AD1038" s="78" t="n"/>
      <c r="AE1038" s="81">
        <f>SUMIFS([1]инфо!$D$15:$D$28,[1]инфо!$A$15:$A$28,F1038)</f>
        <v/>
      </c>
      <c r="AF1038" s="62">
        <f>IF(H1038=0,0,N1038/H1038)</f>
        <v/>
      </c>
      <c r="AG1038" s="82">
        <f>AF1038-AE1038</f>
        <v/>
      </c>
      <c r="AH1038" s="81">
        <f>SUMIFS([1]инфо!$E$15:$E$28,[1]инфо!$A$15:$A$28,F1038)</f>
        <v/>
      </c>
      <c r="AI1038" s="64">
        <f>IF(H1038=0,0,S1038/H1038)</f>
        <v/>
      </c>
      <c r="AJ1038" s="82">
        <f>AI1038-AH1038</f>
        <v/>
      </c>
      <c r="AK1038" s="81">
        <f>SUMIFS([1]инфо!$F$15:$F$28,[1]инфо!$A$15:$A$28,F1038)</f>
        <v/>
      </c>
      <c r="AL1038" s="64">
        <f>IF(H1038=0,0,Y1038/H1038)</f>
        <v/>
      </c>
      <c r="AM1038" s="82">
        <f>AL1038-AK1038</f>
        <v/>
      </c>
      <c r="AN1038" s="81">
        <f>SUMIFS([1]инфо!$G$15:$G$28,[1]инфо!$A$15:$A$28,F1038)</f>
        <v/>
      </c>
      <c r="AO1038" s="64">
        <f>IF(H1038=0,0,AA1038/H1038)</f>
        <v/>
      </c>
      <c r="AP1038" s="82">
        <f>AO1038-AN1038</f>
        <v/>
      </c>
      <c r="AQ1038" s="81">
        <f>SUMIFS([1]инфо!$H$15:$H$28,[1]инфо!$A$15:$A$28,F1038)</f>
        <v/>
      </c>
      <c r="AR1038" s="85">
        <f>IF(H1037=0,0,AC1038/H1037)</f>
        <v/>
      </c>
      <c r="AS1038" s="82">
        <f>AR1038-AQ1038</f>
        <v/>
      </c>
      <c r="AT1038" s="81">
        <f>SUMIFS([1]инфо!$I$15:$I$28,[1]инфо!$A$15:$A$28,F1038)</f>
        <v/>
      </c>
      <c r="AU1038" s="62">
        <f>IF(H1038=0,0,AD1038/H1038)</f>
        <v/>
      </c>
      <c r="AV1038" s="82">
        <f>AU1038-AT1038</f>
        <v/>
      </c>
      <c r="AX1038" s="80">
        <f>SUMIFS([1]инфо!$C$15:$C$28,[1]инфо!$A$15:$A$28,F1038)*H1037</f>
        <v/>
      </c>
    </row>
    <row r="1039">
      <c r="A1039" s="71">
        <f>A1037+1</f>
        <v/>
      </c>
      <c r="B1039" s="89" t="n"/>
      <c r="C1039" s="72" t="n"/>
      <c r="D1039" s="73" t="n"/>
      <c r="E1039" s="91" t="n"/>
      <c r="F1039" s="67" t="n"/>
      <c r="G1039" s="74" t="n"/>
      <c r="H1039" s="55" t="n"/>
      <c r="I1039" s="55" t="n"/>
      <c r="J1039" s="55" t="n"/>
      <c r="K1039" s="55" t="n"/>
      <c r="L1039" s="55" t="n"/>
      <c r="M1039" s="55" t="n"/>
      <c r="N1039" s="67" t="n"/>
      <c r="O1039" s="74" t="n"/>
      <c r="P1039" s="74" t="n"/>
      <c r="Q1039" s="74" t="n"/>
      <c r="R1039" s="74" t="n"/>
      <c r="S1039" s="70">
        <f>SUM(O1039:R1039)</f>
        <v/>
      </c>
      <c r="T1039" s="72" t="n"/>
      <c r="U1039" s="73" t="n"/>
      <c r="V1039" s="74" t="n"/>
      <c r="W1039" s="74" t="n"/>
      <c r="X1039" s="74" t="n"/>
      <c r="Y1039" s="72" t="n"/>
      <c r="Z1039" s="74" t="n"/>
      <c r="AA1039" s="74" t="n"/>
      <c r="AB1039" s="74" t="n"/>
      <c r="AC1039" s="74" t="n"/>
      <c r="AD1039" s="73" t="n"/>
      <c r="AE1039" s="75">
        <f>SUMIFS([1]инфо!$D$15:$D$28,[1]инфо!$A$15:$A$28,F1039)</f>
        <v/>
      </c>
      <c r="AF1039" s="62">
        <f>IF(H1039=0,0,N1039/H1039)</f>
        <v/>
      </c>
      <c r="AG1039" s="76">
        <f>AF1039-AE1039</f>
        <v/>
      </c>
      <c r="AH1039" s="75">
        <f>SUMIFS([1]инфо!$E$15:$E$28,[1]инфо!$A$15:$A$28,F1039)</f>
        <v/>
      </c>
      <c r="AI1039" s="64">
        <f>IF(H1038=0,0,S1039/H1038)</f>
        <v/>
      </c>
      <c r="AJ1039" s="76">
        <f>AI1039-AH1039</f>
        <v/>
      </c>
      <c r="AK1039" s="75">
        <f>SUMIFS([1]инфо!$F$15:$F$28,[1]инфо!$A$15:$A$28,F1039)</f>
        <v/>
      </c>
      <c r="AL1039" s="64">
        <f>IF(H1039=0,0,Y1039/H1039)</f>
        <v/>
      </c>
      <c r="AM1039" s="76">
        <f>AL1039-AK1039</f>
        <v/>
      </c>
      <c r="AN1039" s="75">
        <f>SUMIFS([1]инфо!$G$15:$G$28,[1]инфо!$A$15:$A$28,F1039)</f>
        <v/>
      </c>
      <c r="AO1039" s="64">
        <f>IF(H1039=0,0,AA1039/H1039)</f>
        <v/>
      </c>
      <c r="AP1039" s="76">
        <f>AO1039-AN1039</f>
        <v/>
      </c>
      <c r="AQ1039" s="75">
        <f>SUMIFS([1]инфо!$H$15:$H$28,[1]инфо!$A$15:$A$28,F1039)</f>
        <v/>
      </c>
      <c r="AR1039" s="64">
        <f>IF(H1038=0,0,AC1039/H1038)</f>
        <v/>
      </c>
      <c r="AS1039" s="76">
        <f>AR1039-AQ1039</f>
        <v/>
      </c>
      <c r="AT1039" s="75">
        <f>SUMIFS([1]инфо!$I$15:$I$28,[1]инфо!$A$15:$A$28,F1039)</f>
        <v/>
      </c>
      <c r="AU1039" s="62">
        <f>IF(H1039=0,0,AD1039/H1039)</f>
        <v/>
      </c>
      <c r="AV1039" s="76">
        <f>AU1039-AT1039</f>
        <v/>
      </c>
      <c r="AX1039" s="70">
        <f>SUMIFS([1]инфо!$C$15:$C$28,[1]инфо!$A$15:$A$28,F1039)*H1038</f>
        <v/>
      </c>
    </row>
    <row r="1040">
      <c r="A1040" s="71">
        <f>A1038+1</f>
        <v/>
      </c>
      <c r="B1040" s="90" t="n"/>
      <c r="C1040" s="52" t="n"/>
      <c r="D1040" s="53" t="n"/>
      <c r="E1040" s="91" t="n"/>
      <c r="F1040" s="67" t="n"/>
      <c r="G1040" s="58" t="n"/>
      <c r="H1040" s="55" t="n"/>
      <c r="I1040" s="55" t="n"/>
      <c r="J1040" s="55" t="n"/>
      <c r="K1040" s="55" t="n"/>
      <c r="L1040" s="55" t="n"/>
      <c r="M1040" s="55" t="n"/>
      <c r="N1040" s="55" t="n"/>
      <c r="O1040" s="58" t="n"/>
      <c r="P1040" s="58" t="n"/>
      <c r="Q1040" s="58" t="n"/>
      <c r="R1040" s="58" t="n"/>
      <c r="S1040" s="59">
        <f>SUM(O1040:R1040)</f>
        <v/>
      </c>
      <c r="T1040" s="52" t="n"/>
      <c r="U1040" s="53" t="n"/>
      <c r="V1040" s="58" t="n"/>
      <c r="W1040" s="58" t="n"/>
      <c r="X1040" s="58" t="n"/>
      <c r="Y1040" s="52" t="n"/>
      <c r="Z1040" s="58" t="n"/>
      <c r="AA1040" s="58" t="n"/>
      <c r="AB1040" s="58" t="n"/>
      <c r="AC1040" s="58" t="n"/>
      <c r="AD1040" s="53" t="n"/>
      <c r="AE1040" s="61">
        <f>SUMIFS([1]инфо!$D$15:$D$28,[1]инфо!$A$15:$A$28,F1040)</f>
        <v/>
      </c>
      <c r="AF1040" s="62">
        <f>IF(H1040=0,0,N1040/H1040)</f>
        <v/>
      </c>
      <c r="AG1040" s="63">
        <f>AF1040-AE1040</f>
        <v/>
      </c>
      <c r="AH1040" s="61">
        <f>SUMIFS([1]инфо!$E$15:$E$28,[1]инфо!$A$15:$A$28,F1040)</f>
        <v/>
      </c>
      <c r="AI1040" s="62">
        <f>IF(H1039=0,0,S1040/H1039)</f>
        <v/>
      </c>
      <c r="AJ1040" s="63">
        <f>AI1040-AH1040</f>
        <v/>
      </c>
      <c r="AK1040" s="61">
        <f>SUMIFS([1]инфо!$F$15:$F$28,[1]инфо!$A$15:$A$28,F1040)</f>
        <v/>
      </c>
      <c r="AL1040" s="64">
        <f>IF(H1040=0,0,Y1040/H1040)</f>
        <v/>
      </c>
      <c r="AM1040" s="63">
        <f>AL1040-AK1040</f>
        <v/>
      </c>
      <c r="AN1040" s="61">
        <f>SUMIFS([1]инфо!$G$15:$G$28,[1]инфо!$A$15:$A$28,F1040)</f>
        <v/>
      </c>
      <c r="AO1040" s="64">
        <f>IF(H1040=0,0,AA1040/H1040)</f>
        <v/>
      </c>
      <c r="AP1040" s="63">
        <f>AO1040-AN1040</f>
        <v/>
      </c>
      <c r="AQ1040" s="61">
        <f>SUMIFS([1]инфо!$H$15:$H$28,[1]инфо!$A$15:$A$28,F1040)</f>
        <v/>
      </c>
      <c r="AR1040" s="62">
        <f>IF(H1039=0,0,AC1040/H1039)</f>
        <v/>
      </c>
      <c r="AS1040" s="63">
        <f>AR1040-AQ1040</f>
        <v/>
      </c>
      <c r="AT1040" s="61">
        <f>SUMIFS([1]инфо!$I$15:$I$28,[1]инфо!$A$15:$A$28,F1040)</f>
        <v/>
      </c>
      <c r="AU1040" s="62">
        <f>IF(H1040=0,0,AD1040/H1040)</f>
        <v/>
      </c>
      <c r="AV1040" s="63">
        <f>AU1040-AT1040</f>
        <v/>
      </c>
      <c r="AX1040" s="59">
        <f>SUMIFS([1]инфо!$C$15:$C$28,[1]инфо!$A$15:$A$28,F1040)*H1039</f>
        <v/>
      </c>
    </row>
    <row r="1041">
      <c r="A1041" s="71">
        <f>A1039+1</f>
        <v/>
      </c>
      <c r="B1041" s="90" t="n"/>
      <c r="C1041" s="52" t="n"/>
      <c r="D1041" s="53" t="n"/>
      <c r="E1041" s="91" t="n"/>
      <c r="F1041" s="67" t="n"/>
      <c r="G1041" s="58" t="n"/>
      <c r="H1041" s="56" t="n"/>
      <c r="I1041" s="55" t="n"/>
      <c r="J1041" s="55" t="n"/>
      <c r="K1041" s="55" t="n"/>
      <c r="L1041" s="55" t="n"/>
      <c r="M1041" s="55" t="n"/>
      <c r="N1041" s="55" t="n"/>
      <c r="O1041" s="58" t="n"/>
      <c r="P1041" s="58" t="n"/>
      <c r="Q1041" s="58" t="n"/>
      <c r="R1041" s="58" t="n"/>
      <c r="S1041" s="59">
        <f>SUM(O1041:R1041)</f>
        <v/>
      </c>
      <c r="T1041" s="52" t="n"/>
      <c r="U1041" s="53" t="n"/>
      <c r="V1041" s="58" t="n"/>
      <c r="W1041" s="58" t="n"/>
      <c r="X1041" s="58" t="n"/>
      <c r="Y1041" s="52" t="n"/>
      <c r="Z1041" s="58" t="n"/>
      <c r="AA1041" s="58" t="n"/>
      <c r="AB1041" s="58" t="n"/>
      <c r="AC1041" s="58" t="n"/>
      <c r="AD1041" s="53" t="n"/>
      <c r="AE1041" s="61">
        <f>SUMIFS([1]инфо!$D$15:$D$28,[1]инфо!$A$15:$A$28,F1041)</f>
        <v/>
      </c>
      <c r="AF1041" s="62">
        <f>IF(H1041=0,0,N1041/H1041)</f>
        <v/>
      </c>
      <c r="AG1041" s="63">
        <f>AF1041-AE1041</f>
        <v/>
      </c>
      <c r="AH1041" s="61">
        <f>SUMIFS([1]инфо!$E$15:$E$28,[1]инфо!$A$15:$A$28,F1041)</f>
        <v/>
      </c>
      <c r="AI1041" s="62">
        <f>IF(H1040=0,0,S1041/H1040)</f>
        <v/>
      </c>
      <c r="AJ1041" s="63">
        <f>AI1041-AH1041</f>
        <v/>
      </c>
      <c r="AK1041" s="61">
        <f>SUMIFS([1]инфо!$F$15:$F$28,[1]инфо!$A$15:$A$28,F1041)</f>
        <v/>
      </c>
      <c r="AL1041" s="64">
        <f>IF(H1041=0,0,Y1041/H1041)</f>
        <v/>
      </c>
      <c r="AM1041" s="63">
        <f>AL1041-AK1041</f>
        <v/>
      </c>
      <c r="AN1041" s="61">
        <f>SUMIFS([1]инфо!$G$15:$G$28,[1]инфо!$A$15:$A$28,F1041)</f>
        <v/>
      </c>
      <c r="AO1041" s="64">
        <f>IF(H1041=0,0,AA1041/H1041)</f>
        <v/>
      </c>
      <c r="AP1041" s="63">
        <f>AO1041-AN1041</f>
        <v/>
      </c>
      <c r="AQ1041" s="61">
        <f>SUMIFS([1]инфо!$H$15:$H$28,[1]инфо!$A$15:$A$28,F1041)</f>
        <v/>
      </c>
      <c r="AR1041" s="62">
        <f>IF(H1040=0,0,AC1041/H1040)</f>
        <v/>
      </c>
      <c r="AS1041" s="63">
        <f>AR1041-AQ1041</f>
        <v/>
      </c>
      <c r="AT1041" s="61">
        <f>SUMIFS([1]инфо!$I$15:$I$28,[1]инфо!$A$15:$A$28,F1041)</f>
        <v/>
      </c>
      <c r="AU1041" s="62">
        <f>IF(H1041=0,0,AD1041/H1041)</f>
        <v/>
      </c>
      <c r="AV1041" s="63">
        <f>AU1041-AT1041</f>
        <v/>
      </c>
      <c r="AX1041" s="59">
        <f>SUMIFS([1]инфо!$C$15:$C$28,[1]инфо!$A$15:$A$28,F1041)*H1040</f>
        <v/>
      </c>
    </row>
    <row r="1042">
      <c r="A1042" s="71">
        <f>A1040+1</f>
        <v/>
      </c>
      <c r="B1042" s="88" t="n"/>
      <c r="C1042" s="77" t="n"/>
      <c r="D1042" s="78" t="n"/>
      <c r="E1042" s="91" t="n"/>
      <c r="F1042" s="67" t="n"/>
      <c r="G1042" s="79" t="n"/>
      <c r="H1042" s="67" t="n"/>
      <c r="I1042" s="55" t="n"/>
      <c r="J1042" s="55" t="n"/>
      <c r="K1042" s="55" t="n"/>
      <c r="L1042" s="55" t="n"/>
      <c r="M1042" s="55" t="n"/>
      <c r="N1042" s="56" t="n"/>
      <c r="O1042" s="79" t="n"/>
      <c r="P1042" s="79" t="n"/>
      <c r="Q1042" s="79" t="n"/>
      <c r="R1042" s="79" t="n"/>
      <c r="S1042" s="80">
        <f>SUM(O1042:R1042)</f>
        <v/>
      </c>
      <c r="T1042" s="77" t="n"/>
      <c r="U1042" s="78" t="n"/>
      <c r="V1042" s="79" t="n"/>
      <c r="W1042" s="79" t="n"/>
      <c r="X1042" s="79" t="n"/>
      <c r="Y1042" s="77" t="n"/>
      <c r="Z1042" s="79" t="n"/>
      <c r="AA1042" s="79" t="n"/>
      <c r="AB1042" s="79" t="n"/>
      <c r="AC1042" s="79" t="n"/>
      <c r="AD1042" s="78" t="n"/>
      <c r="AE1042" s="81">
        <f>SUMIFS([1]инфо!$D$15:$D$28,[1]инфо!$A$15:$A$28,F1042)</f>
        <v/>
      </c>
      <c r="AF1042" s="62">
        <f>IF(H1042=0,0,N1042/H1042)</f>
        <v/>
      </c>
      <c r="AG1042" s="82">
        <f>AF1042-AE1042</f>
        <v/>
      </c>
      <c r="AH1042" s="81">
        <f>SUMIFS([1]инфо!$E$15:$E$28,[1]инфо!$A$15:$A$28,F1042)</f>
        <v/>
      </c>
      <c r="AI1042" s="85">
        <f>IF(H1041=0,0,S1042/H1041)</f>
        <v/>
      </c>
      <c r="AJ1042" s="82">
        <f>AI1042-AH1042</f>
        <v/>
      </c>
      <c r="AK1042" s="81">
        <f>SUMIFS([1]инфо!$F$15:$F$28,[1]инфо!$A$15:$A$28,F1042)</f>
        <v/>
      </c>
      <c r="AL1042" s="64">
        <f>IF(H1042=0,0,Y1042/H1042)</f>
        <v/>
      </c>
      <c r="AM1042" s="82">
        <f>AL1042-AK1042</f>
        <v/>
      </c>
      <c r="AN1042" s="81">
        <f>SUMIFS([1]инфо!$G$15:$G$28,[1]инфо!$A$15:$A$28,F1042)</f>
        <v/>
      </c>
      <c r="AO1042" s="64">
        <f>IF(H1042=0,0,AA1042/H1042)</f>
        <v/>
      </c>
      <c r="AP1042" s="82">
        <f>AO1042-AN1042</f>
        <v/>
      </c>
      <c r="AQ1042" s="81">
        <f>SUMIFS([1]инфо!$H$15:$H$28,[1]инфо!$A$15:$A$28,F1042)</f>
        <v/>
      </c>
      <c r="AR1042" s="85">
        <f>IF(H1041=0,0,AC1042/H1041)</f>
        <v/>
      </c>
      <c r="AS1042" s="82">
        <f>AR1042-AQ1042</f>
        <v/>
      </c>
      <c r="AT1042" s="81">
        <f>SUMIFS([1]инфо!$I$15:$I$28,[1]инфо!$A$15:$A$28,F1042)</f>
        <v/>
      </c>
      <c r="AU1042" s="62">
        <f>IF(H1042=0,0,AD1042/H1042)</f>
        <v/>
      </c>
      <c r="AV1042" s="82">
        <f>AU1042-AT1042</f>
        <v/>
      </c>
      <c r="AX1042" s="80">
        <f>SUMIFS([1]инфо!$C$15:$C$28,[1]инфо!$A$15:$A$28,F1042)*H1041</f>
        <v/>
      </c>
    </row>
    <row r="1043">
      <c r="A1043" s="71">
        <f>A1041+1</f>
        <v/>
      </c>
      <c r="B1043" s="89" t="n"/>
      <c r="C1043" s="72" t="n"/>
      <c r="D1043" s="73" t="n"/>
      <c r="E1043" s="91" t="n"/>
      <c r="F1043" s="67" t="n"/>
      <c r="G1043" s="74" t="n"/>
      <c r="H1043" s="55" t="n"/>
      <c r="I1043" s="55" t="n"/>
      <c r="J1043" s="55" t="n"/>
      <c r="K1043" s="55" t="n"/>
      <c r="L1043" s="55" t="n"/>
      <c r="M1043" s="55" t="n"/>
      <c r="N1043" s="67" t="n"/>
      <c r="O1043" s="74" t="n"/>
      <c r="P1043" s="74" t="n"/>
      <c r="Q1043" s="74" t="n"/>
      <c r="R1043" s="74" t="n"/>
      <c r="S1043" s="70">
        <f>SUM(O1043:R1043)</f>
        <v/>
      </c>
      <c r="T1043" s="72" t="n"/>
      <c r="U1043" s="73" t="n"/>
      <c r="V1043" s="74" t="n"/>
      <c r="W1043" s="74" t="n"/>
      <c r="X1043" s="74" t="n"/>
      <c r="Y1043" s="72" t="n"/>
      <c r="Z1043" s="74" t="n"/>
      <c r="AA1043" s="74" t="n"/>
      <c r="AB1043" s="74" t="n"/>
      <c r="AC1043" s="74" t="n"/>
      <c r="AD1043" s="73" t="n"/>
      <c r="AE1043" s="75">
        <f>SUMIFS([1]инфо!$D$15:$D$28,[1]инфо!$A$15:$A$28,F1043)</f>
        <v/>
      </c>
      <c r="AF1043" s="62">
        <f>IF(H1043=0,0,N1043/H1043)</f>
        <v/>
      </c>
      <c r="AG1043" s="76">
        <f>AF1043-AE1043</f>
        <v/>
      </c>
      <c r="AH1043" s="75">
        <f>SUMIFS([1]инфо!$E$15:$E$28,[1]инфо!$A$15:$A$28,F1043)</f>
        <v/>
      </c>
      <c r="AI1043" s="64">
        <f>IF(H1042=0,0,S1043/H1042)</f>
        <v/>
      </c>
      <c r="AJ1043" s="76">
        <f>AI1043-AH1043</f>
        <v/>
      </c>
      <c r="AK1043" s="75">
        <f>SUMIFS([1]инфо!$F$15:$F$28,[1]инфо!$A$15:$A$28,F1043)</f>
        <v/>
      </c>
      <c r="AL1043" s="64">
        <f>IF(H1043=0,0,Y1043/H1043)</f>
        <v/>
      </c>
      <c r="AM1043" s="76">
        <f>AL1043-AK1043</f>
        <v/>
      </c>
      <c r="AN1043" s="75">
        <f>SUMIFS([1]инфо!$G$15:$G$28,[1]инфо!$A$15:$A$28,F1043)</f>
        <v/>
      </c>
      <c r="AO1043" s="64">
        <f>IF(H1043=0,0,AA1043/H1043)</f>
        <v/>
      </c>
      <c r="AP1043" s="76">
        <f>AO1043-AN1043</f>
        <v/>
      </c>
      <c r="AQ1043" s="75">
        <f>SUMIFS([1]инфо!$H$15:$H$28,[1]инфо!$A$15:$A$28,F1043)</f>
        <v/>
      </c>
      <c r="AR1043" s="64">
        <f>IF(H1042=0,0,AC1043/H1042)</f>
        <v/>
      </c>
      <c r="AS1043" s="76">
        <f>AR1043-AQ1043</f>
        <v/>
      </c>
      <c r="AT1043" s="75">
        <f>SUMIFS([1]инфо!$I$15:$I$28,[1]инфо!$A$15:$A$28,F1043)</f>
        <v/>
      </c>
      <c r="AU1043" s="62">
        <f>IF(H1043=0,0,AD1043/H1043)</f>
        <v/>
      </c>
      <c r="AV1043" s="76">
        <f>AU1043-AT1043</f>
        <v/>
      </c>
      <c r="AX1043" s="70">
        <f>SUMIFS([1]инфо!$C$15:$C$28,[1]инфо!$A$15:$A$28,F1043)*H1042</f>
        <v/>
      </c>
    </row>
    <row r="1044">
      <c r="A1044" s="71">
        <f>A1042+1</f>
        <v/>
      </c>
      <c r="B1044" s="90" t="n"/>
      <c r="C1044" s="52" t="n"/>
      <c r="D1044" s="53" t="n"/>
      <c r="E1044" s="91" t="n"/>
      <c r="F1044" s="67" t="n"/>
      <c r="G1044" s="58" t="n"/>
      <c r="H1044" s="55" t="n"/>
      <c r="I1044" s="55" t="n"/>
      <c r="J1044" s="55" t="n"/>
      <c r="K1044" s="55" t="n"/>
      <c r="L1044" s="55" t="n"/>
      <c r="M1044" s="55" t="n"/>
      <c r="N1044" s="55" t="n"/>
      <c r="O1044" s="58" t="n"/>
      <c r="P1044" s="58" t="n"/>
      <c r="Q1044" s="58" t="n"/>
      <c r="R1044" s="58" t="n"/>
      <c r="S1044" s="59">
        <f>SUM(O1044:R1044)</f>
        <v/>
      </c>
      <c r="T1044" s="52" t="n"/>
      <c r="U1044" s="53" t="n"/>
      <c r="V1044" s="58" t="n"/>
      <c r="W1044" s="58" t="n"/>
      <c r="X1044" s="58" t="n"/>
      <c r="Y1044" s="52" t="n"/>
      <c r="Z1044" s="58" t="n"/>
      <c r="AA1044" s="58" t="n"/>
      <c r="AB1044" s="58" t="n"/>
      <c r="AC1044" s="58" t="n"/>
      <c r="AD1044" s="53" t="n"/>
      <c r="AE1044" s="61">
        <f>SUMIFS([1]инфо!$D$15:$D$28,[1]инфо!$A$15:$A$28,F1044)</f>
        <v/>
      </c>
      <c r="AF1044" s="62">
        <f>IF(H1044=0,0,N1044/H1044)</f>
        <v/>
      </c>
      <c r="AG1044" s="63">
        <f>AF1044-AE1044</f>
        <v/>
      </c>
      <c r="AH1044" s="61">
        <f>SUMIFS([1]инфо!$E$15:$E$28,[1]инфо!$A$15:$A$28,F1044)</f>
        <v/>
      </c>
      <c r="AI1044" s="62">
        <f>IF(H1043=0,0,S1044/H1043)</f>
        <v/>
      </c>
      <c r="AJ1044" s="63">
        <f>AI1044-AH1044</f>
        <v/>
      </c>
      <c r="AK1044" s="61">
        <f>SUMIFS([1]инфо!$F$15:$F$28,[1]инфо!$A$15:$A$28,F1044)</f>
        <v/>
      </c>
      <c r="AL1044" s="64">
        <f>IF(H1044=0,0,Y1044/H1044)</f>
        <v/>
      </c>
      <c r="AM1044" s="63">
        <f>AL1044-AK1044</f>
        <v/>
      </c>
      <c r="AN1044" s="61">
        <f>SUMIFS([1]инфо!$G$15:$G$28,[1]инфо!$A$15:$A$28,F1044)</f>
        <v/>
      </c>
      <c r="AO1044" s="64">
        <f>IF(H1044=0,0,AA1044/H1044)</f>
        <v/>
      </c>
      <c r="AP1044" s="63">
        <f>AO1044-AN1044</f>
        <v/>
      </c>
      <c r="AQ1044" s="61">
        <f>SUMIFS([1]инфо!$H$15:$H$28,[1]инфо!$A$15:$A$28,F1044)</f>
        <v/>
      </c>
      <c r="AR1044" s="62">
        <f>IF(H1043=0,0,AC1044/H1043)</f>
        <v/>
      </c>
      <c r="AS1044" s="63">
        <f>AR1044-AQ1044</f>
        <v/>
      </c>
      <c r="AT1044" s="61">
        <f>SUMIFS([1]инфо!$I$15:$I$28,[1]инфо!$A$15:$A$28,F1044)</f>
        <v/>
      </c>
      <c r="AU1044" s="62">
        <f>IF(H1044=0,0,AD1044/H1044)</f>
        <v/>
      </c>
      <c r="AV1044" s="63">
        <f>AU1044-AT1044</f>
        <v/>
      </c>
      <c r="AX1044" s="59">
        <f>SUMIFS([1]инфо!$C$15:$C$28,[1]инфо!$A$15:$A$28,F1044)*H1043</f>
        <v/>
      </c>
    </row>
    <row r="1045">
      <c r="A1045" s="71">
        <f>A1043+1</f>
        <v/>
      </c>
      <c r="B1045" s="90" t="n"/>
      <c r="C1045" s="52" t="n"/>
      <c r="D1045" s="53" t="n"/>
      <c r="E1045" s="91" t="n"/>
      <c r="F1045" s="67" t="n"/>
      <c r="G1045" s="58" t="n"/>
      <c r="H1045" s="56" t="n"/>
      <c r="I1045" s="55" t="n"/>
      <c r="J1045" s="55" t="n"/>
      <c r="K1045" s="55" t="n"/>
      <c r="L1045" s="55" t="n"/>
      <c r="M1045" s="55" t="n"/>
      <c r="N1045" s="55" t="n"/>
      <c r="O1045" s="58" t="n"/>
      <c r="P1045" s="58" t="n"/>
      <c r="Q1045" s="58" t="n"/>
      <c r="R1045" s="58" t="n"/>
      <c r="S1045" s="59">
        <f>SUM(O1045:R1045)</f>
        <v/>
      </c>
      <c r="T1045" s="52" t="n"/>
      <c r="U1045" s="53" t="n"/>
      <c r="V1045" s="58" t="n"/>
      <c r="W1045" s="58" t="n"/>
      <c r="X1045" s="58" t="n"/>
      <c r="Y1045" s="52" t="n"/>
      <c r="Z1045" s="58" t="n"/>
      <c r="AA1045" s="58" t="n"/>
      <c r="AB1045" s="58" t="n"/>
      <c r="AC1045" s="58" t="n"/>
      <c r="AD1045" s="53" t="n"/>
      <c r="AE1045" s="61">
        <f>SUMIFS([1]инфо!$D$15:$D$28,[1]инфо!$A$15:$A$28,F1045)</f>
        <v/>
      </c>
      <c r="AF1045" s="62">
        <f>IF(H1045=0,0,N1045/H1045)</f>
        <v/>
      </c>
      <c r="AG1045" s="63">
        <f>AF1045-AE1045</f>
        <v/>
      </c>
      <c r="AH1045" s="61">
        <f>SUMIFS([1]инфо!$E$15:$E$28,[1]инфо!$A$15:$A$28,F1045)</f>
        <v/>
      </c>
      <c r="AI1045" s="62">
        <f>IF(H1044=0,0,S1045/H1044)</f>
        <v/>
      </c>
      <c r="AJ1045" s="63">
        <f>AI1045-AH1045</f>
        <v/>
      </c>
      <c r="AK1045" s="61">
        <f>SUMIFS([1]инфо!$F$15:$F$28,[1]инфо!$A$15:$A$28,F1045)</f>
        <v/>
      </c>
      <c r="AL1045" s="64">
        <f>IF(H1045=0,0,Y1045/H1045)</f>
        <v/>
      </c>
      <c r="AM1045" s="63">
        <f>AL1045-AK1045</f>
        <v/>
      </c>
      <c r="AN1045" s="61">
        <f>SUMIFS([1]инфо!$G$15:$G$28,[1]инфо!$A$15:$A$28,F1045)</f>
        <v/>
      </c>
      <c r="AO1045" s="64">
        <f>IF(H1045=0,0,AA1045/H1045)</f>
        <v/>
      </c>
      <c r="AP1045" s="63">
        <f>AO1045-AN1045</f>
        <v/>
      </c>
      <c r="AQ1045" s="61">
        <f>SUMIFS([1]инфо!$H$15:$H$28,[1]инфо!$A$15:$A$28,F1045)</f>
        <v/>
      </c>
      <c r="AR1045" s="62">
        <f>IF(H1044=0,0,AC1045/H1044)</f>
        <v/>
      </c>
      <c r="AS1045" s="63">
        <f>AR1045-AQ1045</f>
        <v/>
      </c>
      <c r="AT1045" s="61">
        <f>SUMIFS([1]инфо!$I$15:$I$28,[1]инфо!$A$15:$A$28,F1045)</f>
        <v/>
      </c>
      <c r="AU1045" s="62">
        <f>IF(H1045=0,0,AD1045/H1045)</f>
        <v/>
      </c>
      <c r="AV1045" s="63">
        <f>AU1045-AT1045</f>
        <v/>
      </c>
      <c r="AX1045" s="59">
        <f>SUMIFS([1]инфо!$C$15:$C$28,[1]инфо!$A$15:$A$28,F1045)*H1044</f>
        <v/>
      </c>
    </row>
    <row r="1046">
      <c r="A1046" s="71">
        <f>A1044+1</f>
        <v/>
      </c>
      <c r="B1046" s="88" t="n"/>
      <c r="C1046" s="77" t="n"/>
      <c r="D1046" s="78" t="n"/>
      <c r="E1046" s="91" t="n"/>
      <c r="F1046" s="67" t="n"/>
      <c r="G1046" s="79" t="n"/>
      <c r="H1046" s="67" t="n"/>
      <c r="I1046" s="55" t="n"/>
      <c r="J1046" s="55" t="n"/>
      <c r="K1046" s="55" t="n"/>
      <c r="L1046" s="55" t="n"/>
      <c r="M1046" s="55" t="n"/>
      <c r="N1046" s="56" t="n"/>
      <c r="O1046" s="79" t="n"/>
      <c r="P1046" s="79" t="n"/>
      <c r="Q1046" s="79" t="n"/>
      <c r="R1046" s="79" t="n"/>
      <c r="S1046" s="80">
        <f>SUM(O1046:R1046)</f>
        <v/>
      </c>
      <c r="T1046" s="77" t="n"/>
      <c r="U1046" s="78" t="n"/>
      <c r="V1046" s="79" t="n"/>
      <c r="W1046" s="79" t="n"/>
      <c r="X1046" s="79" t="n"/>
      <c r="Y1046" s="77" t="n"/>
      <c r="Z1046" s="79" t="n"/>
      <c r="AA1046" s="79" t="n"/>
      <c r="AB1046" s="79" t="n"/>
      <c r="AC1046" s="79" t="n"/>
      <c r="AD1046" s="78" t="n"/>
      <c r="AE1046" s="81">
        <f>SUMIFS([1]инфо!$D$15:$D$28,[1]инфо!$A$15:$A$28,F1046)</f>
        <v/>
      </c>
      <c r="AF1046" s="62">
        <f>IF(H1046=0,0,N1046/H1046)</f>
        <v/>
      </c>
      <c r="AG1046" s="82">
        <f>AF1046-AE1046</f>
        <v/>
      </c>
      <c r="AH1046" s="81">
        <f>SUMIFS([1]инфо!$E$15:$E$28,[1]инфо!$A$15:$A$28,F1046)</f>
        <v/>
      </c>
      <c r="AI1046" s="85">
        <f>IF(H1045=0,0,S1046/H1045)</f>
        <v/>
      </c>
      <c r="AJ1046" s="82">
        <f>AI1046-AH1046</f>
        <v/>
      </c>
      <c r="AK1046" s="81">
        <f>SUMIFS([1]инфо!$F$15:$F$28,[1]инфо!$A$15:$A$28,F1046)</f>
        <v/>
      </c>
      <c r="AL1046" s="64">
        <f>IF(H1046=0,0,Y1046/H1046)</f>
        <v/>
      </c>
      <c r="AM1046" s="82">
        <f>AL1046-AK1046</f>
        <v/>
      </c>
      <c r="AN1046" s="81">
        <f>SUMIFS([1]инфо!$G$15:$G$28,[1]инфо!$A$15:$A$28,F1046)</f>
        <v/>
      </c>
      <c r="AO1046" s="64">
        <f>IF(H1046=0,0,AA1046/H1046)</f>
        <v/>
      </c>
      <c r="AP1046" s="82">
        <f>AO1046-AN1046</f>
        <v/>
      </c>
      <c r="AQ1046" s="81">
        <f>SUMIFS([1]инфо!$H$15:$H$28,[1]инфо!$A$15:$A$28,F1046)</f>
        <v/>
      </c>
      <c r="AR1046" s="85">
        <f>IF(H1045=0,0,AC1046/H1045)</f>
        <v/>
      </c>
      <c r="AS1046" s="82">
        <f>AR1046-AQ1046</f>
        <v/>
      </c>
      <c r="AT1046" s="81">
        <f>SUMIFS([1]инфо!$I$15:$I$28,[1]инфо!$A$15:$A$28,F1046)</f>
        <v/>
      </c>
      <c r="AU1046" s="62">
        <f>IF(H1046=0,0,AD1046/H1046)</f>
        <v/>
      </c>
      <c r="AV1046" s="82">
        <f>AU1046-AT1046</f>
        <v/>
      </c>
      <c r="AX1046" s="80">
        <f>SUMIFS([1]инфо!$C$15:$C$28,[1]инфо!$A$15:$A$28,F1046)*H1045</f>
        <v/>
      </c>
    </row>
    <row r="1047">
      <c r="A1047" s="71">
        <f>A1045+1</f>
        <v/>
      </c>
      <c r="B1047" s="89" t="n"/>
      <c r="C1047" s="72" t="n"/>
      <c r="D1047" s="73" t="n"/>
      <c r="E1047" s="91" t="n"/>
      <c r="F1047" s="67" t="n"/>
      <c r="G1047" s="74" t="n"/>
      <c r="H1047" s="55" t="n"/>
      <c r="I1047" s="55" t="n"/>
      <c r="J1047" s="55" t="n"/>
      <c r="K1047" s="55" t="n"/>
      <c r="L1047" s="55" t="n"/>
      <c r="M1047" s="55" t="n"/>
      <c r="N1047" s="67" t="n"/>
      <c r="O1047" s="74" t="n"/>
      <c r="P1047" s="74" t="n"/>
      <c r="Q1047" s="74" t="n"/>
      <c r="R1047" s="74" t="n"/>
      <c r="S1047" s="70">
        <f>SUM(O1047:R1047)</f>
        <v/>
      </c>
      <c r="T1047" s="72" t="n"/>
      <c r="U1047" s="73" t="n"/>
      <c r="V1047" s="74" t="n"/>
      <c r="W1047" s="74" t="n"/>
      <c r="X1047" s="74" t="n"/>
      <c r="Y1047" s="72" t="n"/>
      <c r="Z1047" s="74" t="n"/>
      <c r="AA1047" s="74" t="n"/>
      <c r="AB1047" s="74" t="n"/>
      <c r="AC1047" s="74" t="n"/>
      <c r="AD1047" s="73" t="n"/>
      <c r="AE1047" s="75">
        <f>SUMIFS([1]инфо!$D$15:$D$28,[1]инфо!$A$15:$A$28,F1047)</f>
        <v/>
      </c>
      <c r="AF1047" s="62">
        <f>IF(H1047=0,0,N1047/H1047)</f>
        <v/>
      </c>
      <c r="AG1047" s="76">
        <f>AF1047-AE1047</f>
        <v/>
      </c>
      <c r="AH1047" s="75">
        <f>SUMIFS([1]инфо!$E$15:$E$28,[1]инфо!$A$15:$A$28,F1047)</f>
        <v/>
      </c>
      <c r="AI1047" s="64">
        <f>IF(H1046=0,0,S1047/H1046)</f>
        <v/>
      </c>
      <c r="AJ1047" s="76">
        <f>AI1047-AH1047</f>
        <v/>
      </c>
      <c r="AK1047" s="75">
        <f>SUMIFS([1]инфо!$F$15:$F$28,[1]инфо!$A$15:$A$28,F1047)</f>
        <v/>
      </c>
      <c r="AL1047" s="64">
        <f>IF(H1047=0,0,Y1047/H1047)</f>
        <v/>
      </c>
      <c r="AM1047" s="76">
        <f>AL1047-AK1047</f>
        <v/>
      </c>
      <c r="AN1047" s="75">
        <f>SUMIFS([1]инфо!$G$15:$G$28,[1]инфо!$A$15:$A$28,F1047)</f>
        <v/>
      </c>
      <c r="AO1047" s="64">
        <f>IF(H1047=0,0,AA1047/H1047)</f>
        <v/>
      </c>
      <c r="AP1047" s="76">
        <f>AO1047-AN1047</f>
        <v/>
      </c>
      <c r="AQ1047" s="75">
        <f>SUMIFS([1]инфо!$H$15:$H$28,[1]инфо!$A$15:$A$28,F1047)</f>
        <v/>
      </c>
      <c r="AR1047" s="64">
        <f>IF(H1046=0,0,AC1047/H1046)</f>
        <v/>
      </c>
      <c r="AS1047" s="76">
        <f>AR1047-AQ1047</f>
        <v/>
      </c>
      <c r="AT1047" s="75">
        <f>SUMIFS([1]инфо!$I$15:$I$28,[1]инфо!$A$15:$A$28,F1047)</f>
        <v/>
      </c>
      <c r="AU1047" s="62">
        <f>IF(H1047=0,0,AD1047/H1047)</f>
        <v/>
      </c>
      <c r="AV1047" s="76">
        <f>AU1047-AT1047</f>
        <v/>
      </c>
      <c r="AX1047" s="70">
        <f>SUMIFS([1]инфо!$C$15:$C$28,[1]инфо!$A$15:$A$28,F1047)*H1046</f>
        <v/>
      </c>
    </row>
    <row r="1048">
      <c r="A1048" s="71">
        <f>A1046+1</f>
        <v/>
      </c>
      <c r="B1048" s="90" t="n"/>
      <c r="C1048" s="52" t="n"/>
      <c r="D1048" s="53" t="n"/>
      <c r="E1048" s="91" t="n"/>
      <c r="F1048" s="67" t="n"/>
      <c r="G1048" s="58" t="n"/>
      <c r="H1048" s="55" t="n"/>
      <c r="I1048" s="55" t="n"/>
      <c r="J1048" s="55" t="n"/>
      <c r="K1048" s="55" t="n"/>
      <c r="L1048" s="55" t="n"/>
      <c r="M1048" s="55" t="n"/>
      <c r="N1048" s="55" t="n"/>
      <c r="O1048" s="58" t="n"/>
      <c r="P1048" s="58" t="n"/>
      <c r="Q1048" s="58" t="n"/>
      <c r="R1048" s="58" t="n"/>
      <c r="S1048" s="59">
        <f>SUM(O1048:R1048)</f>
        <v/>
      </c>
      <c r="T1048" s="52" t="n"/>
      <c r="U1048" s="53" t="n"/>
      <c r="V1048" s="58" t="n"/>
      <c r="W1048" s="58" t="n"/>
      <c r="X1048" s="58" t="n"/>
      <c r="Y1048" s="52" t="n"/>
      <c r="Z1048" s="58" t="n"/>
      <c r="AA1048" s="58" t="n"/>
      <c r="AB1048" s="58" t="n"/>
      <c r="AC1048" s="58" t="n"/>
      <c r="AD1048" s="53" t="n"/>
      <c r="AE1048" s="61">
        <f>SUMIFS([1]инфо!$D$15:$D$28,[1]инфо!$A$15:$A$28,F1048)</f>
        <v/>
      </c>
      <c r="AF1048" s="62">
        <f>IF(H1048=0,0,N1048/H1048)</f>
        <v/>
      </c>
      <c r="AG1048" s="63">
        <f>AF1048-AE1048</f>
        <v/>
      </c>
      <c r="AH1048" s="61">
        <f>SUMIFS([1]инфо!$E$15:$E$28,[1]инфо!$A$15:$A$28,F1048)</f>
        <v/>
      </c>
      <c r="AI1048" s="62">
        <f>IF(H1047=0,0,S1048/H1047)</f>
        <v/>
      </c>
      <c r="AJ1048" s="63">
        <f>AI1048-AH1048</f>
        <v/>
      </c>
      <c r="AK1048" s="61">
        <f>SUMIFS([1]инфо!$F$15:$F$28,[1]инфо!$A$15:$A$28,F1048)</f>
        <v/>
      </c>
      <c r="AL1048" s="64">
        <f>IF(H1048=0,0,Y1048/H1048)</f>
        <v/>
      </c>
      <c r="AM1048" s="63">
        <f>AL1048-AK1048</f>
        <v/>
      </c>
      <c r="AN1048" s="61">
        <f>SUMIFS([1]инфо!$G$15:$G$28,[1]инфо!$A$15:$A$28,F1048)</f>
        <v/>
      </c>
      <c r="AO1048" s="64">
        <f>IF(H1048=0,0,AA1048/H1048)</f>
        <v/>
      </c>
      <c r="AP1048" s="63">
        <f>AO1048-AN1048</f>
        <v/>
      </c>
      <c r="AQ1048" s="61">
        <f>SUMIFS([1]инфо!$H$15:$H$28,[1]инфо!$A$15:$A$28,F1048)</f>
        <v/>
      </c>
      <c r="AR1048" s="62">
        <f>IF(H1047=0,0,AC1048/H1047)</f>
        <v/>
      </c>
      <c r="AS1048" s="63">
        <f>AR1048-AQ1048</f>
        <v/>
      </c>
      <c r="AT1048" s="61">
        <f>SUMIFS([1]инфо!$I$15:$I$28,[1]инфо!$A$15:$A$28,F1048)</f>
        <v/>
      </c>
      <c r="AU1048" s="62">
        <f>IF(H1048=0,0,AD1048/H1048)</f>
        <v/>
      </c>
      <c r="AV1048" s="63">
        <f>AU1048-AT1048</f>
        <v/>
      </c>
      <c r="AX1048" s="59">
        <f>SUMIFS([1]инфо!$C$15:$C$28,[1]инфо!$A$15:$A$28,F1048)*H1047</f>
        <v/>
      </c>
    </row>
    <row r="1049">
      <c r="A1049" s="71">
        <f>A1047+1</f>
        <v/>
      </c>
      <c r="B1049" s="90" t="n"/>
      <c r="C1049" s="52" t="n"/>
      <c r="D1049" s="53" t="n"/>
      <c r="E1049" s="91" t="n"/>
      <c r="F1049" s="67" t="n"/>
      <c r="G1049" s="58" t="n"/>
      <c r="H1049" s="56" t="n"/>
      <c r="I1049" s="55" t="n"/>
      <c r="J1049" s="55" t="n"/>
      <c r="K1049" s="55" t="n"/>
      <c r="L1049" s="55" t="n"/>
      <c r="M1049" s="55" t="n"/>
      <c r="N1049" s="55" t="n"/>
      <c r="O1049" s="58" t="n"/>
      <c r="P1049" s="58" t="n"/>
      <c r="Q1049" s="58" t="n"/>
      <c r="R1049" s="58" t="n"/>
      <c r="S1049" s="59">
        <f>SUM(O1049:R1049)</f>
        <v/>
      </c>
      <c r="T1049" s="52" t="n"/>
      <c r="U1049" s="53" t="n"/>
      <c r="V1049" s="58" t="n"/>
      <c r="W1049" s="58" t="n"/>
      <c r="X1049" s="58" t="n"/>
      <c r="Y1049" s="52" t="n"/>
      <c r="Z1049" s="58" t="n"/>
      <c r="AA1049" s="58" t="n"/>
      <c r="AB1049" s="58" t="n"/>
      <c r="AC1049" s="58" t="n"/>
      <c r="AD1049" s="53" t="n"/>
      <c r="AE1049" s="61">
        <f>SUMIFS([1]инфо!$D$15:$D$28,[1]инфо!$A$15:$A$28,F1049)</f>
        <v/>
      </c>
      <c r="AF1049" s="62">
        <f>IF(H1049=0,0,N1049/H1049)</f>
        <v/>
      </c>
      <c r="AG1049" s="63">
        <f>AF1049-AE1049</f>
        <v/>
      </c>
      <c r="AH1049" s="61">
        <f>SUMIFS([1]инфо!$E$15:$E$28,[1]инфо!$A$15:$A$28,F1049)</f>
        <v/>
      </c>
      <c r="AI1049" s="62">
        <f>IF(H1048=0,0,S1049/H1048)</f>
        <v/>
      </c>
      <c r="AJ1049" s="63">
        <f>AI1049-AH1049</f>
        <v/>
      </c>
      <c r="AK1049" s="61">
        <f>SUMIFS([1]инфо!$F$15:$F$28,[1]инфо!$A$15:$A$28,F1049)</f>
        <v/>
      </c>
      <c r="AL1049" s="64">
        <f>IF(H1049=0,0,Y1049/H1049)</f>
        <v/>
      </c>
      <c r="AM1049" s="63">
        <f>AL1049-AK1049</f>
        <v/>
      </c>
      <c r="AN1049" s="61">
        <f>SUMIFS([1]инфо!$G$15:$G$28,[1]инфо!$A$15:$A$28,F1049)</f>
        <v/>
      </c>
      <c r="AO1049" s="64">
        <f>IF(H1049=0,0,AA1049/H1049)</f>
        <v/>
      </c>
      <c r="AP1049" s="63">
        <f>AO1049-AN1049</f>
        <v/>
      </c>
      <c r="AQ1049" s="61">
        <f>SUMIFS([1]инфо!$H$15:$H$28,[1]инфо!$A$15:$A$28,F1049)</f>
        <v/>
      </c>
      <c r="AR1049" s="62">
        <f>IF(H1048=0,0,AC1049/H1048)</f>
        <v/>
      </c>
      <c r="AS1049" s="63">
        <f>AR1049-AQ1049</f>
        <v/>
      </c>
      <c r="AT1049" s="61">
        <f>SUMIFS([1]инфо!$I$15:$I$28,[1]инфо!$A$15:$A$28,F1049)</f>
        <v/>
      </c>
      <c r="AU1049" s="62">
        <f>IF(H1049=0,0,AD1049/H1049)</f>
        <v/>
      </c>
      <c r="AV1049" s="63">
        <f>AU1049-AT1049</f>
        <v/>
      </c>
      <c r="AX1049" s="59">
        <f>SUMIFS([1]инфо!$C$15:$C$28,[1]инфо!$A$15:$A$28,F1049)*H1048</f>
        <v/>
      </c>
    </row>
    <row r="1050">
      <c r="A1050" s="71">
        <f>A1048+1</f>
        <v/>
      </c>
      <c r="B1050" s="88" t="n"/>
      <c r="C1050" s="77" t="n"/>
      <c r="D1050" s="78" t="n"/>
      <c r="E1050" s="91" t="n"/>
      <c r="F1050" s="67" t="n"/>
      <c r="G1050" s="79" t="n"/>
      <c r="H1050" s="67" t="n"/>
      <c r="I1050" s="55" t="n"/>
      <c r="J1050" s="55" t="n"/>
      <c r="K1050" s="55" t="n"/>
      <c r="L1050" s="55" t="n"/>
      <c r="M1050" s="55" t="n"/>
      <c r="N1050" s="56" t="n"/>
      <c r="O1050" s="79" t="n"/>
      <c r="P1050" s="79" t="n"/>
      <c r="Q1050" s="79" t="n"/>
      <c r="R1050" s="79" t="n"/>
      <c r="S1050" s="80">
        <f>SUM(O1050:R1050)</f>
        <v/>
      </c>
      <c r="T1050" s="77" t="n"/>
      <c r="U1050" s="78" t="n"/>
      <c r="V1050" s="79" t="n"/>
      <c r="W1050" s="79" t="n"/>
      <c r="X1050" s="79" t="n"/>
      <c r="Y1050" s="77" t="n"/>
      <c r="Z1050" s="79" t="n"/>
      <c r="AA1050" s="79" t="n"/>
      <c r="AB1050" s="79" t="n"/>
      <c r="AC1050" s="79" t="n"/>
      <c r="AD1050" s="78" t="n"/>
      <c r="AE1050" s="81">
        <f>SUMIFS([1]инфо!$D$15:$D$28,[1]инфо!$A$15:$A$28,F1050)</f>
        <v/>
      </c>
      <c r="AF1050" s="62">
        <f>IF(H1050=0,0,N1050/H1050)</f>
        <v/>
      </c>
      <c r="AG1050" s="82">
        <f>AF1050-AE1050</f>
        <v/>
      </c>
      <c r="AH1050" s="81">
        <f>SUMIFS([1]инфо!$E$15:$E$28,[1]инфо!$A$15:$A$28,F1050)</f>
        <v/>
      </c>
      <c r="AI1050" s="85">
        <f>IF(H1049=0,0,S1050/H1049)</f>
        <v/>
      </c>
      <c r="AJ1050" s="82">
        <f>AI1050-AH1050</f>
        <v/>
      </c>
      <c r="AK1050" s="81">
        <f>SUMIFS([1]инфо!$F$15:$F$28,[1]инфо!$A$15:$A$28,F1050)</f>
        <v/>
      </c>
      <c r="AL1050" s="64">
        <f>IF(H1050=0,0,Y1050/H1050)</f>
        <v/>
      </c>
      <c r="AM1050" s="82">
        <f>AL1050-AK1050</f>
        <v/>
      </c>
      <c r="AN1050" s="81">
        <f>SUMIFS([1]инфо!$G$15:$G$28,[1]инфо!$A$15:$A$28,F1050)</f>
        <v/>
      </c>
      <c r="AO1050" s="64">
        <f>IF(H1050=0,0,AA1050/H1050)</f>
        <v/>
      </c>
      <c r="AP1050" s="82">
        <f>AO1050-AN1050</f>
        <v/>
      </c>
      <c r="AQ1050" s="81">
        <f>SUMIFS([1]инфо!$H$15:$H$28,[1]инфо!$A$15:$A$28,F1050)</f>
        <v/>
      </c>
      <c r="AR1050" s="85">
        <f>IF(H1049=0,0,AC1050/H1049)</f>
        <v/>
      </c>
      <c r="AS1050" s="82">
        <f>AR1050-AQ1050</f>
        <v/>
      </c>
      <c r="AT1050" s="81">
        <f>SUMIFS([1]инфо!$I$15:$I$28,[1]инфо!$A$15:$A$28,F1050)</f>
        <v/>
      </c>
      <c r="AU1050" s="62">
        <f>IF(H1050=0,0,AD1050/H1050)</f>
        <v/>
      </c>
      <c r="AV1050" s="82">
        <f>AU1050-AT1050</f>
        <v/>
      </c>
      <c r="AX1050" s="80">
        <f>SUMIFS([1]инфо!$C$15:$C$28,[1]инфо!$A$15:$A$28,F1050)*H1049</f>
        <v/>
      </c>
    </row>
    <row r="1051">
      <c r="A1051" s="71">
        <f>A1049+1</f>
        <v/>
      </c>
      <c r="B1051" s="89" t="n"/>
      <c r="C1051" s="72" t="n"/>
      <c r="D1051" s="73" t="n"/>
      <c r="E1051" s="91" t="n"/>
      <c r="F1051" s="67" t="n"/>
      <c r="G1051" s="74" t="n"/>
      <c r="H1051" s="55" t="n"/>
      <c r="I1051" s="55" t="n"/>
      <c r="J1051" s="55" t="n"/>
      <c r="K1051" s="55" t="n"/>
      <c r="L1051" s="55" t="n"/>
      <c r="M1051" s="55" t="n"/>
      <c r="N1051" s="67" t="n"/>
      <c r="O1051" s="74" t="n"/>
      <c r="P1051" s="74" t="n"/>
      <c r="Q1051" s="74" t="n"/>
      <c r="R1051" s="74" t="n"/>
      <c r="S1051" s="70">
        <f>SUM(O1051:R1051)</f>
        <v/>
      </c>
      <c r="T1051" s="72" t="n"/>
      <c r="U1051" s="73" t="n"/>
      <c r="V1051" s="74" t="n"/>
      <c r="W1051" s="74" t="n"/>
      <c r="X1051" s="74" t="n"/>
      <c r="Y1051" s="72" t="n"/>
      <c r="Z1051" s="74" t="n"/>
      <c r="AA1051" s="74" t="n"/>
      <c r="AB1051" s="74" t="n"/>
      <c r="AC1051" s="74" t="n"/>
      <c r="AD1051" s="73" t="n"/>
      <c r="AE1051" s="75">
        <f>SUMIFS([1]инфо!$D$15:$D$28,[1]инфо!$A$15:$A$28,F1051)</f>
        <v/>
      </c>
      <c r="AF1051" s="62">
        <f>IF(H1051=0,0,N1051/H1051)</f>
        <v/>
      </c>
      <c r="AG1051" s="76">
        <f>AF1051-AE1051</f>
        <v/>
      </c>
      <c r="AH1051" s="75">
        <f>SUMIFS([1]инфо!$E$15:$E$28,[1]инфо!$A$15:$A$28,F1051)</f>
        <v/>
      </c>
      <c r="AI1051" s="64">
        <f>IF(H1050=0,0,S1051/H1050)</f>
        <v/>
      </c>
      <c r="AJ1051" s="76">
        <f>AI1051-AH1051</f>
        <v/>
      </c>
      <c r="AK1051" s="75">
        <f>SUMIFS([1]инфо!$F$15:$F$28,[1]инфо!$A$15:$A$28,F1051)</f>
        <v/>
      </c>
      <c r="AL1051" s="64">
        <f>IF(H1051=0,0,Y1051/H1051)</f>
        <v/>
      </c>
      <c r="AM1051" s="76">
        <f>AL1051-AK1051</f>
        <v/>
      </c>
      <c r="AN1051" s="75">
        <f>SUMIFS([1]инфо!$G$15:$G$28,[1]инфо!$A$15:$A$28,F1051)</f>
        <v/>
      </c>
      <c r="AO1051" s="64">
        <f>IF(H1051=0,0,AA1051/H1051)</f>
        <v/>
      </c>
      <c r="AP1051" s="76">
        <f>AO1051-AN1051</f>
        <v/>
      </c>
      <c r="AQ1051" s="75">
        <f>SUMIFS([1]инфо!$H$15:$H$28,[1]инфо!$A$15:$A$28,F1051)</f>
        <v/>
      </c>
      <c r="AR1051" s="64">
        <f>IF(H1050=0,0,AC1051/H1050)</f>
        <v/>
      </c>
      <c r="AS1051" s="76">
        <f>AR1051-AQ1051</f>
        <v/>
      </c>
      <c r="AT1051" s="75">
        <f>SUMIFS([1]инфо!$I$15:$I$28,[1]инфо!$A$15:$A$28,F1051)</f>
        <v/>
      </c>
      <c r="AU1051" s="62">
        <f>IF(H1051=0,0,AD1051/H1051)</f>
        <v/>
      </c>
      <c r="AV1051" s="76">
        <f>AU1051-AT1051</f>
        <v/>
      </c>
      <c r="AX1051" s="70">
        <f>SUMIFS([1]инфо!$C$15:$C$28,[1]инфо!$A$15:$A$28,F1051)*H1050</f>
        <v/>
      </c>
    </row>
    <row r="1052">
      <c r="A1052" s="71">
        <f>A1050+1</f>
        <v/>
      </c>
      <c r="B1052" s="90" t="n"/>
      <c r="C1052" s="52" t="n"/>
      <c r="D1052" s="53" t="n"/>
      <c r="E1052" s="91" t="n"/>
      <c r="F1052" s="67" t="n"/>
      <c r="G1052" s="58" t="n"/>
      <c r="H1052" s="55" t="n"/>
      <c r="I1052" s="55" t="n"/>
      <c r="J1052" s="55" t="n"/>
      <c r="K1052" s="55" t="n"/>
      <c r="L1052" s="55" t="n"/>
      <c r="M1052" s="55" t="n"/>
      <c r="N1052" s="55" t="n"/>
      <c r="O1052" s="58" t="n"/>
      <c r="P1052" s="58" t="n"/>
      <c r="Q1052" s="58" t="n"/>
      <c r="R1052" s="58" t="n"/>
      <c r="S1052" s="59">
        <f>SUM(O1052:R1052)</f>
        <v/>
      </c>
      <c r="T1052" s="52" t="n"/>
      <c r="U1052" s="53" t="n"/>
      <c r="V1052" s="58" t="n"/>
      <c r="W1052" s="58" t="n"/>
      <c r="X1052" s="58" t="n"/>
      <c r="Y1052" s="52" t="n"/>
      <c r="Z1052" s="58" t="n"/>
      <c r="AA1052" s="58" t="n"/>
      <c r="AB1052" s="58" t="n"/>
      <c r="AC1052" s="58" t="n"/>
      <c r="AD1052" s="53" t="n"/>
      <c r="AE1052" s="61">
        <f>SUMIFS([1]инфо!$D$15:$D$28,[1]инфо!$A$15:$A$28,F1052)</f>
        <v/>
      </c>
      <c r="AF1052" s="62">
        <f>IF(H1052=0,0,N1052/H1052)</f>
        <v/>
      </c>
      <c r="AG1052" s="63">
        <f>AF1052-AE1052</f>
        <v/>
      </c>
      <c r="AH1052" s="61">
        <f>SUMIFS([1]инфо!$E$15:$E$28,[1]инфо!$A$15:$A$28,F1052)</f>
        <v/>
      </c>
      <c r="AI1052" s="62">
        <f>IF(H1051=0,0,S1052/H1051)</f>
        <v/>
      </c>
      <c r="AJ1052" s="63">
        <f>AI1052-AH1052</f>
        <v/>
      </c>
      <c r="AK1052" s="61">
        <f>SUMIFS([1]инфо!$F$15:$F$28,[1]инфо!$A$15:$A$28,F1052)</f>
        <v/>
      </c>
      <c r="AL1052" s="64">
        <f>IF(H1052=0,0,Y1052/H1052)</f>
        <v/>
      </c>
      <c r="AM1052" s="63">
        <f>AL1052-AK1052</f>
        <v/>
      </c>
      <c r="AN1052" s="61">
        <f>SUMIFS([1]инфо!$G$15:$G$28,[1]инфо!$A$15:$A$28,F1052)</f>
        <v/>
      </c>
      <c r="AO1052" s="64">
        <f>IF(H1052=0,0,AA1052/H1052)</f>
        <v/>
      </c>
      <c r="AP1052" s="63">
        <f>AO1052-AN1052</f>
        <v/>
      </c>
      <c r="AQ1052" s="61">
        <f>SUMIFS([1]инфо!$H$15:$H$28,[1]инфо!$A$15:$A$28,F1052)</f>
        <v/>
      </c>
      <c r="AR1052" s="62">
        <f>IF(H1051=0,0,AC1052/H1051)</f>
        <v/>
      </c>
      <c r="AS1052" s="63">
        <f>AR1052-AQ1052</f>
        <v/>
      </c>
      <c r="AT1052" s="61">
        <f>SUMIFS([1]инфо!$I$15:$I$28,[1]инфо!$A$15:$A$28,F1052)</f>
        <v/>
      </c>
      <c r="AU1052" s="62">
        <f>IF(H1052=0,0,AD1052/H1052)</f>
        <v/>
      </c>
      <c r="AV1052" s="63">
        <f>AU1052-AT1052</f>
        <v/>
      </c>
      <c r="AX1052" s="59">
        <f>SUMIFS([1]инфо!$C$15:$C$28,[1]инфо!$A$15:$A$28,F1052)*H1051</f>
        <v/>
      </c>
    </row>
    <row r="1053">
      <c r="A1053" s="71">
        <f>A1051+1</f>
        <v/>
      </c>
      <c r="B1053" s="90" t="n"/>
      <c r="C1053" s="52" t="n"/>
      <c r="D1053" s="53" t="n"/>
      <c r="E1053" s="91" t="n"/>
      <c r="F1053" s="67" t="n"/>
      <c r="G1053" s="58" t="n"/>
      <c r="H1053" s="56" t="n"/>
      <c r="I1053" s="55" t="n"/>
      <c r="J1053" s="55" t="n"/>
      <c r="K1053" s="55" t="n"/>
      <c r="L1053" s="55" t="n"/>
      <c r="M1053" s="55" t="n"/>
      <c r="N1053" s="55" t="n"/>
      <c r="O1053" s="58" t="n"/>
      <c r="P1053" s="58" t="n"/>
      <c r="Q1053" s="58" t="n"/>
      <c r="R1053" s="58" t="n"/>
      <c r="S1053" s="59">
        <f>SUM(O1053:R1053)</f>
        <v/>
      </c>
      <c r="T1053" s="52" t="n"/>
      <c r="U1053" s="53" t="n"/>
      <c r="V1053" s="58" t="n"/>
      <c r="W1053" s="58" t="n"/>
      <c r="X1053" s="58" t="n"/>
      <c r="Y1053" s="52" t="n"/>
      <c r="Z1053" s="58" t="n"/>
      <c r="AA1053" s="58" t="n"/>
      <c r="AB1053" s="58" t="n"/>
      <c r="AC1053" s="58" t="n"/>
      <c r="AD1053" s="53" t="n"/>
      <c r="AE1053" s="61">
        <f>SUMIFS([1]инфо!$D$15:$D$28,[1]инфо!$A$15:$A$28,F1053)</f>
        <v/>
      </c>
      <c r="AF1053" s="62">
        <f>IF(H1053=0,0,N1053/H1053)</f>
        <v/>
      </c>
      <c r="AG1053" s="63">
        <f>AF1053-AE1053</f>
        <v/>
      </c>
      <c r="AH1053" s="61">
        <f>SUMIFS([1]инфо!$E$15:$E$28,[1]инфо!$A$15:$A$28,F1053)</f>
        <v/>
      </c>
      <c r="AI1053" s="62">
        <f>IF(H1052=0,0,S1053/H1052)</f>
        <v/>
      </c>
      <c r="AJ1053" s="63">
        <f>AI1053-AH1053</f>
        <v/>
      </c>
      <c r="AK1053" s="61">
        <f>SUMIFS([1]инфо!$F$15:$F$28,[1]инфо!$A$15:$A$28,F1053)</f>
        <v/>
      </c>
      <c r="AL1053" s="64">
        <f>IF(H1053=0,0,Y1053/H1053)</f>
        <v/>
      </c>
      <c r="AM1053" s="63">
        <f>AL1053-AK1053</f>
        <v/>
      </c>
      <c r="AN1053" s="61">
        <f>SUMIFS([1]инфо!$G$15:$G$28,[1]инфо!$A$15:$A$28,F1053)</f>
        <v/>
      </c>
      <c r="AO1053" s="64">
        <f>IF(H1053=0,0,AA1053/H1053)</f>
        <v/>
      </c>
      <c r="AP1053" s="63">
        <f>AO1053-AN1053</f>
        <v/>
      </c>
      <c r="AQ1053" s="61">
        <f>SUMIFS([1]инфо!$H$15:$H$28,[1]инфо!$A$15:$A$28,F1053)</f>
        <v/>
      </c>
      <c r="AR1053" s="62">
        <f>IF(H1052=0,0,AC1053/H1052)</f>
        <v/>
      </c>
      <c r="AS1053" s="63">
        <f>AR1053-AQ1053</f>
        <v/>
      </c>
      <c r="AT1053" s="61">
        <f>SUMIFS([1]инфо!$I$15:$I$28,[1]инфо!$A$15:$A$28,F1053)</f>
        <v/>
      </c>
      <c r="AU1053" s="62">
        <f>IF(H1053=0,0,AD1053/H1053)</f>
        <v/>
      </c>
      <c r="AV1053" s="63">
        <f>AU1053-AT1053</f>
        <v/>
      </c>
      <c r="AX1053" s="59">
        <f>SUMIFS([1]инфо!$C$15:$C$28,[1]инфо!$A$15:$A$28,F1053)*H1052</f>
        <v/>
      </c>
    </row>
    <row r="1054">
      <c r="A1054" s="71">
        <f>A1052+1</f>
        <v/>
      </c>
      <c r="B1054" s="88" t="n"/>
      <c r="C1054" s="77" t="n"/>
      <c r="D1054" s="78" t="n"/>
      <c r="E1054" s="91" t="n"/>
      <c r="F1054" s="67" t="n"/>
      <c r="G1054" s="79" t="n"/>
      <c r="H1054" s="67" t="n"/>
      <c r="I1054" s="55" t="n"/>
      <c r="J1054" s="55" t="n"/>
      <c r="K1054" s="55" t="n"/>
      <c r="L1054" s="55" t="n"/>
      <c r="M1054" s="55" t="n"/>
      <c r="N1054" s="56" t="n"/>
      <c r="O1054" s="79" t="n"/>
      <c r="P1054" s="79" t="n"/>
      <c r="Q1054" s="79" t="n"/>
      <c r="R1054" s="79" t="n"/>
      <c r="S1054" s="80">
        <f>SUM(O1054:R1054)</f>
        <v/>
      </c>
      <c r="T1054" s="77" t="n"/>
      <c r="U1054" s="78" t="n"/>
      <c r="V1054" s="79" t="n"/>
      <c r="W1054" s="79" t="n"/>
      <c r="X1054" s="79" t="n"/>
      <c r="Y1054" s="77" t="n"/>
      <c r="Z1054" s="79" t="n"/>
      <c r="AA1054" s="79" t="n"/>
      <c r="AB1054" s="79" t="n"/>
      <c r="AC1054" s="79" t="n"/>
      <c r="AD1054" s="78" t="n"/>
      <c r="AE1054" s="81">
        <f>SUMIFS([1]инфо!$D$15:$D$28,[1]инфо!$A$15:$A$28,F1054)</f>
        <v/>
      </c>
      <c r="AF1054" s="62">
        <f>IF(H1054=0,0,N1054/H1054)</f>
        <v/>
      </c>
      <c r="AG1054" s="82">
        <f>AF1054-AE1054</f>
        <v/>
      </c>
      <c r="AH1054" s="81">
        <f>SUMIFS([1]инфо!$E$15:$E$28,[1]инфо!$A$15:$A$28,F1054)</f>
        <v/>
      </c>
      <c r="AI1054" s="85">
        <f>IF(H1053=0,0,S1054/H1053)</f>
        <v/>
      </c>
      <c r="AJ1054" s="82">
        <f>AI1054-AH1054</f>
        <v/>
      </c>
      <c r="AK1054" s="81">
        <f>SUMIFS([1]инфо!$F$15:$F$28,[1]инфо!$A$15:$A$28,F1054)</f>
        <v/>
      </c>
      <c r="AL1054" s="64">
        <f>IF(H1054=0,0,Y1054/H1054)</f>
        <v/>
      </c>
      <c r="AM1054" s="82">
        <f>AL1054-AK1054</f>
        <v/>
      </c>
      <c r="AN1054" s="81">
        <f>SUMIFS([1]инфо!$G$15:$G$28,[1]инфо!$A$15:$A$28,F1054)</f>
        <v/>
      </c>
      <c r="AO1054" s="64">
        <f>IF(H1054=0,0,AA1054/H1054)</f>
        <v/>
      </c>
      <c r="AP1054" s="82">
        <f>AO1054-AN1054</f>
        <v/>
      </c>
      <c r="AQ1054" s="81">
        <f>SUMIFS([1]инфо!$H$15:$H$28,[1]инфо!$A$15:$A$28,F1054)</f>
        <v/>
      </c>
      <c r="AR1054" s="85">
        <f>IF(H1053=0,0,AC1054/H1053)</f>
        <v/>
      </c>
      <c r="AS1054" s="82">
        <f>AR1054-AQ1054</f>
        <v/>
      </c>
      <c r="AT1054" s="81">
        <f>SUMIFS([1]инфо!$I$15:$I$28,[1]инфо!$A$15:$A$28,F1054)</f>
        <v/>
      </c>
      <c r="AU1054" s="62">
        <f>IF(H1054=0,0,AD1054/H1054)</f>
        <v/>
      </c>
      <c r="AV1054" s="82">
        <f>AU1054-AT1054</f>
        <v/>
      </c>
      <c r="AX1054" s="80">
        <f>SUMIFS([1]инфо!$C$15:$C$28,[1]инфо!$A$15:$A$28,F1054)*H1053</f>
        <v/>
      </c>
    </row>
    <row r="1055">
      <c r="A1055" s="71">
        <f>A1053+1</f>
        <v/>
      </c>
      <c r="B1055" s="89" t="n"/>
      <c r="C1055" s="72" t="n"/>
      <c r="D1055" s="73" t="n"/>
      <c r="E1055" s="91" t="n"/>
      <c r="F1055" s="67" t="n"/>
      <c r="G1055" s="74" t="n"/>
      <c r="H1055" s="55" t="n"/>
      <c r="I1055" s="55" t="n"/>
      <c r="J1055" s="55" t="n"/>
      <c r="K1055" s="55" t="n"/>
      <c r="L1055" s="55" t="n"/>
      <c r="M1055" s="55" t="n"/>
      <c r="N1055" s="67" t="n"/>
      <c r="O1055" s="74" t="n"/>
      <c r="P1055" s="74" t="n"/>
      <c r="Q1055" s="74" t="n"/>
      <c r="R1055" s="74" t="n"/>
      <c r="S1055" s="70">
        <f>SUM(O1055:R1055)</f>
        <v/>
      </c>
      <c r="T1055" s="72" t="n"/>
      <c r="U1055" s="73" t="n"/>
      <c r="V1055" s="74" t="n"/>
      <c r="W1055" s="74" t="n"/>
      <c r="X1055" s="74" t="n"/>
      <c r="Y1055" s="72" t="n"/>
      <c r="Z1055" s="74" t="n"/>
      <c r="AA1055" s="74" t="n"/>
      <c r="AB1055" s="74" t="n"/>
      <c r="AC1055" s="74" t="n"/>
      <c r="AD1055" s="73" t="n"/>
      <c r="AE1055" s="75">
        <f>SUMIFS([1]инфо!$D$15:$D$28,[1]инфо!$A$15:$A$28,F1055)</f>
        <v/>
      </c>
      <c r="AF1055" s="62">
        <f>IF(H1055=0,0,N1055/H1055)</f>
        <v/>
      </c>
      <c r="AG1055" s="76">
        <f>AF1055-AE1055</f>
        <v/>
      </c>
      <c r="AH1055" s="75">
        <f>SUMIFS([1]инфо!$E$15:$E$28,[1]инфо!$A$15:$A$28,F1055)</f>
        <v/>
      </c>
      <c r="AI1055" s="64">
        <f>IF(H1054=0,0,S1055/H1054)</f>
        <v/>
      </c>
      <c r="AJ1055" s="76">
        <f>AI1055-AH1055</f>
        <v/>
      </c>
      <c r="AK1055" s="75">
        <f>SUMIFS([1]инфо!$F$15:$F$28,[1]инфо!$A$15:$A$28,F1055)</f>
        <v/>
      </c>
      <c r="AL1055" s="64">
        <f>IF(H1055=0,0,Y1055/H1055)</f>
        <v/>
      </c>
      <c r="AM1055" s="76">
        <f>AL1055-AK1055</f>
        <v/>
      </c>
      <c r="AN1055" s="75">
        <f>SUMIFS([1]инфо!$G$15:$G$28,[1]инфо!$A$15:$A$28,F1055)</f>
        <v/>
      </c>
      <c r="AO1055" s="64">
        <f>IF(H1055=0,0,AA1055/H1055)</f>
        <v/>
      </c>
      <c r="AP1055" s="76">
        <f>AO1055-AN1055</f>
        <v/>
      </c>
      <c r="AQ1055" s="75">
        <f>SUMIFS([1]инфо!$H$15:$H$28,[1]инфо!$A$15:$A$28,F1055)</f>
        <v/>
      </c>
      <c r="AR1055" s="64">
        <f>IF(H1054=0,0,AC1055/H1054)</f>
        <v/>
      </c>
      <c r="AS1055" s="76">
        <f>AR1055-AQ1055</f>
        <v/>
      </c>
      <c r="AT1055" s="75">
        <f>SUMIFS([1]инфо!$I$15:$I$28,[1]инфо!$A$15:$A$28,F1055)</f>
        <v/>
      </c>
      <c r="AU1055" s="62">
        <f>IF(H1055=0,0,AD1055/H1055)</f>
        <v/>
      </c>
      <c r="AV1055" s="76">
        <f>AU1055-AT1055</f>
        <v/>
      </c>
      <c r="AX1055" s="70">
        <f>SUMIFS([1]инфо!$C$15:$C$28,[1]инфо!$A$15:$A$28,F1055)*H1054</f>
        <v/>
      </c>
    </row>
    <row r="1056">
      <c r="A1056" s="71">
        <f>A1054+1</f>
        <v/>
      </c>
      <c r="B1056" s="90" t="n"/>
      <c r="C1056" s="52" t="n"/>
      <c r="D1056" s="53" t="n"/>
      <c r="E1056" s="91" t="n"/>
      <c r="F1056" s="67" t="n"/>
      <c r="G1056" s="58" t="n"/>
      <c r="H1056" s="55" t="n"/>
      <c r="I1056" s="55" t="n"/>
      <c r="J1056" s="55" t="n"/>
      <c r="K1056" s="55" t="n"/>
      <c r="L1056" s="55" t="n"/>
      <c r="M1056" s="55" t="n"/>
      <c r="N1056" s="55" t="n"/>
      <c r="O1056" s="58" t="n"/>
      <c r="P1056" s="58" t="n"/>
      <c r="Q1056" s="58" t="n"/>
      <c r="R1056" s="58" t="n"/>
      <c r="S1056" s="59">
        <f>SUM(O1056:R1056)</f>
        <v/>
      </c>
      <c r="T1056" s="52" t="n"/>
      <c r="U1056" s="53" t="n"/>
      <c r="V1056" s="58" t="n"/>
      <c r="W1056" s="58" t="n"/>
      <c r="X1056" s="58" t="n"/>
      <c r="Y1056" s="52" t="n"/>
      <c r="Z1056" s="58" t="n"/>
      <c r="AA1056" s="58" t="n"/>
      <c r="AB1056" s="58" t="n"/>
      <c r="AC1056" s="58" t="n"/>
      <c r="AD1056" s="53" t="n"/>
      <c r="AE1056" s="61">
        <f>SUMIFS([1]инфо!$D$15:$D$28,[1]инфо!$A$15:$A$28,F1056)</f>
        <v/>
      </c>
      <c r="AF1056" s="62">
        <f>IF(H1056=0,0,N1056/H1056)</f>
        <v/>
      </c>
      <c r="AG1056" s="63">
        <f>AF1056-AE1056</f>
        <v/>
      </c>
      <c r="AH1056" s="61">
        <f>SUMIFS([1]инфо!$E$15:$E$28,[1]инфо!$A$15:$A$28,F1056)</f>
        <v/>
      </c>
      <c r="AI1056" s="62">
        <f>IF(H1055=0,0,S1056/H1055)</f>
        <v/>
      </c>
      <c r="AJ1056" s="63">
        <f>AI1056-AH1056</f>
        <v/>
      </c>
      <c r="AK1056" s="61">
        <f>SUMIFS([1]инфо!$F$15:$F$28,[1]инфо!$A$15:$A$28,F1056)</f>
        <v/>
      </c>
      <c r="AL1056" s="64">
        <f>IF(H1056=0,0,Y1056/H1056)</f>
        <v/>
      </c>
      <c r="AM1056" s="63">
        <f>AL1056-AK1056</f>
        <v/>
      </c>
      <c r="AN1056" s="61">
        <f>SUMIFS([1]инфо!$G$15:$G$28,[1]инфо!$A$15:$A$28,F1056)</f>
        <v/>
      </c>
      <c r="AO1056" s="64">
        <f>IF(H1056=0,0,AA1056/H1056)</f>
        <v/>
      </c>
      <c r="AP1056" s="63">
        <f>AO1056-AN1056</f>
        <v/>
      </c>
      <c r="AQ1056" s="61">
        <f>SUMIFS([1]инфо!$H$15:$H$28,[1]инфо!$A$15:$A$28,F1056)</f>
        <v/>
      </c>
      <c r="AR1056" s="62">
        <f>IF(H1055=0,0,AC1056/H1055)</f>
        <v/>
      </c>
      <c r="AS1056" s="63">
        <f>AR1056-AQ1056</f>
        <v/>
      </c>
      <c r="AT1056" s="61">
        <f>SUMIFS([1]инфо!$I$15:$I$28,[1]инфо!$A$15:$A$28,F1056)</f>
        <v/>
      </c>
      <c r="AU1056" s="62">
        <f>IF(H1056=0,0,AD1056/H1056)</f>
        <v/>
      </c>
      <c r="AV1056" s="63">
        <f>AU1056-AT1056</f>
        <v/>
      </c>
      <c r="AX1056" s="59">
        <f>SUMIFS([1]инфо!$C$15:$C$28,[1]инфо!$A$15:$A$28,F1056)*H1055</f>
        <v/>
      </c>
    </row>
    <row r="1057">
      <c r="A1057" s="71">
        <f>A1055+1</f>
        <v/>
      </c>
      <c r="B1057" s="90" t="n"/>
      <c r="C1057" s="52" t="n"/>
      <c r="D1057" s="53" t="n"/>
      <c r="E1057" s="91" t="n"/>
      <c r="F1057" s="67" t="n"/>
      <c r="G1057" s="58" t="n"/>
      <c r="H1057" s="56" t="n"/>
      <c r="I1057" s="55" t="n"/>
      <c r="J1057" s="55" t="n"/>
      <c r="K1057" s="55" t="n"/>
      <c r="L1057" s="55" t="n"/>
      <c r="M1057" s="55" t="n"/>
      <c r="N1057" s="55" t="n"/>
      <c r="O1057" s="58" t="n"/>
      <c r="P1057" s="58" t="n"/>
      <c r="Q1057" s="58" t="n"/>
      <c r="R1057" s="58" t="n"/>
      <c r="S1057" s="59">
        <f>SUM(O1057:R1057)</f>
        <v/>
      </c>
      <c r="T1057" s="52" t="n"/>
      <c r="U1057" s="53" t="n"/>
      <c r="V1057" s="58" t="n"/>
      <c r="W1057" s="58" t="n"/>
      <c r="X1057" s="58" t="n"/>
      <c r="Y1057" s="52" t="n"/>
      <c r="Z1057" s="58" t="n"/>
      <c r="AA1057" s="58" t="n"/>
      <c r="AB1057" s="58" t="n"/>
      <c r="AC1057" s="58" t="n"/>
      <c r="AD1057" s="53" t="n"/>
      <c r="AE1057" s="61">
        <f>SUMIFS([1]инфо!$D$15:$D$28,[1]инфо!$A$15:$A$28,F1057)</f>
        <v/>
      </c>
      <c r="AF1057" s="62">
        <f>IF(H1057=0,0,N1057/H1057)</f>
        <v/>
      </c>
      <c r="AG1057" s="63">
        <f>AF1057-AE1057</f>
        <v/>
      </c>
      <c r="AH1057" s="61">
        <f>SUMIFS([1]инфо!$E$15:$E$28,[1]инфо!$A$15:$A$28,F1057)</f>
        <v/>
      </c>
      <c r="AI1057" s="62">
        <f>IF(H1056=0,0,S1057/H1056)</f>
        <v/>
      </c>
      <c r="AJ1057" s="63">
        <f>AI1057-AH1057</f>
        <v/>
      </c>
      <c r="AK1057" s="61">
        <f>SUMIFS([1]инфо!$F$15:$F$28,[1]инфо!$A$15:$A$28,F1057)</f>
        <v/>
      </c>
      <c r="AL1057" s="64">
        <f>IF(H1057=0,0,Y1057/H1057)</f>
        <v/>
      </c>
      <c r="AM1057" s="63">
        <f>AL1057-AK1057</f>
        <v/>
      </c>
      <c r="AN1057" s="61">
        <f>SUMIFS([1]инфо!$G$15:$G$28,[1]инфо!$A$15:$A$28,F1057)</f>
        <v/>
      </c>
      <c r="AO1057" s="64">
        <f>IF(H1057=0,0,AA1057/H1057)</f>
        <v/>
      </c>
      <c r="AP1057" s="63">
        <f>AO1057-AN1057</f>
        <v/>
      </c>
      <c r="AQ1057" s="61">
        <f>SUMIFS([1]инфо!$H$15:$H$28,[1]инфо!$A$15:$A$28,F1057)</f>
        <v/>
      </c>
      <c r="AR1057" s="62">
        <f>IF(H1056=0,0,AC1057/H1056)</f>
        <v/>
      </c>
      <c r="AS1057" s="63">
        <f>AR1057-AQ1057</f>
        <v/>
      </c>
      <c r="AT1057" s="61">
        <f>SUMIFS([1]инфо!$I$15:$I$28,[1]инфо!$A$15:$A$28,F1057)</f>
        <v/>
      </c>
      <c r="AU1057" s="62">
        <f>IF(H1057=0,0,AD1057/H1057)</f>
        <v/>
      </c>
      <c r="AV1057" s="63">
        <f>AU1057-AT1057</f>
        <v/>
      </c>
      <c r="AX1057" s="59">
        <f>SUMIFS([1]инфо!$C$15:$C$28,[1]инфо!$A$15:$A$28,F1057)*H1056</f>
        <v/>
      </c>
    </row>
    <row r="1058">
      <c r="A1058" s="71">
        <f>A1056+1</f>
        <v/>
      </c>
      <c r="B1058" s="88" t="n"/>
      <c r="C1058" s="77" t="n"/>
      <c r="D1058" s="78" t="n"/>
      <c r="E1058" s="91" t="n"/>
      <c r="F1058" s="67" t="n"/>
      <c r="G1058" s="79" t="n"/>
      <c r="H1058" s="67" t="n"/>
      <c r="I1058" s="55" t="n"/>
      <c r="J1058" s="55" t="n"/>
      <c r="K1058" s="55" t="n"/>
      <c r="L1058" s="55" t="n"/>
      <c r="M1058" s="55" t="n"/>
      <c r="N1058" s="56" t="n"/>
      <c r="O1058" s="79" t="n"/>
      <c r="P1058" s="79" t="n"/>
      <c r="Q1058" s="79" t="n"/>
      <c r="R1058" s="79" t="n"/>
      <c r="S1058" s="80">
        <f>SUM(O1058:R1058)</f>
        <v/>
      </c>
      <c r="T1058" s="77" t="n"/>
      <c r="U1058" s="78" t="n"/>
      <c r="V1058" s="79" t="n"/>
      <c r="W1058" s="79" t="n"/>
      <c r="X1058" s="79" t="n"/>
      <c r="Y1058" s="77" t="n"/>
      <c r="Z1058" s="79" t="n"/>
      <c r="AA1058" s="79" t="n"/>
      <c r="AB1058" s="79" t="n"/>
      <c r="AC1058" s="79" t="n"/>
      <c r="AD1058" s="78" t="n"/>
      <c r="AE1058" s="81">
        <f>SUMIFS([1]инфо!$D$15:$D$28,[1]инфо!$A$15:$A$28,F1058)</f>
        <v/>
      </c>
      <c r="AF1058" s="62">
        <f>IF(H1058=0,0,N1058/H1058)</f>
        <v/>
      </c>
      <c r="AG1058" s="82">
        <f>AF1058-AE1058</f>
        <v/>
      </c>
      <c r="AH1058" s="81">
        <f>SUMIFS([1]инфо!$E$15:$E$28,[1]инфо!$A$15:$A$28,F1058)</f>
        <v/>
      </c>
      <c r="AI1058" s="85">
        <f>IF(H1057=0,0,S1058/H1057)</f>
        <v/>
      </c>
      <c r="AJ1058" s="82">
        <f>AI1058-AH1058</f>
        <v/>
      </c>
      <c r="AK1058" s="81">
        <f>SUMIFS([1]инфо!$F$15:$F$28,[1]инфо!$A$15:$A$28,F1058)</f>
        <v/>
      </c>
      <c r="AL1058" s="64">
        <f>IF(H1058=0,0,Y1058/H1058)</f>
        <v/>
      </c>
      <c r="AM1058" s="82">
        <f>AL1058-AK1058</f>
        <v/>
      </c>
      <c r="AN1058" s="81">
        <f>SUMIFS([1]инфо!$G$15:$G$28,[1]инфо!$A$15:$A$28,F1058)</f>
        <v/>
      </c>
      <c r="AO1058" s="64">
        <f>IF(H1058=0,0,AA1058/H1058)</f>
        <v/>
      </c>
      <c r="AP1058" s="82">
        <f>AO1058-AN1058</f>
        <v/>
      </c>
      <c r="AQ1058" s="81">
        <f>SUMIFS([1]инфо!$H$15:$H$28,[1]инфо!$A$15:$A$28,F1058)</f>
        <v/>
      </c>
      <c r="AR1058" s="85">
        <f>IF(H1057=0,0,AC1058/H1057)</f>
        <v/>
      </c>
      <c r="AS1058" s="82">
        <f>AR1058-AQ1058</f>
        <v/>
      </c>
      <c r="AT1058" s="81">
        <f>SUMIFS([1]инфо!$I$15:$I$28,[1]инфо!$A$15:$A$28,F1058)</f>
        <v/>
      </c>
      <c r="AU1058" s="62">
        <f>IF(H1058=0,0,AD1058/H1058)</f>
        <v/>
      </c>
      <c r="AV1058" s="82">
        <f>AU1058-AT1058</f>
        <v/>
      </c>
      <c r="AX1058" s="80">
        <f>SUMIFS([1]инфо!$C$15:$C$28,[1]инфо!$A$15:$A$28,F1058)*H1057</f>
        <v/>
      </c>
    </row>
    <row r="1059">
      <c r="A1059" s="71">
        <f>A1057+1</f>
        <v/>
      </c>
      <c r="B1059" s="89" t="n"/>
      <c r="C1059" s="72" t="n"/>
      <c r="D1059" s="73" t="n"/>
      <c r="E1059" s="91" t="n"/>
      <c r="F1059" s="67" t="n"/>
      <c r="G1059" s="74" t="n"/>
      <c r="H1059" s="55" t="n"/>
      <c r="I1059" s="55" t="n"/>
      <c r="J1059" s="55" t="n"/>
      <c r="K1059" s="55" t="n"/>
      <c r="L1059" s="55" t="n"/>
      <c r="M1059" s="55" t="n"/>
      <c r="N1059" s="67" t="n"/>
      <c r="O1059" s="74" t="n"/>
      <c r="P1059" s="74" t="n"/>
      <c r="Q1059" s="74" t="n"/>
      <c r="R1059" s="74" t="n"/>
      <c r="S1059" s="70">
        <f>SUM(O1059:R1059)</f>
        <v/>
      </c>
      <c r="T1059" s="72" t="n"/>
      <c r="U1059" s="73" t="n"/>
      <c r="V1059" s="74" t="n"/>
      <c r="W1059" s="74" t="n"/>
      <c r="X1059" s="74" t="n"/>
      <c r="Y1059" s="72" t="n"/>
      <c r="Z1059" s="74" t="n"/>
      <c r="AA1059" s="74" t="n"/>
      <c r="AB1059" s="74" t="n"/>
      <c r="AC1059" s="74" t="n"/>
      <c r="AD1059" s="73" t="n"/>
      <c r="AE1059" s="75">
        <f>SUMIFS([1]инфо!$D$15:$D$28,[1]инфо!$A$15:$A$28,F1059)</f>
        <v/>
      </c>
      <c r="AF1059" s="62">
        <f>IF(H1059=0,0,N1059/H1059)</f>
        <v/>
      </c>
      <c r="AG1059" s="76">
        <f>AF1059-AE1059</f>
        <v/>
      </c>
      <c r="AH1059" s="75">
        <f>SUMIFS([1]инфо!$E$15:$E$28,[1]инфо!$A$15:$A$28,F1059)</f>
        <v/>
      </c>
      <c r="AI1059" s="64">
        <f>IF(H1058=0,0,S1059/H1058)</f>
        <v/>
      </c>
      <c r="AJ1059" s="76">
        <f>AI1059-AH1059</f>
        <v/>
      </c>
      <c r="AK1059" s="75">
        <f>SUMIFS([1]инфо!$F$15:$F$28,[1]инфо!$A$15:$A$28,F1059)</f>
        <v/>
      </c>
      <c r="AL1059" s="64">
        <f>IF(H1059=0,0,Y1059/H1059)</f>
        <v/>
      </c>
      <c r="AM1059" s="76">
        <f>AL1059-AK1059</f>
        <v/>
      </c>
      <c r="AN1059" s="75">
        <f>SUMIFS([1]инфо!$G$15:$G$28,[1]инфо!$A$15:$A$28,F1059)</f>
        <v/>
      </c>
      <c r="AO1059" s="64">
        <f>IF(H1059=0,0,AA1059/H1059)</f>
        <v/>
      </c>
      <c r="AP1059" s="76">
        <f>AO1059-AN1059</f>
        <v/>
      </c>
      <c r="AQ1059" s="75">
        <f>SUMIFS([1]инфо!$H$15:$H$28,[1]инфо!$A$15:$A$28,F1059)</f>
        <v/>
      </c>
      <c r="AR1059" s="64">
        <f>IF(H1058=0,0,AC1059/H1058)</f>
        <v/>
      </c>
      <c r="AS1059" s="76">
        <f>AR1059-AQ1059</f>
        <v/>
      </c>
      <c r="AT1059" s="75">
        <f>SUMIFS([1]инфо!$I$15:$I$28,[1]инфо!$A$15:$A$28,F1059)</f>
        <v/>
      </c>
      <c r="AU1059" s="62">
        <f>IF(H1059=0,0,AD1059/H1059)</f>
        <v/>
      </c>
      <c r="AV1059" s="76">
        <f>AU1059-AT1059</f>
        <v/>
      </c>
      <c r="AX1059" s="70">
        <f>SUMIFS([1]инфо!$C$15:$C$28,[1]инфо!$A$15:$A$28,F1059)*H1058</f>
        <v/>
      </c>
    </row>
    <row r="1060">
      <c r="A1060" s="71">
        <f>A1058+1</f>
        <v/>
      </c>
      <c r="B1060" s="90" t="n"/>
      <c r="C1060" s="52" t="n"/>
      <c r="D1060" s="53" t="n"/>
      <c r="E1060" s="91" t="n"/>
      <c r="F1060" s="67" t="n"/>
      <c r="G1060" s="58" t="n"/>
      <c r="H1060" s="55" t="n"/>
      <c r="I1060" s="55" t="n"/>
      <c r="J1060" s="55" t="n"/>
      <c r="K1060" s="55" t="n"/>
      <c r="L1060" s="55" t="n"/>
      <c r="M1060" s="55" t="n"/>
      <c r="N1060" s="55" t="n"/>
      <c r="O1060" s="58" t="n"/>
      <c r="P1060" s="58" t="n"/>
      <c r="Q1060" s="58" t="n"/>
      <c r="R1060" s="58" t="n"/>
      <c r="S1060" s="59">
        <f>SUM(O1060:R1060)</f>
        <v/>
      </c>
      <c r="T1060" s="52" t="n"/>
      <c r="U1060" s="53" t="n"/>
      <c r="V1060" s="58" t="n"/>
      <c r="W1060" s="58" t="n"/>
      <c r="X1060" s="58" t="n"/>
      <c r="Y1060" s="52" t="n"/>
      <c r="Z1060" s="58" t="n"/>
      <c r="AA1060" s="58" t="n"/>
      <c r="AB1060" s="58" t="n"/>
      <c r="AC1060" s="58" t="n"/>
      <c r="AD1060" s="53" t="n"/>
      <c r="AE1060" s="61">
        <f>SUMIFS([1]инфо!$D$15:$D$28,[1]инфо!$A$15:$A$28,F1060)</f>
        <v/>
      </c>
      <c r="AF1060" s="62">
        <f>IF(H1060=0,0,N1060/H1060)</f>
        <v/>
      </c>
      <c r="AG1060" s="63">
        <f>AF1060-AE1060</f>
        <v/>
      </c>
      <c r="AH1060" s="61">
        <f>SUMIFS([1]инфо!$E$15:$E$28,[1]инфо!$A$15:$A$28,F1060)</f>
        <v/>
      </c>
      <c r="AI1060" s="62">
        <f>IF(H1059=0,0,S1060/H1059)</f>
        <v/>
      </c>
      <c r="AJ1060" s="63">
        <f>AI1060-AH1060</f>
        <v/>
      </c>
      <c r="AK1060" s="61">
        <f>SUMIFS([1]инфо!$F$15:$F$28,[1]инфо!$A$15:$A$28,F1060)</f>
        <v/>
      </c>
      <c r="AL1060" s="64">
        <f>IF(H1060=0,0,Y1060/H1060)</f>
        <v/>
      </c>
      <c r="AM1060" s="63">
        <f>AL1060-AK1060</f>
        <v/>
      </c>
      <c r="AN1060" s="61">
        <f>SUMIFS([1]инфо!$G$15:$G$28,[1]инфо!$A$15:$A$28,F1060)</f>
        <v/>
      </c>
      <c r="AO1060" s="64">
        <f>IF(H1060=0,0,AA1060/H1060)</f>
        <v/>
      </c>
      <c r="AP1060" s="63">
        <f>AO1060-AN1060</f>
        <v/>
      </c>
      <c r="AQ1060" s="61">
        <f>SUMIFS([1]инфо!$H$15:$H$28,[1]инфо!$A$15:$A$28,F1060)</f>
        <v/>
      </c>
      <c r="AR1060" s="62">
        <f>IF(H1059=0,0,AC1060/H1059)</f>
        <v/>
      </c>
      <c r="AS1060" s="63">
        <f>AR1060-AQ1060</f>
        <v/>
      </c>
      <c r="AT1060" s="61">
        <f>SUMIFS([1]инфо!$I$15:$I$28,[1]инфо!$A$15:$A$28,F1060)</f>
        <v/>
      </c>
      <c r="AU1060" s="62">
        <f>IF(H1060=0,0,AD1060/H1060)</f>
        <v/>
      </c>
      <c r="AV1060" s="63">
        <f>AU1060-AT1060</f>
        <v/>
      </c>
      <c r="AX1060" s="59">
        <f>SUMIFS([1]инфо!$C$15:$C$28,[1]инфо!$A$15:$A$28,F1060)*H1059</f>
        <v/>
      </c>
    </row>
    <row r="1061">
      <c r="A1061" s="71">
        <f>A1059+1</f>
        <v/>
      </c>
      <c r="B1061" s="90" t="n"/>
      <c r="C1061" s="52" t="n"/>
      <c r="D1061" s="53" t="n"/>
      <c r="E1061" s="91" t="n"/>
      <c r="F1061" s="67" t="n"/>
      <c r="G1061" s="58" t="n"/>
      <c r="H1061" s="56" t="n"/>
      <c r="I1061" s="55" t="n"/>
      <c r="J1061" s="55" t="n"/>
      <c r="K1061" s="55" t="n"/>
      <c r="L1061" s="55" t="n"/>
      <c r="M1061" s="55" t="n"/>
      <c r="N1061" s="55" t="n"/>
      <c r="O1061" s="58" t="n"/>
      <c r="P1061" s="58" t="n"/>
      <c r="Q1061" s="58" t="n"/>
      <c r="R1061" s="58" t="n"/>
      <c r="S1061" s="59">
        <f>SUM(O1061:R1061)</f>
        <v/>
      </c>
      <c r="T1061" s="52" t="n"/>
      <c r="U1061" s="53" t="n"/>
      <c r="V1061" s="58" t="n"/>
      <c r="W1061" s="58" t="n"/>
      <c r="X1061" s="58" t="n"/>
      <c r="Y1061" s="52" t="n"/>
      <c r="Z1061" s="58" t="n"/>
      <c r="AA1061" s="58" t="n"/>
      <c r="AB1061" s="58" t="n"/>
      <c r="AC1061" s="58" t="n"/>
      <c r="AD1061" s="53" t="n"/>
      <c r="AE1061" s="61">
        <f>SUMIFS([1]инфо!$D$15:$D$28,[1]инфо!$A$15:$A$28,F1061)</f>
        <v/>
      </c>
      <c r="AF1061" s="62">
        <f>IF(H1061=0,0,N1061/H1061)</f>
        <v/>
      </c>
      <c r="AG1061" s="63">
        <f>AF1061-AE1061</f>
        <v/>
      </c>
      <c r="AH1061" s="61">
        <f>SUMIFS([1]инфо!$E$15:$E$28,[1]инфо!$A$15:$A$28,F1061)</f>
        <v/>
      </c>
      <c r="AI1061" s="62">
        <f>IF(H1060=0,0,S1061/H1060)</f>
        <v/>
      </c>
      <c r="AJ1061" s="63">
        <f>AI1061-AH1061</f>
        <v/>
      </c>
      <c r="AK1061" s="61">
        <f>SUMIFS([1]инфо!$F$15:$F$28,[1]инфо!$A$15:$A$28,F1061)</f>
        <v/>
      </c>
      <c r="AL1061" s="64">
        <f>IF(H1061=0,0,Y1061/H1061)</f>
        <v/>
      </c>
      <c r="AM1061" s="63">
        <f>AL1061-AK1061</f>
        <v/>
      </c>
      <c r="AN1061" s="61">
        <f>SUMIFS([1]инфо!$G$15:$G$28,[1]инфо!$A$15:$A$28,F1061)</f>
        <v/>
      </c>
      <c r="AO1061" s="64">
        <f>IF(H1061=0,0,AA1061/H1061)</f>
        <v/>
      </c>
      <c r="AP1061" s="63">
        <f>AO1061-AN1061</f>
        <v/>
      </c>
      <c r="AQ1061" s="61">
        <f>SUMIFS([1]инфо!$H$15:$H$28,[1]инфо!$A$15:$A$28,F1061)</f>
        <v/>
      </c>
      <c r="AR1061" s="62">
        <f>IF(H1060=0,0,AC1061/H1060)</f>
        <v/>
      </c>
      <c r="AS1061" s="63">
        <f>AR1061-AQ1061</f>
        <v/>
      </c>
      <c r="AT1061" s="61">
        <f>SUMIFS([1]инфо!$I$15:$I$28,[1]инфо!$A$15:$A$28,F1061)</f>
        <v/>
      </c>
      <c r="AU1061" s="62">
        <f>IF(H1061=0,0,AD1061/H1061)</f>
        <v/>
      </c>
      <c r="AV1061" s="63">
        <f>AU1061-AT1061</f>
        <v/>
      </c>
      <c r="AX1061" s="59">
        <f>SUMIFS([1]инфо!$C$15:$C$28,[1]инфо!$A$15:$A$28,F1061)*H1060</f>
        <v/>
      </c>
    </row>
    <row r="1062">
      <c r="A1062" s="71">
        <f>A1060+1</f>
        <v/>
      </c>
      <c r="B1062" s="88" t="n"/>
      <c r="C1062" s="77" t="n"/>
      <c r="D1062" s="78" t="n"/>
      <c r="E1062" s="91" t="n"/>
      <c r="F1062" s="67" t="n"/>
      <c r="G1062" s="79" t="n"/>
      <c r="H1062" s="67" t="n"/>
      <c r="I1062" s="55" t="n"/>
      <c r="J1062" s="55" t="n"/>
      <c r="K1062" s="55" t="n"/>
      <c r="L1062" s="55" t="n"/>
      <c r="M1062" s="55" t="n"/>
      <c r="N1062" s="56" t="n"/>
      <c r="O1062" s="79" t="n"/>
      <c r="P1062" s="79" t="n"/>
      <c r="Q1062" s="79" t="n"/>
      <c r="R1062" s="79" t="n"/>
      <c r="S1062" s="80">
        <f>SUM(O1062:R1062)</f>
        <v/>
      </c>
      <c r="T1062" s="77" t="n"/>
      <c r="U1062" s="78" t="n"/>
      <c r="V1062" s="79" t="n"/>
      <c r="W1062" s="79" t="n"/>
      <c r="X1062" s="79" t="n"/>
      <c r="Y1062" s="77" t="n"/>
      <c r="Z1062" s="79" t="n"/>
      <c r="AA1062" s="79" t="n"/>
      <c r="AB1062" s="79" t="n"/>
      <c r="AC1062" s="79" t="n"/>
      <c r="AD1062" s="78" t="n"/>
      <c r="AE1062" s="81">
        <f>SUMIFS([1]инфо!$D$15:$D$28,[1]инфо!$A$15:$A$28,F1062)</f>
        <v/>
      </c>
      <c r="AF1062" s="62">
        <f>IF(H1062=0,0,N1062/H1062)</f>
        <v/>
      </c>
      <c r="AG1062" s="82">
        <f>AF1062-AE1062</f>
        <v/>
      </c>
      <c r="AH1062" s="81">
        <f>SUMIFS([1]инфо!$E$15:$E$28,[1]инфо!$A$15:$A$28,F1062)</f>
        <v/>
      </c>
      <c r="AI1062" s="85">
        <f>IF(H1061=0,0,S1062/H1061)</f>
        <v/>
      </c>
      <c r="AJ1062" s="82">
        <f>AI1062-AH1062</f>
        <v/>
      </c>
      <c r="AK1062" s="81">
        <f>SUMIFS([1]инфо!$F$15:$F$28,[1]инфо!$A$15:$A$28,F1062)</f>
        <v/>
      </c>
      <c r="AL1062" s="64">
        <f>IF(H1062=0,0,Y1062/H1062)</f>
        <v/>
      </c>
      <c r="AM1062" s="82">
        <f>AL1062-AK1062</f>
        <v/>
      </c>
      <c r="AN1062" s="81">
        <f>SUMIFS([1]инфо!$G$15:$G$28,[1]инфо!$A$15:$A$28,F1062)</f>
        <v/>
      </c>
      <c r="AO1062" s="64">
        <f>IF(H1062=0,0,AA1062/H1062)</f>
        <v/>
      </c>
      <c r="AP1062" s="82">
        <f>AO1062-AN1062</f>
        <v/>
      </c>
      <c r="AQ1062" s="81">
        <f>SUMIFS([1]инфо!$H$15:$H$28,[1]инфо!$A$15:$A$28,F1062)</f>
        <v/>
      </c>
      <c r="AR1062" s="85">
        <f>IF(H1061=0,0,AC1062/H1061)</f>
        <v/>
      </c>
      <c r="AS1062" s="82">
        <f>AR1062-AQ1062</f>
        <v/>
      </c>
      <c r="AT1062" s="81">
        <f>SUMIFS([1]инфо!$I$15:$I$28,[1]инфо!$A$15:$A$28,F1062)</f>
        <v/>
      </c>
      <c r="AU1062" s="62">
        <f>IF(H1062=0,0,AD1062/H1062)</f>
        <v/>
      </c>
      <c r="AV1062" s="82">
        <f>AU1062-AT1062</f>
        <v/>
      </c>
      <c r="AX1062" s="80">
        <f>SUMIFS([1]инфо!$C$15:$C$28,[1]инфо!$A$15:$A$28,F1062)*H1061</f>
        <v/>
      </c>
    </row>
    <row r="1063">
      <c r="A1063" s="71">
        <f>A1061+1</f>
        <v/>
      </c>
      <c r="B1063" s="89" t="n"/>
      <c r="C1063" s="72" t="n"/>
      <c r="D1063" s="73" t="n"/>
      <c r="E1063" s="91" t="n"/>
      <c r="F1063" s="67" t="n"/>
      <c r="G1063" s="74" t="n"/>
      <c r="H1063" s="55" t="n"/>
      <c r="I1063" s="55" t="n"/>
      <c r="J1063" s="55" t="n"/>
      <c r="K1063" s="55" t="n"/>
      <c r="L1063" s="55" t="n"/>
      <c r="M1063" s="55" t="n"/>
      <c r="N1063" s="67" t="n"/>
      <c r="O1063" s="74" t="n"/>
      <c r="P1063" s="74" t="n"/>
      <c r="Q1063" s="74" t="n"/>
      <c r="R1063" s="74" t="n"/>
      <c r="S1063" s="70">
        <f>SUM(O1063:R1063)</f>
        <v/>
      </c>
      <c r="T1063" s="72" t="n"/>
      <c r="U1063" s="73" t="n"/>
      <c r="V1063" s="74" t="n"/>
      <c r="W1063" s="74" t="n"/>
      <c r="X1063" s="74" t="n"/>
      <c r="Y1063" s="72" t="n"/>
      <c r="Z1063" s="74" t="n"/>
      <c r="AA1063" s="74" t="n"/>
      <c r="AB1063" s="74" t="n"/>
      <c r="AC1063" s="74" t="n"/>
      <c r="AD1063" s="73" t="n"/>
      <c r="AE1063" s="75">
        <f>SUMIFS([1]инфо!$D$15:$D$28,[1]инфо!$A$15:$A$28,F1063)</f>
        <v/>
      </c>
      <c r="AF1063" s="62">
        <f>IF(H1063=0,0,N1063/H1063)</f>
        <v/>
      </c>
      <c r="AG1063" s="76">
        <f>AF1063-AE1063</f>
        <v/>
      </c>
      <c r="AH1063" s="75">
        <f>SUMIFS([1]инфо!$E$15:$E$28,[1]инфо!$A$15:$A$28,F1063)</f>
        <v/>
      </c>
      <c r="AI1063" s="64">
        <f>IF(H1062=0,0,S1063/H1062)</f>
        <v/>
      </c>
      <c r="AJ1063" s="76">
        <f>AI1063-AH1063</f>
        <v/>
      </c>
      <c r="AK1063" s="75">
        <f>SUMIFS([1]инфо!$F$15:$F$28,[1]инфо!$A$15:$A$28,F1063)</f>
        <v/>
      </c>
      <c r="AL1063" s="64">
        <f>IF(H1063=0,0,Y1063/H1063)</f>
        <v/>
      </c>
      <c r="AM1063" s="76">
        <f>AL1063-AK1063</f>
        <v/>
      </c>
      <c r="AN1063" s="75">
        <f>SUMIFS([1]инфо!$G$15:$G$28,[1]инфо!$A$15:$A$28,F1063)</f>
        <v/>
      </c>
      <c r="AO1063" s="64">
        <f>IF(H1063=0,0,AA1063/H1063)</f>
        <v/>
      </c>
      <c r="AP1063" s="76">
        <f>AO1063-AN1063</f>
        <v/>
      </c>
      <c r="AQ1063" s="75">
        <f>SUMIFS([1]инфо!$H$15:$H$28,[1]инфо!$A$15:$A$28,F1063)</f>
        <v/>
      </c>
      <c r="AR1063" s="64">
        <f>IF(H1062=0,0,AC1063/H1062)</f>
        <v/>
      </c>
      <c r="AS1063" s="76">
        <f>AR1063-AQ1063</f>
        <v/>
      </c>
      <c r="AT1063" s="75">
        <f>SUMIFS([1]инфо!$I$15:$I$28,[1]инфо!$A$15:$A$28,F1063)</f>
        <v/>
      </c>
      <c r="AU1063" s="62">
        <f>IF(H1063=0,0,AD1063/H1063)</f>
        <v/>
      </c>
      <c r="AV1063" s="76">
        <f>AU1063-AT1063</f>
        <v/>
      </c>
      <c r="AX1063" s="70">
        <f>SUMIFS([1]инфо!$C$15:$C$28,[1]инфо!$A$15:$A$28,F1063)*H1062</f>
        <v/>
      </c>
    </row>
    <row r="1064">
      <c r="A1064" s="71">
        <f>A1062+1</f>
        <v/>
      </c>
      <c r="B1064" s="90" t="n"/>
      <c r="C1064" s="52" t="n"/>
      <c r="D1064" s="53" t="n"/>
      <c r="E1064" s="91" t="n"/>
      <c r="F1064" s="67" t="n"/>
      <c r="G1064" s="58" t="n"/>
      <c r="H1064" s="55" t="n"/>
      <c r="I1064" s="55" t="n"/>
      <c r="J1064" s="55" t="n"/>
      <c r="K1064" s="55" t="n"/>
      <c r="L1064" s="55" t="n"/>
      <c r="M1064" s="55" t="n"/>
      <c r="N1064" s="55" t="n"/>
      <c r="O1064" s="58" t="n"/>
      <c r="P1064" s="58" t="n"/>
      <c r="Q1064" s="58" t="n"/>
      <c r="R1064" s="58" t="n"/>
      <c r="S1064" s="59">
        <f>SUM(O1064:R1064)</f>
        <v/>
      </c>
      <c r="T1064" s="52" t="n"/>
      <c r="U1064" s="53" t="n"/>
      <c r="V1064" s="58" t="n"/>
      <c r="W1064" s="58" t="n"/>
      <c r="X1064" s="58" t="n"/>
      <c r="Y1064" s="52" t="n"/>
      <c r="Z1064" s="58" t="n"/>
      <c r="AA1064" s="58" t="n"/>
      <c r="AB1064" s="58" t="n"/>
      <c r="AC1064" s="58" t="n"/>
      <c r="AD1064" s="53" t="n"/>
      <c r="AE1064" s="61">
        <f>SUMIFS([1]инфо!$D$15:$D$28,[1]инфо!$A$15:$A$28,F1064)</f>
        <v/>
      </c>
      <c r="AF1064" s="62">
        <f>IF(H1064=0,0,N1064/H1064)</f>
        <v/>
      </c>
      <c r="AG1064" s="63">
        <f>AF1064-AE1064</f>
        <v/>
      </c>
      <c r="AH1064" s="61">
        <f>SUMIFS([1]инфо!$E$15:$E$28,[1]инфо!$A$15:$A$28,F1064)</f>
        <v/>
      </c>
      <c r="AI1064" s="62">
        <f>IF(H1063=0,0,S1064/H1063)</f>
        <v/>
      </c>
      <c r="AJ1064" s="63">
        <f>AI1064-AH1064</f>
        <v/>
      </c>
      <c r="AK1064" s="61">
        <f>SUMIFS([1]инфо!$F$15:$F$28,[1]инфо!$A$15:$A$28,F1064)</f>
        <v/>
      </c>
      <c r="AL1064" s="64">
        <f>IF(H1064=0,0,Y1064/H1064)</f>
        <v/>
      </c>
      <c r="AM1064" s="63">
        <f>AL1064-AK1064</f>
        <v/>
      </c>
      <c r="AN1064" s="61">
        <f>SUMIFS([1]инфо!$G$15:$G$28,[1]инфо!$A$15:$A$28,F1064)</f>
        <v/>
      </c>
      <c r="AO1064" s="64">
        <f>IF(H1064=0,0,AA1064/H1064)</f>
        <v/>
      </c>
      <c r="AP1064" s="63">
        <f>AO1064-AN1064</f>
        <v/>
      </c>
      <c r="AQ1064" s="61">
        <f>SUMIFS([1]инфо!$H$15:$H$28,[1]инфо!$A$15:$A$28,F1064)</f>
        <v/>
      </c>
      <c r="AR1064" s="62">
        <f>IF(H1063=0,0,AC1064/H1063)</f>
        <v/>
      </c>
      <c r="AS1064" s="63">
        <f>AR1064-AQ1064</f>
        <v/>
      </c>
      <c r="AT1064" s="61">
        <f>SUMIFS([1]инфо!$I$15:$I$28,[1]инфо!$A$15:$A$28,F1064)</f>
        <v/>
      </c>
      <c r="AU1064" s="62">
        <f>IF(H1064=0,0,AD1064/H1064)</f>
        <v/>
      </c>
      <c r="AV1064" s="63">
        <f>AU1064-AT1064</f>
        <v/>
      </c>
      <c r="AX1064" s="59">
        <f>SUMIFS([1]инфо!$C$15:$C$28,[1]инфо!$A$15:$A$28,F1064)*H1063</f>
        <v/>
      </c>
    </row>
    <row r="1065">
      <c r="A1065" s="71">
        <f>A1063+1</f>
        <v/>
      </c>
      <c r="B1065" s="90" t="n"/>
      <c r="C1065" s="52" t="n"/>
      <c r="D1065" s="53" t="n"/>
      <c r="E1065" s="91" t="n"/>
      <c r="F1065" s="67" t="n"/>
      <c r="G1065" s="58" t="n"/>
      <c r="H1065" s="56" t="n"/>
      <c r="I1065" s="55" t="n"/>
      <c r="J1065" s="55" t="n"/>
      <c r="K1065" s="55" t="n"/>
      <c r="L1065" s="55" t="n"/>
      <c r="M1065" s="55" t="n"/>
      <c r="N1065" s="55" t="n"/>
      <c r="O1065" s="58" t="n"/>
      <c r="P1065" s="58" t="n"/>
      <c r="Q1065" s="58" t="n"/>
      <c r="R1065" s="58" t="n"/>
      <c r="S1065" s="59">
        <f>SUM(O1065:R1065)</f>
        <v/>
      </c>
      <c r="T1065" s="52" t="n"/>
      <c r="U1065" s="53" t="n"/>
      <c r="V1065" s="58" t="n"/>
      <c r="W1065" s="58" t="n"/>
      <c r="X1065" s="58" t="n"/>
      <c r="Y1065" s="52" t="n"/>
      <c r="Z1065" s="58" t="n"/>
      <c r="AA1065" s="58" t="n"/>
      <c r="AB1065" s="58" t="n"/>
      <c r="AC1065" s="58" t="n"/>
      <c r="AD1065" s="53" t="n"/>
      <c r="AE1065" s="61">
        <f>SUMIFS([1]инфо!$D$15:$D$28,[1]инфо!$A$15:$A$28,F1065)</f>
        <v/>
      </c>
      <c r="AF1065" s="62">
        <f>IF(H1065=0,0,N1065/H1065)</f>
        <v/>
      </c>
      <c r="AG1065" s="63">
        <f>AF1065-AE1065</f>
        <v/>
      </c>
      <c r="AH1065" s="61">
        <f>SUMIFS([1]инфо!$E$15:$E$28,[1]инфо!$A$15:$A$28,F1065)</f>
        <v/>
      </c>
      <c r="AI1065" s="62">
        <f>IF(H1064=0,0,S1065/H1064)</f>
        <v/>
      </c>
      <c r="AJ1065" s="63">
        <f>AI1065-AH1065</f>
        <v/>
      </c>
      <c r="AK1065" s="61">
        <f>SUMIFS([1]инфо!$F$15:$F$28,[1]инфо!$A$15:$A$28,F1065)</f>
        <v/>
      </c>
      <c r="AL1065" s="64">
        <f>IF(H1065=0,0,Y1065/H1065)</f>
        <v/>
      </c>
      <c r="AM1065" s="63">
        <f>AL1065-AK1065</f>
        <v/>
      </c>
      <c r="AN1065" s="61">
        <f>SUMIFS([1]инфо!$G$15:$G$28,[1]инфо!$A$15:$A$28,F1065)</f>
        <v/>
      </c>
      <c r="AO1065" s="64">
        <f>IF(H1065=0,0,AA1065/H1065)</f>
        <v/>
      </c>
      <c r="AP1065" s="63">
        <f>AO1065-AN1065</f>
        <v/>
      </c>
      <c r="AQ1065" s="61">
        <f>SUMIFS([1]инфо!$H$15:$H$28,[1]инфо!$A$15:$A$28,F1065)</f>
        <v/>
      </c>
      <c r="AR1065" s="62">
        <f>IF(H1064=0,0,AC1065/H1064)</f>
        <v/>
      </c>
      <c r="AS1065" s="63">
        <f>AR1065-AQ1065</f>
        <v/>
      </c>
      <c r="AT1065" s="61">
        <f>SUMIFS([1]инфо!$I$15:$I$28,[1]инфо!$A$15:$A$28,F1065)</f>
        <v/>
      </c>
      <c r="AU1065" s="62">
        <f>IF(H1065=0,0,AD1065/H1065)</f>
        <v/>
      </c>
      <c r="AV1065" s="63">
        <f>AU1065-AT1065</f>
        <v/>
      </c>
      <c r="AX1065" s="59">
        <f>SUMIFS([1]инфо!$C$15:$C$28,[1]инфо!$A$15:$A$28,F1065)*H1064</f>
        <v/>
      </c>
    </row>
    <row r="1066">
      <c r="A1066" s="71">
        <f>A1064+1</f>
        <v/>
      </c>
      <c r="B1066" s="88" t="n"/>
      <c r="C1066" s="77" t="n"/>
      <c r="D1066" s="78" t="n"/>
      <c r="E1066" s="91" t="n"/>
      <c r="F1066" s="67" t="n"/>
      <c r="G1066" s="79" t="n"/>
      <c r="H1066" s="67" t="n"/>
      <c r="I1066" s="55" t="n"/>
      <c r="J1066" s="55" t="n"/>
      <c r="K1066" s="55" t="n"/>
      <c r="L1066" s="55" t="n"/>
      <c r="M1066" s="55" t="n"/>
      <c r="N1066" s="56" t="n"/>
      <c r="O1066" s="79" t="n"/>
      <c r="P1066" s="79" t="n"/>
      <c r="Q1066" s="79" t="n"/>
      <c r="R1066" s="79" t="n"/>
      <c r="S1066" s="80">
        <f>SUM(O1066:R1066)</f>
        <v/>
      </c>
      <c r="T1066" s="77" t="n"/>
      <c r="U1066" s="78" t="n"/>
      <c r="V1066" s="79" t="n"/>
      <c r="W1066" s="79" t="n"/>
      <c r="X1066" s="79" t="n"/>
      <c r="Y1066" s="77" t="n"/>
      <c r="Z1066" s="79" t="n"/>
      <c r="AA1066" s="79" t="n"/>
      <c r="AB1066" s="79" t="n"/>
      <c r="AC1066" s="79" t="n"/>
      <c r="AD1066" s="78" t="n"/>
      <c r="AE1066" s="81">
        <f>SUMIFS([1]инфо!$D$15:$D$28,[1]инфо!$A$15:$A$28,F1066)</f>
        <v/>
      </c>
      <c r="AF1066" s="62">
        <f>IF(H1066=0,0,N1066/H1066)</f>
        <v/>
      </c>
      <c r="AG1066" s="82">
        <f>AF1066-AE1066</f>
        <v/>
      </c>
      <c r="AH1066" s="81">
        <f>SUMIFS([1]инфо!$E$15:$E$28,[1]инфо!$A$15:$A$28,F1066)</f>
        <v/>
      </c>
      <c r="AI1066" s="85">
        <f>IF(H1065=0,0,S1066/H1065)</f>
        <v/>
      </c>
      <c r="AJ1066" s="82">
        <f>AI1066-AH1066</f>
        <v/>
      </c>
      <c r="AK1066" s="81">
        <f>SUMIFS([1]инфо!$F$15:$F$28,[1]инфо!$A$15:$A$28,F1066)</f>
        <v/>
      </c>
      <c r="AL1066" s="64">
        <f>IF(H1066=0,0,Y1066/H1066)</f>
        <v/>
      </c>
      <c r="AM1066" s="82">
        <f>AL1066-AK1066</f>
        <v/>
      </c>
      <c r="AN1066" s="81">
        <f>SUMIFS([1]инфо!$G$15:$G$28,[1]инфо!$A$15:$A$28,F1066)</f>
        <v/>
      </c>
      <c r="AO1066" s="64">
        <f>IF(H1066=0,0,AA1066/H1066)</f>
        <v/>
      </c>
      <c r="AP1066" s="82">
        <f>AO1066-AN1066</f>
        <v/>
      </c>
      <c r="AQ1066" s="81">
        <f>SUMIFS([1]инфо!$H$15:$H$28,[1]инфо!$A$15:$A$28,F1066)</f>
        <v/>
      </c>
      <c r="AR1066" s="85">
        <f>IF(H1065=0,0,AC1066/H1065)</f>
        <v/>
      </c>
      <c r="AS1066" s="82">
        <f>AR1066-AQ1066</f>
        <v/>
      </c>
      <c r="AT1066" s="81">
        <f>SUMIFS([1]инфо!$I$15:$I$28,[1]инфо!$A$15:$A$28,F1066)</f>
        <v/>
      </c>
      <c r="AU1066" s="62">
        <f>IF(H1066=0,0,AD1066/H1066)</f>
        <v/>
      </c>
      <c r="AV1066" s="82">
        <f>AU1066-AT1066</f>
        <v/>
      </c>
      <c r="AX1066" s="80">
        <f>SUMIFS([1]инфо!$C$15:$C$28,[1]инфо!$A$15:$A$28,F1066)*H1065</f>
        <v/>
      </c>
    </row>
    <row r="1067">
      <c r="A1067" s="71">
        <f>A1065+1</f>
        <v/>
      </c>
      <c r="B1067" s="89" t="n"/>
      <c r="C1067" s="72" t="n"/>
      <c r="D1067" s="73" t="n"/>
      <c r="E1067" s="91" t="n"/>
      <c r="F1067" s="67" t="n"/>
      <c r="G1067" s="74" t="n"/>
      <c r="H1067" s="55" t="n"/>
      <c r="I1067" s="55" t="n"/>
      <c r="J1067" s="55" t="n"/>
      <c r="K1067" s="55" t="n"/>
      <c r="L1067" s="55" t="n"/>
      <c r="M1067" s="55" t="n"/>
      <c r="N1067" s="67" t="n"/>
      <c r="O1067" s="74" t="n"/>
      <c r="P1067" s="74" t="n"/>
      <c r="Q1067" s="74" t="n"/>
      <c r="R1067" s="74" t="n"/>
      <c r="S1067" s="70">
        <f>SUM(O1067:R1067)</f>
        <v/>
      </c>
      <c r="T1067" s="72" t="n"/>
      <c r="U1067" s="73" t="n"/>
      <c r="V1067" s="74" t="n"/>
      <c r="W1067" s="74" t="n"/>
      <c r="X1067" s="74" t="n"/>
      <c r="Y1067" s="72" t="n"/>
      <c r="Z1067" s="74" t="n"/>
      <c r="AA1067" s="74" t="n"/>
      <c r="AB1067" s="74" t="n"/>
      <c r="AC1067" s="74" t="n"/>
      <c r="AD1067" s="73" t="n"/>
      <c r="AE1067" s="75">
        <f>SUMIFS([1]инфо!$D$15:$D$28,[1]инфо!$A$15:$A$28,F1067)</f>
        <v/>
      </c>
      <c r="AF1067" s="62">
        <f>IF(H1067=0,0,N1067/H1067)</f>
        <v/>
      </c>
      <c r="AG1067" s="76">
        <f>AF1067-AE1067</f>
        <v/>
      </c>
      <c r="AH1067" s="75">
        <f>SUMIFS([1]инфо!$E$15:$E$28,[1]инфо!$A$15:$A$28,F1067)</f>
        <v/>
      </c>
      <c r="AI1067" s="64">
        <f>IF(H1066=0,0,S1067/H1066)</f>
        <v/>
      </c>
      <c r="AJ1067" s="76">
        <f>AI1067-AH1067</f>
        <v/>
      </c>
      <c r="AK1067" s="75">
        <f>SUMIFS([1]инфо!$F$15:$F$28,[1]инфо!$A$15:$A$28,F1067)</f>
        <v/>
      </c>
      <c r="AL1067" s="64">
        <f>IF(H1067=0,0,Y1067/H1067)</f>
        <v/>
      </c>
      <c r="AM1067" s="76">
        <f>AL1067-AK1067</f>
        <v/>
      </c>
      <c r="AN1067" s="75">
        <f>SUMIFS([1]инфо!$G$15:$G$28,[1]инфо!$A$15:$A$28,F1067)</f>
        <v/>
      </c>
      <c r="AO1067" s="64">
        <f>IF(H1067=0,0,AA1067/H1067)</f>
        <v/>
      </c>
      <c r="AP1067" s="76">
        <f>AO1067-AN1067</f>
        <v/>
      </c>
      <c r="AQ1067" s="75">
        <f>SUMIFS([1]инфо!$H$15:$H$28,[1]инфо!$A$15:$A$28,F1067)</f>
        <v/>
      </c>
      <c r="AR1067" s="64">
        <f>IF(H1066=0,0,AC1067/H1066)</f>
        <v/>
      </c>
      <c r="AS1067" s="76">
        <f>AR1067-AQ1067</f>
        <v/>
      </c>
      <c r="AT1067" s="75">
        <f>SUMIFS([1]инфо!$I$15:$I$28,[1]инфо!$A$15:$A$28,F1067)</f>
        <v/>
      </c>
      <c r="AU1067" s="62">
        <f>IF(H1067=0,0,AD1067/H1067)</f>
        <v/>
      </c>
      <c r="AV1067" s="76">
        <f>AU1067-AT1067</f>
        <v/>
      </c>
      <c r="AX1067" s="70">
        <f>SUMIFS([1]инфо!$C$15:$C$28,[1]инфо!$A$15:$A$28,F1067)*H1066</f>
        <v/>
      </c>
    </row>
    <row r="1068">
      <c r="A1068" s="71">
        <f>A1066+1</f>
        <v/>
      </c>
      <c r="B1068" s="90" t="n"/>
      <c r="C1068" s="52" t="n"/>
      <c r="D1068" s="53" t="n"/>
      <c r="E1068" s="91" t="n"/>
      <c r="F1068" s="67" t="n"/>
      <c r="G1068" s="58" t="n"/>
      <c r="H1068" s="55" t="n"/>
      <c r="I1068" s="55" t="n"/>
      <c r="J1068" s="55" t="n"/>
      <c r="K1068" s="55" t="n"/>
      <c r="L1068" s="55" t="n"/>
      <c r="M1068" s="55" t="n"/>
      <c r="N1068" s="55" t="n"/>
      <c r="O1068" s="58" t="n"/>
      <c r="P1068" s="58" t="n"/>
      <c r="Q1068" s="58" t="n"/>
      <c r="R1068" s="58" t="n"/>
      <c r="S1068" s="59">
        <f>SUM(O1068:R1068)</f>
        <v/>
      </c>
      <c r="T1068" s="52" t="n"/>
      <c r="U1068" s="53" t="n"/>
      <c r="V1068" s="58" t="n"/>
      <c r="W1068" s="58" t="n"/>
      <c r="X1068" s="58" t="n"/>
      <c r="Y1068" s="52" t="n"/>
      <c r="Z1068" s="58" t="n"/>
      <c r="AA1068" s="58" t="n"/>
      <c r="AB1068" s="58" t="n"/>
      <c r="AC1068" s="58" t="n"/>
      <c r="AD1068" s="53" t="n"/>
      <c r="AE1068" s="61">
        <f>SUMIFS([1]инфо!$D$15:$D$28,[1]инфо!$A$15:$A$28,F1068)</f>
        <v/>
      </c>
      <c r="AF1068" s="62">
        <f>IF(H1068=0,0,N1068/H1068)</f>
        <v/>
      </c>
      <c r="AG1068" s="63">
        <f>AF1068-AE1068</f>
        <v/>
      </c>
      <c r="AH1068" s="61">
        <f>SUMIFS([1]инфо!$E$15:$E$28,[1]инфо!$A$15:$A$28,F1068)</f>
        <v/>
      </c>
      <c r="AI1068" s="62">
        <f>IF(H1067=0,0,S1068/H1067)</f>
        <v/>
      </c>
      <c r="AJ1068" s="63">
        <f>AI1068-AH1068</f>
        <v/>
      </c>
      <c r="AK1068" s="61">
        <f>SUMIFS([1]инфо!$F$15:$F$28,[1]инфо!$A$15:$A$28,F1068)</f>
        <v/>
      </c>
      <c r="AL1068" s="64">
        <f>IF(H1068=0,0,Y1068/H1068)</f>
        <v/>
      </c>
      <c r="AM1068" s="63">
        <f>AL1068-AK1068</f>
        <v/>
      </c>
      <c r="AN1068" s="61">
        <f>SUMIFS([1]инфо!$G$15:$G$28,[1]инфо!$A$15:$A$28,F1068)</f>
        <v/>
      </c>
      <c r="AO1068" s="64">
        <f>IF(H1068=0,0,AA1068/H1068)</f>
        <v/>
      </c>
      <c r="AP1068" s="63">
        <f>AO1068-AN1068</f>
        <v/>
      </c>
      <c r="AQ1068" s="61">
        <f>SUMIFS([1]инфо!$H$15:$H$28,[1]инфо!$A$15:$A$28,F1068)</f>
        <v/>
      </c>
      <c r="AR1068" s="62">
        <f>IF(H1067=0,0,AC1068/H1067)</f>
        <v/>
      </c>
      <c r="AS1068" s="63">
        <f>AR1068-AQ1068</f>
        <v/>
      </c>
      <c r="AT1068" s="61">
        <f>SUMIFS([1]инфо!$I$15:$I$28,[1]инфо!$A$15:$A$28,F1068)</f>
        <v/>
      </c>
      <c r="AU1068" s="62">
        <f>IF(H1068=0,0,AD1068/H1068)</f>
        <v/>
      </c>
      <c r="AV1068" s="63">
        <f>AU1068-AT1068</f>
        <v/>
      </c>
      <c r="AX1068" s="59">
        <f>SUMIFS([1]инфо!$C$15:$C$28,[1]инфо!$A$15:$A$28,F1068)*H1067</f>
        <v/>
      </c>
    </row>
    <row r="1069">
      <c r="A1069" s="71">
        <f>A1067+1</f>
        <v/>
      </c>
      <c r="B1069" s="90" t="n"/>
      <c r="C1069" s="52" t="n"/>
      <c r="D1069" s="53" t="n"/>
      <c r="E1069" s="91" t="n"/>
      <c r="F1069" s="67" t="n"/>
      <c r="G1069" s="58" t="n"/>
      <c r="H1069" s="56" t="n"/>
      <c r="I1069" s="55" t="n"/>
      <c r="J1069" s="55" t="n"/>
      <c r="K1069" s="55" t="n"/>
      <c r="L1069" s="55" t="n"/>
      <c r="M1069" s="55" t="n"/>
      <c r="N1069" s="55" t="n"/>
      <c r="O1069" s="58" t="n"/>
      <c r="P1069" s="58" t="n"/>
      <c r="Q1069" s="58" t="n"/>
      <c r="R1069" s="58" t="n"/>
      <c r="S1069" s="59">
        <f>SUM(O1069:R1069)</f>
        <v/>
      </c>
      <c r="T1069" s="52" t="n"/>
      <c r="U1069" s="53" t="n"/>
      <c r="V1069" s="58" t="n"/>
      <c r="W1069" s="58" t="n"/>
      <c r="X1069" s="58" t="n"/>
      <c r="Y1069" s="52" t="n"/>
      <c r="Z1069" s="58" t="n"/>
      <c r="AA1069" s="58" t="n"/>
      <c r="AB1069" s="58" t="n"/>
      <c r="AC1069" s="58" t="n"/>
      <c r="AD1069" s="53" t="n"/>
      <c r="AE1069" s="61">
        <f>SUMIFS([1]инфо!$D$15:$D$28,[1]инфо!$A$15:$A$28,F1069)</f>
        <v/>
      </c>
      <c r="AF1069" s="62">
        <f>IF(H1069=0,0,N1069/H1069)</f>
        <v/>
      </c>
      <c r="AG1069" s="63">
        <f>AF1069-AE1069</f>
        <v/>
      </c>
      <c r="AH1069" s="61">
        <f>SUMIFS([1]инфо!$E$15:$E$28,[1]инфо!$A$15:$A$28,F1069)</f>
        <v/>
      </c>
      <c r="AI1069" s="62">
        <f>IF(H1068=0,0,S1069/H1068)</f>
        <v/>
      </c>
      <c r="AJ1069" s="63">
        <f>AI1069-AH1069</f>
        <v/>
      </c>
      <c r="AK1069" s="61">
        <f>SUMIFS([1]инфо!$F$15:$F$28,[1]инфо!$A$15:$A$28,F1069)</f>
        <v/>
      </c>
      <c r="AL1069" s="64">
        <f>IF(H1069=0,0,Y1069/H1069)</f>
        <v/>
      </c>
      <c r="AM1069" s="63">
        <f>AL1069-AK1069</f>
        <v/>
      </c>
      <c r="AN1069" s="61">
        <f>SUMIFS([1]инфо!$G$15:$G$28,[1]инфо!$A$15:$A$28,F1069)</f>
        <v/>
      </c>
      <c r="AO1069" s="64">
        <f>IF(H1069=0,0,AA1069/H1069)</f>
        <v/>
      </c>
      <c r="AP1069" s="63">
        <f>AO1069-AN1069</f>
        <v/>
      </c>
      <c r="AQ1069" s="61">
        <f>SUMIFS([1]инфо!$H$15:$H$28,[1]инфо!$A$15:$A$28,F1069)</f>
        <v/>
      </c>
      <c r="AR1069" s="62">
        <f>IF(H1068=0,0,AC1069/H1068)</f>
        <v/>
      </c>
      <c r="AS1069" s="63">
        <f>AR1069-AQ1069</f>
        <v/>
      </c>
      <c r="AT1069" s="61">
        <f>SUMIFS([1]инфо!$I$15:$I$28,[1]инфо!$A$15:$A$28,F1069)</f>
        <v/>
      </c>
      <c r="AU1069" s="62">
        <f>IF(H1069=0,0,AD1069/H1069)</f>
        <v/>
      </c>
      <c r="AV1069" s="63">
        <f>AU1069-AT1069</f>
        <v/>
      </c>
      <c r="AX1069" s="59">
        <f>SUMIFS([1]инфо!$C$15:$C$28,[1]инфо!$A$15:$A$28,F1069)*H1068</f>
        <v/>
      </c>
    </row>
    <row r="1070">
      <c r="A1070" s="71">
        <f>A1068+1</f>
        <v/>
      </c>
      <c r="B1070" s="88" t="n"/>
      <c r="C1070" s="77" t="n"/>
      <c r="D1070" s="78" t="n"/>
      <c r="E1070" s="91" t="n"/>
      <c r="F1070" s="67" t="n"/>
      <c r="G1070" s="79" t="n"/>
      <c r="H1070" s="67" t="n"/>
      <c r="I1070" s="55" t="n"/>
      <c r="J1070" s="55" t="n"/>
      <c r="K1070" s="55" t="n"/>
      <c r="L1070" s="55" t="n"/>
      <c r="M1070" s="55" t="n"/>
      <c r="N1070" s="56" t="n"/>
      <c r="O1070" s="79" t="n"/>
      <c r="P1070" s="79" t="n"/>
      <c r="Q1070" s="79" t="n"/>
      <c r="R1070" s="79" t="n"/>
      <c r="S1070" s="80">
        <f>SUM(O1070:R1070)</f>
        <v/>
      </c>
      <c r="T1070" s="77" t="n"/>
      <c r="U1070" s="78" t="n"/>
      <c r="V1070" s="79" t="n"/>
      <c r="W1070" s="79" t="n"/>
      <c r="X1070" s="79" t="n"/>
      <c r="Y1070" s="77" t="n"/>
      <c r="Z1070" s="79" t="n"/>
      <c r="AA1070" s="79" t="n"/>
      <c r="AB1070" s="79" t="n"/>
      <c r="AC1070" s="79" t="n"/>
      <c r="AD1070" s="78" t="n"/>
      <c r="AE1070" s="81">
        <f>SUMIFS([1]инфо!$D$15:$D$28,[1]инфо!$A$15:$A$28,F1070)</f>
        <v/>
      </c>
      <c r="AF1070" s="62">
        <f>IF(H1070=0,0,N1070/H1070)</f>
        <v/>
      </c>
      <c r="AG1070" s="82">
        <f>AF1070-AE1070</f>
        <v/>
      </c>
      <c r="AH1070" s="81">
        <f>SUMIFS([1]инфо!$E$15:$E$28,[1]инфо!$A$15:$A$28,F1070)</f>
        <v/>
      </c>
      <c r="AI1070" s="85">
        <f>IF(H1069=0,0,S1070/H1069)</f>
        <v/>
      </c>
      <c r="AJ1070" s="82">
        <f>AI1070-AH1070</f>
        <v/>
      </c>
      <c r="AK1070" s="81">
        <f>SUMIFS([1]инфо!$F$15:$F$28,[1]инфо!$A$15:$A$28,F1070)</f>
        <v/>
      </c>
      <c r="AL1070" s="64">
        <f>IF(H1070=0,0,Y1070/H1070)</f>
        <v/>
      </c>
      <c r="AM1070" s="82">
        <f>AL1070-AK1070</f>
        <v/>
      </c>
      <c r="AN1070" s="81">
        <f>SUMIFS([1]инфо!$G$15:$G$28,[1]инфо!$A$15:$A$28,F1070)</f>
        <v/>
      </c>
      <c r="AO1070" s="64">
        <f>IF(H1070=0,0,AA1070/H1070)</f>
        <v/>
      </c>
      <c r="AP1070" s="82">
        <f>AO1070-AN1070</f>
        <v/>
      </c>
      <c r="AQ1070" s="81">
        <f>SUMIFS([1]инфо!$H$15:$H$28,[1]инфо!$A$15:$A$28,F1070)</f>
        <v/>
      </c>
      <c r="AR1070" s="85">
        <f>IF(H1069=0,0,AC1070/H1069)</f>
        <v/>
      </c>
      <c r="AS1070" s="82">
        <f>AR1070-AQ1070</f>
        <v/>
      </c>
      <c r="AT1070" s="81">
        <f>SUMIFS([1]инфо!$I$15:$I$28,[1]инфо!$A$15:$A$28,F1070)</f>
        <v/>
      </c>
      <c r="AU1070" s="62">
        <f>IF(H1070=0,0,AD1070/H1070)</f>
        <v/>
      </c>
      <c r="AV1070" s="82">
        <f>AU1070-AT1070</f>
        <v/>
      </c>
      <c r="AX1070" s="80">
        <f>SUMIFS([1]инфо!$C$15:$C$28,[1]инфо!$A$15:$A$28,F1070)*H1069</f>
        <v/>
      </c>
    </row>
    <row r="1071">
      <c r="A1071" s="71">
        <f>A1069+1</f>
        <v/>
      </c>
      <c r="B1071" s="89" t="n"/>
      <c r="C1071" s="72" t="n"/>
      <c r="D1071" s="73" t="n"/>
      <c r="E1071" s="91" t="n"/>
      <c r="F1071" s="67" t="n"/>
      <c r="G1071" s="74" t="n"/>
      <c r="H1071" s="55" t="n"/>
      <c r="I1071" s="55" t="n"/>
      <c r="J1071" s="55" t="n"/>
      <c r="K1071" s="55" t="n"/>
      <c r="L1071" s="55" t="n"/>
      <c r="M1071" s="55" t="n"/>
      <c r="N1071" s="67" t="n"/>
      <c r="O1071" s="74" t="n"/>
      <c r="P1071" s="74" t="n"/>
      <c r="Q1071" s="74" t="n"/>
      <c r="R1071" s="74" t="n"/>
      <c r="S1071" s="70">
        <f>SUM(O1071:R1071)</f>
        <v/>
      </c>
      <c r="T1071" s="72" t="n"/>
      <c r="U1071" s="73" t="n"/>
      <c r="V1071" s="74" t="n"/>
      <c r="W1071" s="74" t="n"/>
      <c r="X1071" s="74" t="n"/>
      <c r="Y1071" s="72" t="n"/>
      <c r="Z1071" s="74" t="n"/>
      <c r="AA1071" s="74" t="n"/>
      <c r="AB1071" s="74" t="n"/>
      <c r="AC1071" s="74" t="n"/>
      <c r="AD1071" s="73" t="n"/>
      <c r="AE1071" s="75">
        <f>SUMIFS([1]инфо!$D$15:$D$28,[1]инфо!$A$15:$A$28,F1071)</f>
        <v/>
      </c>
      <c r="AF1071" s="62">
        <f>IF(H1071=0,0,N1071/H1071)</f>
        <v/>
      </c>
      <c r="AG1071" s="76">
        <f>AF1071-AE1071</f>
        <v/>
      </c>
      <c r="AH1071" s="75">
        <f>SUMIFS([1]инфо!$E$15:$E$28,[1]инфо!$A$15:$A$28,F1071)</f>
        <v/>
      </c>
      <c r="AI1071" s="64">
        <f>IF(H1070=0,0,S1071/H1070)</f>
        <v/>
      </c>
      <c r="AJ1071" s="76">
        <f>AI1071-AH1071</f>
        <v/>
      </c>
      <c r="AK1071" s="75">
        <f>SUMIFS([1]инфо!$F$15:$F$28,[1]инфо!$A$15:$A$28,F1071)</f>
        <v/>
      </c>
      <c r="AL1071" s="64">
        <f>IF(H1071=0,0,Y1071/H1071)</f>
        <v/>
      </c>
      <c r="AM1071" s="76">
        <f>AL1071-AK1071</f>
        <v/>
      </c>
      <c r="AN1071" s="75">
        <f>SUMIFS([1]инфо!$G$15:$G$28,[1]инфо!$A$15:$A$28,F1071)</f>
        <v/>
      </c>
      <c r="AO1071" s="64">
        <f>IF(H1071=0,0,AA1071/H1071)</f>
        <v/>
      </c>
      <c r="AP1071" s="76">
        <f>AO1071-AN1071</f>
        <v/>
      </c>
      <c r="AQ1071" s="75">
        <f>SUMIFS([1]инфо!$H$15:$H$28,[1]инфо!$A$15:$A$28,F1071)</f>
        <v/>
      </c>
      <c r="AR1071" s="64">
        <f>IF(H1070=0,0,AC1071/H1070)</f>
        <v/>
      </c>
      <c r="AS1071" s="76">
        <f>AR1071-AQ1071</f>
        <v/>
      </c>
      <c r="AT1071" s="75">
        <f>SUMIFS([1]инфо!$I$15:$I$28,[1]инфо!$A$15:$A$28,F1071)</f>
        <v/>
      </c>
      <c r="AU1071" s="62">
        <f>IF(H1071=0,0,AD1071/H1071)</f>
        <v/>
      </c>
      <c r="AV1071" s="76">
        <f>AU1071-AT1071</f>
        <v/>
      </c>
      <c r="AX1071" s="70">
        <f>SUMIFS([1]инфо!$C$15:$C$28,[1]инфо!$A$15:$A$28,F1071)*H1070</f>
        <v/>
      </c>
    </row>
    <row r="1072">
      <c r="A1072" s="71">
        <f>A1070+1</f>
        <v/>
      </c>
      <c r="B1072" s="90" t="n"/>
      <c r="C1072" s="52" t="n"/>
      <c r="D1072" s="53" t="n"/>
      <c r="E1072" s="91" t="n"/>
      <c r="F1072" s="67" t="n"/>
      <c r="G1072" s="58" t="n"/>
      <c r="H1072" s="55" t="n"/>
      <c r="I1072" s="55" t="n"/>
      <c r="J1072" s="55" t="n"/>
      <c r="K1072" s="55" t="n"/>
      <c r="L1072" s="55" t="n"/>
      <c r="M1072" s="55" t="n"/>
      <c r="N1072" s="55" t="n"/>
      <c r="O1072" s="58" t="n"/>
      <c r="P1072" s="58" t="n"/>
      <c r="Q1072" s="58" t="n"/>
      <c r="R1072" s="58" t="n"/>
      <c r="S1072" s="59">
        <f>SUM(O1072:R1072)</f>
        <v/>
      </c>
      <c r="T1072" s="52" t="n"/>
      <c r="U1072" s="53" t="n"/>
      <c r="V1072" s="58" t="n"/>
      <c r="W1072" s="58" t="n"/>
      <c r="X1072" s="58" t="n"/>
      <c r="Y1072" s="52" t="n"/>
      <c r="Z1072" s="58" t="n"/>
      <c r="AA1072" s="58" t="n"/>
      <c r="AB1072" s="58" t="n"/>
      <c r="AC1072" s="58" t="n"/>
      <c r="AD1072" s="53" t="n"/>
      <c r="AE1072" s="61">
        <f>SUMIFS([1]инфо!$D$15:$D$28,[1]инфо!$A$15:$A$28,F1072)</f>
        <v/>
      </c>
      <c r="AF1072" s="62">
        <f>IF(H1072=0,0,N1072/H1072)</f>
        <v/>
      </c>
      <c r="AG1072" s="63">
        <f>AF1072-AE1072</f>
        <v/>
      </c>
      <c r="AH1072" s="61">
        <f>SUMIFS([1]инфо!$E$15:$E$28,[1]инфо!$A$15:$A$28,F1072)</f>
        <v/>
      </c>
      <c r="AI1072" s="62">
        <f>IF(H1071=0,0,S1072/H1071)</f>
        <v/>
      </c>
      <c r="AJ1072" s="63">
        <f>AI1072-AH1072</f>
        <v/>
      </c>
      <c r="AK1072" s="61">
        <f>SUMIFS([1]инфо!$F$15:$F$28,[1]инфо!$A$15:$A$28,F1072)</f>
        <v/>
      </c>
      <c r="AL1072" s="64">
        <f>IF(H1072=0,0,Y1072/H1072)</f>
        <v/>
      </c>
      <c r="AM1072" s="63">
        <f>AL1072-AK1072</f>
        <v/>
      </c>
      <c r="AN1072" s="61">
        <f>SUMIFS([1]инфо!$G$15:$G$28,[1]инфо!$A$15:$A$28,F1072)</f>
        <v/>
      </c>
      <c r="AO1072" s="64">
        <f>IF(H1072=0,0,AA1072/H1072)</f>
        <v/>
      </c>
      <c r="AP1072" s="63">
        <f>AO1072-AN1072</f>
        <v/>
      </c>
      <c r="AQ1072" s="61">
        <f>SUMIFS([1]инфо!$H$15:$H$28,[1]инфо!$A$15:$A$28,F1072)</f>
        <v/>
      </c>
      <c r="AR1072" s="62">
        <f>IF(H1071=0,0,AC1072/H1071)</f>
        <v/>
      </c>
      <c r="AS1072" s="63">
        <f>AR1072-AQ1072</f>
        <v/>
      </c>
      <c r="AT1072" s="61">
        <f>SUMIFS([1]инфо!$I$15:$I$28,[1]инфо!$A$15:$A$28,F1072)</f>
        <v/>
      </c>
      <c r="AU1072" s="62">
        <f>IF(H1072=0,0,AD1072/H1072)</f>
        <v/>
      </c>
      <c r="AV1072" s="63">
        <f>AU1072-AT1072</f>
        <v/>
      </c>
      <c r="AX1072" s="59">
        <f>SUMIFS([1]инфо!$C$15:$C$28,[1]инфо!$A$15:$A$28,F1072)*H1071</f>
        <v/>
      </c>
    </row>
    <row r="1073">
      <c r="A1073" s="71">
        <f>A1071+1</f>
        <v/>
      </c>
      <c r="B1073" s="90" t="n"/>
      <c r="C1073" s="52" t="n"/>
      <c r="D1073" s="53" t="n"/>
      <c r="E1073" s="91" t="n"/>
      <c r="F1073" s="67" t="n"/>
      <c r="G1073" s="58" t="n"/>
      <c r="H1073" s="56" t="n"/>
      <c r="I1073" s="55" t="n"/>
      <c r="J1073" s="55" t="n"/>
      <c r="K1073" s="55" t="n"/>
      <c r="L1073" s="55" t="n"/>
      <c r="M1073" s="55" t="n"/>
      <c r="N1073" s="55" t="n"/>
      <c r="O1073" s="58" t="n"/>
      <c r="P1073" s="58" t="n"/>
      <c r="Q1073" s="58" t="n"/>
      <c r="R1073" s="58" t="n"/>
      <c r="S1073" s="59">
        <f>SUM(O1073:R1073)</f>
        <v/>
      </c>
      <c r="T1073" s="52" t="n"/>
      <c r="U1073" s="53" t="n"/>
      <c r="V1073" s="58" t="n"/>
      <c r="W1073" s="58" t="n"/>
      <c r="X1073" s="58" t="n"/>
      <c r="Y1073" s="52" t="n"/>
      <c r="Z1073" s="58" t="n"/>
      <c r="AA1073" s="58" t="n"/>
      <c r="AB1073" s="58" t="n"/>
      <c r="AC1073" s="58" t="n"/>
      <c r="AD1073" s="53" t="n"/>
      <c r="AE1073" s="61">
        <f>SUMIFS([1]инфо!$D$15:$D$28,[1]инфо!$A$15:$A$28,F1073)</f>
        <v/>
      </c>
      <c r="AF1073" s="62">
        <f>IF(H1073=0,0,N1073/H1073)</f>
        <v/>
      </c>
      <c r="AG1073" s="63">
        <f>AF1073-AE1073</f>
        <v/>
      </c>
      <c r="AH1073" s="61">
        <f>SUMIFS([1]инфо!$E$15:$E$28,[1]инфо!$A$15:$A$28,F1073)</f>
        <v/>
      </c>
      <c r="AI1073" s="62">
        <f>IF(H1072=0,0,S1073/H1072)</f>
        <v/>
      </c>
      <c r="AJ1073" s="63">
        <f>AI1073-AH1073</f>
        <v/>
      </c>
      <c r="AK1073" s="61">
        <f>SUMIFS([1]инфо!$F$15:$F$28,[1]инфо!$A$15:$A$28,F1073)</f>
        <v/>
      </c>
      <c r="AL1073" s="64">
        <f>IF(H1073=0,0,Y1073/H1073)</f>
        <v/>
      </c>
      <c r="AM1073" s="63">
        <f>AL1073-AK1073</f>
        <v/>
      </c>
      <c r="AN1073" s="61">
        <f>SUMIFS([1]инфо!$G$15:$G$28,[1]инфо!$A$15:$A$28,F1073)</f>
        <v/>
      </c>
      <c r="AO1073" s="64">
        <f>IF(H1073=0,0,AA1073/H1073)</f>
        <v/>
      </c>
      <c r="AP1073" s="63">
        <f>AO1073-AN1073</f>
        <v/>
      </c>
      <c r="AQ1073" s="61">
        <f>SUMIFS([1]инфо!$H$15:$H$28,[1]инфо!$A$15:$A$28,F1073)</f>
        <v/>
      </c>
      <c r="AR1073" s="62">
        <f>IF(H1072=0,0,AC1073/H1072)</f>
        <v/>
      </c>
      <c r="AS1073" s="63">
        <f>AR1073-AQ1073</f>
        <v/>
      </c>
      <c r="AT1073" s="61">
        <f>SUMIFS([1]инфо!$I$15:$I$28,[1]инфо!$A$15:$A$28,F1073)</f>
        <v/>
      </c>
      <c r="AU1073" s="62">
        <f>IF(H1073=0,0,AD1073/H1073)</f>
        <v/>
      </c>
      <c r="AV1073" s="63">
        <f>AU1073-AT1073</f>
        <v/>
      </c>
      <c r="AX1073" s="59">
        <f>SUMIFS([1]инфо!$C$15:$C$28,[1]инфо!$A$15:$A$28,F1073)*H1072</f>
        <v/>
      </c>
    </row>
    <row r="1074">
      <c r="A1074" s="71">
        <f>A1072+1</f>
        <v/>
      </c>
      <c r="B1074" s="88" t="n"/>
      <c r="C1074" s="77" t="n"/>
      <c r="D1074" s="78" t="n"/>
      <c r="E1074" s="91" t="n"/>
      <c r="F1074" s="67" t="n"/>
      <c r="G1074" s="79" t="n"/>
      <c r="H1074" s="67" t="n"/>
      <c r="I1074" s="55" t="n"/>
      <c r="J1074" s="55" t="n"/>
      <c r="K1074" s="55" t="n"/>
      <c r="L1074" s="55" t="n"/>
      <c r="M1074" s="55" t="n"/>
      <c r="N1074" s="56" t="n"/>
      <c r="O1074" s="79" t="n"/>
      <c r="P1074" s="79" t="n"/>
      <c r="Q1074" s="79" t="n"/>
      <c r="R1074" s="79" t="n"/>
      <c r="S1074" s="80">
        <f>SUM(O1074:R1074)</f>
        <v/>
      </c>
      <c r="T1074" s="77" t="n"/>
      <c r="U1074" s="78" t="n"/>
      <c r="V1074" s="79" t="n"/>
      <c r="W1074" s="79" t="n"/>
      <c r="X1074" s="79" t="n"/>
      <c r="Y1074" s="77" t="n"/>
      <c r="Z1074" s="79" t="n"/>
      <c r="AA1074" s="79" t="n"/>
      <c r="AB1074" s="79" t="n"/>
      <c r="AC1074" s="79" t="n"/>
      <c r="AD1074" s="78" t="n"/>
      <c r="AE1074" s="81">
        <f>SUMIFS([1]инфо!$D$15:$D$28,[1]инфо!$A$15:$A$28,F1074)</f>
        <v/>
      </c>
      <c r="AF1074" s="62">
        <f>IF(H1074=0,0,N1074/H1074)</f>
        <v/>
      </c>
      <c r="AG1074" s="82">
        <f>AF1074-AE1074</f>
        <v/>
      </c>
      <c r="AH1074" s="81">
        <f>SUMIFS([1]инфо!$E$15:$E$28,[1]инфо!$A$15:$A$28,F1074)</f>
        <v/>
      </c>
      <c r="AI1074" s="85">
        <f>IF(H1073=0,0,S1074/H1073)</f>
        <v/>
      </c>
      <c r="AJ1074" s="82">
        <f>AI1074-AH1074</f>
        <v/>
      </c>
      <c r="AK1074" s="81">
        <f>SUMIFS([1]инфо!$F$15:$F$28,[1]инфо!$A$15:$A$28,F1074)</f>
        <v/>
      </c>
      <c r="AL1074" s="64">
        <f>IF(H1074=0,0,Y1074/H1074)</f>
        <v/>
      </c>
      <c r="AM1074" s="82">
        <f>AL1074-AK1074</f>
        <v/>
      </c>
      <c r="AN1074" s="81">
        <f>SUMIFS([1]инфо!$G$15:$G$28,[1]инфо!$A$15:$A$28,F1074)</f>
        <v/>
      </c>
      <c r="AO1074" s="64">
        <f>IF(H1074=0,0,AA1074/H1074)</f>
        <v/>
      </c>
      <c r="AP1074" s="82">
        <f>AO1074-AN1074</f>
        <v/>
      </c>
      <c r="AQ1074" s="81">
        <f>SUMIFS([1]инфо!$H$15:$H$28,[1]инфо!$A$15:$A$28,F1074)</f>
        <v/>
      </c>
      <c r="AR1074" s="85">
        <f>IF(H1073=0,0,AC1074/H1073)</f>
        <v/>
      </c>
      <c r="AS1074" s="82">
        <f>AR1074-AQ1074</f>
        <v/>
      </c>
      <c r="AT1074" s="81">
        <f>SUMIFS([1]инфо!$I$15:$I$28,[1]инфо!$A$15:$A$28,F1074)</f>
        <v/>
      </c>
      <c r="AU1074" s="62">
        <f>IF(H1074=0,0,AD1074/H1074)</f>
        <v/>
      </c>
      <c r="AV1074" s="82">
        <f>AU1074-AT1074</f>
        <v/>
      </c>
      <c r="AX1074" s="80">
        <f>SUMIFS([1]инфо!$C$15:$C$28,[1]инфо!$A$15:$A$28,F1074)*H1073</f>
        <v/>
      </c>
    </row>
    <row r="1075">
      <c r="A1075" s="71">
        <f>A1073+1</f>
        <v/>
      </c>
      <c r="B1075" s="89" t="n"/>
      <c r="C1075" s="72" t="n"/>
      <c r="D1075" s="73" t="n"/>
      <c r="E1075" s="91" t="n"/>
      <c r="F1075" s="67" t="n"/>
      <c r="G1075" s="74" t="n"/>
      <c r="H1075" s="55" t="n"/>
      <c r="I1075" s="55" t="n"/>
      <c r="J1075" s="55" t="n"/>
      <c r="K1075" s="55" t="n"/>
      <c r="L1075" s="55" t="n"/>
      <c r="M1075" s="55" t="n"/>
      <c r="N1075" s="67" t="n"/>
      <c r="O1075" s="74" t="n"/>
      <c r="P1075" s="74" t="n"/>
      <c r="Q1075" s="74" t="n"/>
      <c r="R1075" s="74" t="n"/>
      <c r="S1075" s="70">
        <f>SUM(O1075:R1075)</f>
        <v/>
      </c>
      <c r="T1075" s="72" t="n"/>
      <c r="U1075" s="73" t="n"/>
      <c r="V1075" s="74" t="n"/>
      <c r="W1075" s="74" t="n"/>
      <c r="X1075" s="74" t="n"/>
      <c r="Y1075" s="72" t="n"/>
      <c r="Z1075" s="74" t="n"/>
      <c r="AA1075" s="74" t="n"/>
      <c r="AB1075" s="74" t="n"/>
      <c r="AC1075" s="74" t="n"/>
      <c r="AD1075" s="73" t="n"/>
      <c r="AE1075" s="75">
        <f>SUMIFS([1]инфо!$D$15:$D$28,[1]инфо!$A$15:$A$28,F1075)</f>
        <v/>
      </c>
      <c r="AF1075" s="62">
        <f>IF(H1075=0,0,N1075/H1075)</f>
        <v/>
      </c>
      <c r="AG1075" s="76">
        <f>AF1075-AE1075</f>
        <v/>
      </c>
      <c r="AH1075" s="75">
        <f>SUMIFS([1]инфо!$E$15:$E$28,[1]инфо!$A$15:$A$28,F1075)</f>
        <v/>
      </c>
      <c r="AI1075" s="64">
        <f>IF(H1074=0,0,S1075/H1074)</f>
        <v/>
      </c>
      <c r="AJ1075" s="76">
        <f>AI1075-AH1075</f>
        <v/>
      </c>
      <c r="AK1075" s="75">
        <f>SUMIFS([1]инфо!$F$15:$F$28,[1]инфо!$A$15:$A$28,F1075)</f>
        <v/>
      </c>
      <c r="AL1075" s="64">
        <f>IF(H1075=0,0,Y1075/H1075)</f>
        <v/>
      </c>
      <c r="AM1075" s="76">
        <f>AL1075-AK1075</f>
        <v/>
      </c>
      <c r="AN1075" s="75">
        <f>SUMIFS([1]инфо!$G$15:$G$28,[1]инфо!$A$15:$A$28,F1075)</f>
        <v/>
      </c>
      <c r="AO1075" s="64">
        <f>IF(H1075=0,0,AA1075/H1075)</f>
        <v/>
      </c>
      <c r="AP1075" s="76">
        <f>AO1075-AN1075</f>
        <v/>
      </c>
      <c r="AQ1075" s="75">
        <f>SUMIFS([1]инфо!$H$15:$H$28,[1]инфо!$A$15:$A$28,F1075)</f>
        <v/>
      </c>
      <c r="AR1075" s="64">
        <f>IF(H1074=0,0,AC1075/H1074)</f>
        <v/>
      </c>
      <c r="AS1075" s="76">
        <f>AR1075-AQ1075</f>
        <v/>
      </c>
      <c r="AT1075" s="75">
        <f>SUMIFS([1]инфо!$I$15:$I$28,[1]инфо!$A$15:$A$28,F1075)</f>
        <v/>
      </c>
      <c r="AU1075" s="62">
        <f>IF(H1075=0,0,AD1075/H1075)</f>
        <v/>
      </c>
      <c r="AV1075" s="76">
        <f>AU1075-AT1075</f>
        <v/>
      </c>
      <c r="AX1075" s="70">
        <f>SUMIFS([1]инфо!$C$15:$C$28,[1]инфо!$A$15:$A$28,F1075)*H1074</f>
        <v/>
      </c>
    </row>
    <row r="1076">
      <c r="A1076" s="71">
        <f>A1074+1</f>
        <v/>
      </c>
      <c r="B1076" s="90" t="n"/>
      <c r="C1076" s="52" t="n"/>
      <c r="D1076" s="53" t="n"/>
      <c r="E1076" s="91" t="n"/>
      <c r="F1076" s="67" t="n"/>
      <c r="G1076" s="58" t="n"/>
      <c r="H1076" s="55" t="n"/>
      <c r="I1076" s="55" t="n"/>
      <c r="J1076" s="55" t="n"/>
      <c r="K1076" s="55" t="n"/>
      <c r="L1076" s="55" t="n"/>
      <c r="M1076" s="55" t="n"/>
      <c r="N1076" s="55" t="n"/>
      <c r="O1076" s="58" t="n"/>
      <c r="P1076" s="58" t="n"/>
      <c r="Q1076" s="58" t="n"/>
      <c r="R1076" s="58" t="n"/>
      <c r="S1076" s="59">
        <f>SUM(O1076:R1076)</f>
        <v/>
      </c>
      <c r="T1076" s="52" t="n"/>
      <c r="U1076" s="53" t="n"/>
      <c r="V1076" s="58" t="n"/>
      <c r="W1076" s="58" t="n"/>
      <c r="X1076" s="58" t="n"/>
      <c r="Y1076" s="52" t="n"/>
      <c r="Z1076" s="58" t="n"/>
      <c r="AA1076" s="58" t="n"/>
      <c r="AB1076" s="58" t="n"/>
      <c r="AC1076" s="58" t="n"/>
      <c r="AD1076" s="53" t="n"/>
      <c r="AE1076" s="61">
        <f>SUMIFS([1]инфо!$D$15:$D$28,[1]инфо!$A$15:$A$28,F1076)</f>
        <v/>
      </c>
      <c r="AF1076" s="62">
        <f>IF(H1076=0,0,N1076/H1076)</f>
        <v/>
      </c>
      <c r="AG1076" s="63">
        <f>AF1076-AE1076</f>
        <v/>
      </c>
      <c r="AH1076" s="61">
        <f>SUMIFS([1]инфо!$E$15:$E$28,[1]инфо!$A$15:$A$28,F1076)</f>
        <v/>
      </c>
      <c r="AI1076" s="62">
        <f>IF(H1075=0,0,S1076/H1075)</f>
        <v/>
      </c>
      <c r="AJ1076" s="63">
        <f>AI1076-AH1076</f>
        <v/>
      </c>
      <c r="AK1076" s="61">
        <f>SUMIFS([1]инфо!$F$15:$F$28,[1]инфо!$A$15:$A$28,F1076)</f>
        <v/>
      </c>
      <c r="AL1076" s="64">
        <f>IF(H1076=0,0,Y1076/H1076)</f>
        <v/>
      </c>
      <c r="AM1076" s="63">
        <f>AL1076-AK1076</f>
        <v/>
      </c>
      <c r="AN1076" s="61">
        <f>SUMIFS([1]инфо!$G$15:$G$28,[1]инфо!$A$15:$A$28,F1076)</f>
        <v/>
      </c>
      <c r="AO1076" s="64">
        <f>IF(H1076=0,0,AA1076/H1076)</f>
        <v/>
      </c>
      <c r="AP1076" s="63">
        <f>AO1076-AN1076</f>
        <v/>
      </c>
      <c r="AQ1076" s="61">
        <f>SUMIFS([1]инфо!$H$15:$H$28,[1]инфо!$A$15:$A$28,F1076)</f>
        <v/>
      </c>
      <c r="AR1076" s="62">
        <f>IF(H1075=0,0,AC1076/H1075)</f>
        <v/>
      </c>
      <c r="AS1076" s="63">
        <f>AR1076-AQ1076</f>
        <v/>
      </c>
      <c r="AT1076" s="61">
        <f>SUMIFS([1]инфо!$I$15:$I$28,[1]инфо!$A$15:$A$28,F1076)</f>
        <v/>
      </c>
      <c r="AU1076" s="62">
        <f>IF(H1076=0,0,AD1076/H1076)</f>
        <v/>
      </c>
      <c r="AV1076" s="63">
        <f>AU1076-AT1076</f>
        <v/>
      </c>
      <c r="AX1076" s="59">
        <f>SUMIFS([1]инфо!$C$15:$C$28,[1]инфо!$A$15:$A$28,F1076)*H1075</f>
        <v/>
      </c>
    </row>
    <row r="1077">
      <c r="A1077" s="71">
        <f>A1075+1</f>
        <v/>
      </c>
      <c r="B1077" s="90" t="n"/>
      <c r="C1077" s="52" t="n"/>
      <c r="D1077" s="53" t="n"/>
      <c r="E1077" s="91" t="n"/>
      <c r="F1077" s="67" t="n"/>
      <c r="G1077" s="58" t="n"/>
      <c r="H1077" s="56" t="n"/>
      <c r="I1077" s="55" t="n"/>
      <c r="J1077" s="55" t="n"/>
      <c r="K1077" s="55" t="n"/>
      <c r="L1077" s="55" t="n"/>
      <c r="M1077" s="55" t="n"/>
      <c r="N1077" s="55" t="n"/>
      <c r="O1077" s="58" t="n"/>
      <c r="P1077" s="58" t="n"/>
      <c r="Q1077" s="58" t="n"/>
      <c r="R1077" s="58" t="n"/>
      <c r="S1077" s="59">
        <f>SUM(O1077:R1077)</f>
        <v/>
      </c>
      <c r="T1077" s="52" t="n"/>
      <c r="U1077" s="53" t="n"/>
      <c r="V1077" s="58" t="n"/>
      <c r="W1077" s="58" t="n"/>
      <c r="X1077" s="58" t="n"/>
      <c r="Y1077" s="52" t="n"/>
      <c r="Z1077" s="58" t="n"/>
      <c r="AA1077" s="58" t="n"/>
      <c r="AB1077" s="58" t="n"/>
      <c r="AC1077" s="58" t="n"/>
      <c r="AD1077" s="53" t="n"/>
      <c r="AE1077" s="61">
        <f>SUMIFS([1]инфо!$D$15:$D$28,[1]инфо!$A$15:$A$28,F1077)</f>
        <v/>
      </c>
      <c r="AF1077" s="62">
        <f>IF(H1077=0,0,N1077/H1077)</f>
        <v/>
      </c>
      <c r="AG1077" s="63">
        <f>AF1077-AE1077</f>
        <v/>
      </c>
      <c r="AH1077" s="61">
        <f>SUMIFS([1]инфо!$E$15:$E$28,[1]инфо!$A$15:$A$28,F1077)</f>
        <v/>
      </c>
      <c r="AI1077" s="62">
        <f>IF(H1076=0,0,S1077/H1076)</f>
        <v/>
      </c>
      <c r="AJ1077" s="63">
        <f>AI1077-AH1077</f>
        <v/>
      </c>
      <c r="AK1077" s="61">
        <f>SUMIFS([1]инфо!$F$15:$F$28,[1]инфо!$A$15:$A$28,F1077)</f>
        <v/>
      </c>
      <c r="AL1077" s="64">
        <f>IF(H1077=0,0,Y1077/H1077)</f>
        <v/>
      </c>
      <c r="AM1077" s="63">
        <f>AL1077-AK1077</f>
        <v/>
      </c>
      <c r="AN1077" s="61">
        <f>SUMIFS([1]инфо!$G$15:$G$28,[1]инфо!$A$15:$A$28,F1077)</f>
        <v/>
      </c>
      <c r="AO1077" s="64">
        <f>IF(H1077=0,0,AA1077/H1077)</f>
        <v/>
      </c>
      <c r="AP1077" s="63">
        <f>AO1077-AN1077</f>
        <v/>
      </c>
      <c r="AQ1077" s="61">
        <f>SUMIFS([1]инфо!$H$15:$H$28,[1]инфо!$A$15:$A$28,F1077)</f>
        <v/>
      </c>
      <c r="AR1077" s="62">
        <f>IF(H1076=0,0,AC1077/H1076)</f>
        <v/>
      </c>
      <c r="AS1077" s="63">
        <f>AR1077-AQ1077</f>
        <v/>
      </c>
      <c r="AT1077" s="61">
        <f>SUMIFS([1]инфо!$I$15:$I$28,[1]инфо!$A$15:$A$28,F1077)</f>
        <v/>
      </c>
      <c r="AU1077" s="62">
        <f>IF(H1077=0,0,AD1077/H1077)</f>
        <v/>
      </c>
      <c r="AV1077" s="63">
        <f>AU1077-AT1077</f>
        <v/>
      </c>
      <c r="AX1077" s="59">
        <f>SUMIFS([1]инфо!$C$15:$C$28,[1]инфо!$A$15:$A$28,F1077)*H1076</f>
        <v/>
      </c>
    </row>
    <row r="1078">
      <c r="A1078" s="71">
        <f>A1076+1</f>
        <v/>
      </c>
      <c r="B1078" s="88" t="n"/>
      <c r="C1078" s="77" t="n"/>
      <c r="D1078" s="78" t="n"/>
      <c r="E1078" s="91" t="n"/>
      <c r="F1078" s="67" t="n"/>
      <c r="G1078" s="79" t="n"/>
      <c r="H1078" s="67" t="n"/>
      <c r="I1078" s="55" t="n"/>
      <c r="J1078" s="55" t="n"/>
      <c r="K1078" s="55" t="n"/>
      <c r="L1078" s="55" t="n"/>
      <c r="M1078" s="55" t="n"/>
      <c r="N1078" s="56" t="n"/>
      <c r="O1078" s="79" t="n"/>
      <c r="P1078" s="79" t="n"/>
      <c r="Q1078" s="79" t="n"/>
      <c r="R1078" s="79" t="n"/>
      <c r="S1078" s="80">
        <f>SUM(O1078:R1078)</f>
        <v/>
      </c>
      <c r="T1078" s="77" t="n"/>
      <c r="U1078" s="78" t="n"/>
      <c r="V1078" s="79" t="n"/>
      <c r="W1078" s="79" t="n"/>
      <c r="X1078" s="79" t="n"/>
      <c r="Y1078" s="77" t="n"/>
      <c r="Z1078" s="79" t="n"/>
      <c r="AA1078" s="79" t="n"/>
      <c r="AB1078" s="79" t="n"/>
      <c r="AC1078" s="79" t="n"/>
      <c r="AD1078" s="78" t="n"/>
      <c r="AE1078" s="81">
        <f>SUMIFS([1]инфо!$D$15:$D$28,[1]инфо!$A$15:$A$28,F1078)</f>
        <v/>
      </c>
      <c r="AF1078" s="62">
        <f>IF(H1078=0,0,N1078/H1078)</f>
        <v/>
      </c>
      <c r="AG1078" s="82">
        <f>AF1078-AE1078</f>
        <v/>
      </c>
      <c r="AH1078" s="81">
        <f>SUMIFS([1]инфо!$E$15:$E$28,[1]инфо!$A$15:$A$28,F1078)</f>
        <v/>
      </c>
      <c r="AI1078" s="85">
        <f>IF(H1077=0,0,S1078/H1077)</f>
        <v/>
      </c>
      <c r="AJ1078" s="82">
        <f>AI1078-AH1078</f>
        <v/>
      </c>
      <c r="AK1078" s="81">
        <f>SUMIFS([1]инфо!$F$15:$F$28,[1]инфо!$A$15:$A$28,F1078)</f>
        <v/>
      </c>
      <c r="AL1078" s="64">
        <f>IF(H1078=0,0,Y1078/H1078)</f>
        <v/>
      </c>
      <c r="AM1078" s="82">
        <f>AL1078-AK1078</f>
        <v/>
      </c>
      <c r="AN1078" s="81">
        <f>SUMIFS([1]инфо!$G$15:$G$28,[1]инфо!$A$15:$A$28,F1078)</f>
        <v/>
      </c>
      <c r="AO1078" s="64">
        <f>IF(H1078=0,0,AA1078/H1078)</f>
        <v/>
      </c>
      <c r="AP1078" s="82">
        <f>AO1078-AN1078</f>
        <v/>
      </c>
      <c r="AQ1078" s="81">
        <f>SUMIFS([1]инфо!$H$15:$H$28,[1]инфо!$A$15:$A$28,F1078)</f>
        <v/>
      </c>
      <c r="AR1078" s="85">
        <f>IF(H1077=0,0,AC1078/H1077)</f>
        <v/>
      </c>
      <c r="AS1078" s="82">
        <f>AR1078-AQ1078</f>
        <v/>
      </c>
      <c r="AT1078" s="81">
        <f>SUMIFS([1]инфо!$I$15:$I$28,[1]инфо!$A$15:$A$28,F1078)</f>
        <v/>
      </c>
      <c r="AU1078" s="62">
        <f>IF(H1078=0,0,AD1078/H1078)</f>
        <v/>
      </c>
      <c r="AV1078" s="82">
        <f>AU1078-AT1078</f>
        <v/>
      </c>
      <c r="AX1078" s="80">
        <f>SUMIFS([1]инфо!$C$15:$C$28,[1]инфо!$A$15:$A$28,F1078)*H1077</f>
        <v/>
      </c>
    </row>
    <row r="1079">
      <c r="A1079" s="71">
        <f>A1077+1</f>
        <v/>
      </c>
      <c r="B1079" s="89" t="n"/>
      <c r="C1079" s="72" t="n"/>
      <c r="D1079" s="73" t="n"/>
      <c r="E1079" s="91" t="n"/>
      <c r="F1079" s="67" t="n"/>
      <c r="G1079" s="74" t="n"/>
      <c r="H1079" s="55" t="n"/>
      <c r="I1079" s="55" t="n"/>
      <c r="J1079" s="55" t="n"/>
      <c r="K1079" s="55" t="n"/>
      <c r="L1079" s="55" t="n"/>
      <c r="M1079" s="55" t="n"/>
      <c r="N1079" s="67" t="n"/>
      <c r="O1079" s="74" t="n"/>
      <c r="P1079" s="74" t="n"/>
      <c r="Q1079" s="74" t="n"/>
      <c r="R1079" s="74" t="n"/>
      <c r="S1079" s="70">
        <f>SUM(O1079:R1079)</f>
        <v/>
      </c>
      <c r="T1079" s="72" t="n"/>
      <c r="U1079" s="73" t="n"/>
      <c r="V1079" s="74" t="n"/>
      <c r="W1079" s="74" t="n"/>
      <c r="X1079" s="74" t="n"/>
      <c r="Y1079" s="72" t="n"/>
      <c r="Z1079" s="74" t="n"/>
      <c r="AA1079" s="74" t="n"/>
      <c r="AB1079" s="74" t="n"/>
      <c r="AC1079" s="74" t="n"/>
      <c r="AD1079" s="73" t="n"/>
      <c r="AE1079" s="75">
        <f>SUMIFS([1]инфо!$D$15:$D$28,[1]инфо!$A$15:$A$28,F1079)</f>
        <v/>
      </c>
      <c r="AF1079" s="62">
        <f>IF(H1079=0,0,N1079/H1079)</f>
        <v/>
      </c>
      <c r="AG1079" s="76">
        <f>AF1079-AE1079</f>
        <v/>
      </c>
      <c r="AH1079" s="75">
        <f>SUMIFS([1]инфо!$E$15:$E$28,[1]инфо!$A$15:$A$28,F1079)</f>
        <v/>
      </c>
      <c r="AI1079" s="64">
        <f>IF(H1078=0,0,S1079/H1078)</f>
        <v/>
      </c>
      <c r="AJ1079" s="76">
        <f>AI1079-AH1079</f>
        <v/>
      </c>
      <c r="AK1079" s="75">
        <f>SUMIFS([1]инфо!$F$15:$F$28,[1]инфо!$A$15:$A$28,F1079)</f>
        <v/>
      </c>
      <c r="AL1079" s="64">
        <f>IF(H1079=0,0,Y1079/H1079)</f>
        <v/>
      </c>
      <c r="AM1079" s="76">
        <f>AL1079-AK1079</f>
        <v/>
      </c>
      <c r="AN1079" s="75">
        <f>SUMIFS([1]инфо!$G$15:$G$28,[1]инфо!$A$15:$A$28,F1079)</f>
        <v/>
      </c>
      <c r="AO1079" s="64">
        <f>IF(H1079=0,0,AA1079/H1079)</f>
        <v/>
      </c>
      <c r="AP1079" s="76">
        <f>AO1079-AN1079</f>
        <v/>
      </c>
      <c r="AQ1079" s="75">
        <f>SUMIFS([1]инфо!$H$15:$H$28,[1]инфо!$A$15:$A$28,F1079)</f>
        <v/>
      </c>
      <c r="AR1079" s="64">
        <f>IF(H1078=0,0,AC1079/H1078)</f>
        <v/>
      </c>
      <c r="AS1079" s="76">
        <f>AR1079-AQ1079</f>
        <v/>
      </c>
      <c r="AT1079" s="75">
        <f>SUMIFS([1]инфо!$I$15:$I$28,[1]инфо!$A$15:$A$28,F1079)</f>
        <v/>
      </c>
      <c r="AU1079" s="62">
        <f>IF(H1079=0,0,AD1079/H1079)</f>
        <v/>
      </c>
      <c r="AV1079" s="76">
        <f>AU1079-AT1079</f>
        <v/>
      </c>
      <c r="AX1079" s="70">
        <f>SUMIFS([1]инфо!$C$15:$C$28,[1]инфо!$A$15:$A$28,F1079)*H1078</f>
        <v/>
      </c>
    </row>
    <row r="1080">
      <c r="A1080" s="71">
        <f>A1078+1</f>
        <v/>
      </c>
      <c r="B1080" s="90" t="n"/>
      <c r="C1080" s="52" t="n"/>
      <c r="D1080" s="53" t="n"/>
      <c r="E1080" s="91" t="n"/>
      <c r="F1080" s="67" t="n"/>
      <c r="G1080" s="58" t="n"/>
      <c r="H1080" s="55" t="n"/>
      <c r="I1080" s="55" t="n"/>
      <c r="J1080" s="55" t="n"/>
      <c r="K1080" s="55" t="n"/>
      <c r="L1080" s="55" t="n"/>
      <c r="M1080" s="55" t="n"/>
      <c r="N1080" s="55" t="n"/>
      <c r="O1080" s="58" t="n"/>
      <c r="P1080" s="58" t="n"/>
      <c r="Q1080" s="58" t="n"/>
      <c r="R1080" s="58" t="n"/>
      <c r="S1080" s="59">
        <f>SUM(O1080:R1080)</f>
        <v/>
      </c>
      <c r="T1080" s="52" t="n"/>
      <c r="U1080" s="53" t="n"/>
      <c r="V1080" s="58" t="n"/>
      <c r="W1080" s="58" t="n"/>
      <c r="X1080" s="58" t="n"/>
      <c r="Y1080" s="52" t="n"/>
      <c r="Z1080" s="58" t="n"/>
      <c r="AA1080" s="58" t="n"/>
      <c r="AB1080" s="58" t="n"/>
      <c r="AC1080" s="58" t="n"/>
      <c r="AD1080" s="53" t="n"/>
      <c r="AE1080" s="61">
        <f>SUMIFS([1]инфо!$D$15:$D$28,[1]инфо!$A$15:$A$28,F1080)</f>
        <v/>
      </c>
      <c r="AF1080" s="62">
        <f>IF(H1080=0,0,N1080/H1080)</f>
        <v/>
      </c>
      <c r="AG1080" s="63">
        <f>AF1080-AE1080</f>
        <v/>
      </c>
      <c r="AH1080" s="61">
        <f>SUMIFS([1]инфо!$E$15:$E$28,[1]инфо!$A$15:$A$28,F1080)</f>
        <v/>
      </c>
      <c r="AI1080" s="62">
        <f>IF(H1079=0,0,S1080/H1079)</f>
        <v/>
      </c>
      <c r="AJ1080" s="63">
        <f>AI1080-AH1080</f>
        <v/>
      </c>
      <c r="AK1080" s="61">
        <f>SUMIFS([1]инфо!$F$15:$F$28,[1]инфо!$A$15:$A$28,F1080)</f>
        <v/>
      </c>
      <c r="AL1080" s="64">
        <f>IF(H1080=0,0,Y1080/H1080)</f>
        <v/>
      </c>
      <c r="AM1080" s="63">
        <f>AL1080-AK1080</f>
        <v/>
      </c>
      <c r="AN1080" s="61">
        <f>SUMIFS([1]инфо!$G$15:$G$28,[1]инфо!$A$15:$A$28,F1080)</f>
        <v/>
      </c>
      <c r="AO1080" s="64">
        <f>IF(H1080=0,0,AA1080/H1080)</f>
        <v/>
      </c>
      <c r="AP1080" s="63">
        <f>AO1080-AN1080</f>
        <v/>
      </c>
      <c r="AQ1080" s="61">
        <f>SUMIFS([1]инфо!$H$15:$H$28,[1]инфо!$A$15:$A$28,F1080)</f>
        <v/>
      </c>
      <c r="AR1080" s="62">
        <f>IF(H1079=0,0,AC1080/H1079)</f>
        <v/>
      </c>
      <c r="AS1080" s="63">
        <f>AR1080-AQ1080</f>
        <v/>
      </c>
      <c r="AT1080" s="61">
        <f>SUMIFS([1]инфо!$I$15:$I$28,[1]инфо!$A$15:$A$28,F1080)</f>
        <v/>
      </c>
      <c r="AU1080" s="62">
        <f>IF(H1080=0,0,AD1080/H1080)</f>
        <v/>
      </c>
      <c r="AV1080" s="63">
        <f>AU1080-AT1080</f>
        <v/>
      </c>
      <c r="AX1080" s="59">
        <f>SUMIFS([1]инфо!$C$15:$C$28,[1]инфо!$A$15:$A$28,F1080)*H1079</f>
        <v/>
      </c>
    </row>
    <row r="1081">
      <c r="A1081" s="71">
        <f>A1079+1</f>
        <v/>
      </c>
      <c r="B1081" s="90" t="n"/>
      <c r="C1081" s="52" t="n"/>
      <c r="D1081" s="53" t="n"/>
      <c r="E1081" s="91" t="n"/>
      <c r="F1081" s="67" t="n"/>
      <c r="G1081" s="58" t="n"/>
      <c r="H1081" s="56" t="n"/>
      <c r="I1081" s="55" t="n"/>
      <c r="J1081" s="55" t="n"/>
      <c r="K1081" s="55" t="n"/>
      <c r="L1081" s="55" t="n"/>
      <c r="M1081" s="55" t="n"/>
      <c r="N1081" s="55" t="n"/>
      <c r="O1081" s="58" t="n"/>
      <c r="P1081" s="58" t="n"/>
      <c r="Q1081" s="58" t="n"/>
      <c r="R1081" s="58" t="n"/>
      <c r="S1081" s="59">
        <f>SUM(O1081:R1081)</f>
        <v/>
      </c>
      <c r="T1081" s="52" t="n"/>
      <c r="U1081" s="53" t="n"/>
      <c r="V1081" s="58" t="n"/>
      <c r="W1081" s="58" t="n"/>
      <c r="X1081" s="58" t="n"/>
      <c r="Y1081" s="52" t="n"/>
      <c r="Z1081" s="58" t="n"/>
      <c r="AA1081" s="58" t="n"/>
      <c r="AB1081" s="58" t="n"/>
      <c r="AC1081" s="58" t="n"/>
      <c r="AD1081" s="53" t="n"/>
      <c r="AE1081" s="61">
        <f>SUMIFS([1]инфо!$D$15:$D$28,[1]инфо!$A$15:$A$28,F1081)</f>
        <v/>
      </c>
      <c r="AF1081" s="62">
        <f>IF(H1081=0,0,N1081/H1081)</f>
        <v/>
      </c>
      <c r="AG1081" s="63">
        <f>AF1081-AE1081</f>
        <v/>
      </c>
      <c r="AH1081" s="61">
        <f>SUMIFS([1]инфо!$E$15:$E$28,[1]инфо!$A$15:$A$28,F1081)</f>
        <v/>
      </c>
      <c r="AI1081" s="62">
        <f>IF(H1080=0,0,S1081/H1080)</f>
        <v/>
      </c>
      <c r="AJ1081" s="63">
        <f>AI1081-AH1081</f>
        <v/>
      </c>
      <c r="AK1081" s="61">
        <f>SUMIFS([1]инфо!$F$15:$F$28,[1]инфо!$A$15:$A$28,F1081)</f>
        <v/>
      </c>
      <c r="AL1081" s="64">
        <f>IF(H1081=0,0,Y1081/H1081)</f>
        <v/>
      </c>
      <c r="AM1081" s="63">
        <f>AL1081-AK1081</f>
        <v/>
      </c>
      <c r="AN1081" s="61">
        <f>SUMIFS([1]инфо!$G$15:$G$28,[1]инфо!$A$15:$A$28,F1081)</f>
        <v/>
      </c>
      <c r="AO1081" s="64">
        <f>IF(H1081=0,0,AA1081/H1081)</f>
        <v/>
      </c>
      <c r="AP1081" s="63">
        <f>AO1081-AN1081</f>
        <v/>
      </c>
      <c r="AQ1081" s="61">
        <f>SUMIFS([1]инфо!$H$15:$H$28,[1]инфо!$A$15:$A$28,F1081)</f>
        <v/>
      </c>
      <c r="AR1081" s="62">
        <f>IF(H1080=0,0,AC1081/H1080)</f>
        <v/>
      </c>
      <c r="AS1081" s="63">
        <f>AR1081-AQ1081</f>
        <v/>
      </c>
      <c r="AT1081" s="61">
        <f>SUMIFS([1]инфо!$I$15:$I$28,[1]инфо!$A$15:$A$28,F1081)</f>
        <v/>
      </c>
      <c r="AU1081" s="62">
        <f>IF(H1081=0,0,AD1081/H1081)</f>
        <v/>
      </c>
      <c r="AV1081" s="63">
        <f>AU1081-AT1081</f>
        <v/>
      </c>
      <c r="AX1081" s="59">
        <f>SUMIFS([1]инфо!$C$15:$C$28,[1]инфо!$A$15:$A$28,F1081)*H1080</f>
        <v/>
      </c>
    </row>
    <row r="1082">
      <c r="A1082" s="71">
        <f>A1080+1</f>
        <v/>
      </c>
      <c r="B1082" s="88" t="n"/>
      <c r="C1082" s="77" t="n"/>
      <c r="D1082" s="78" t="n"/>
      <c r="E1082" s="91" t="n"/>
      <c r="F1082" s="67" t="n"/>
      <c r="G1082" s="79" t="n"/>
      <c r="H1082" s="67" t="n"/>
      <c r="I1082" s="55" t="n"/>
      <c r="J1082" s="55" t="n"/>
      <c r="K1082" s="55" t="n"/>
      <c r="L1082" s="55" t="n"/>
      <c r="M1082" s="55" t="n"/>
      <c r="N1082" s="56" t="n"/>
      <c r="O1082" s="79" t="n"/>
      <c r="P1082" s="79" t="n"/>
      <c r="Q1082" s="79" t="n"/>
      <c r="R1082" s="79" t="n"/>
      <c r="S1082" s="80">
        <f>SUM(O1082:R1082)</f>
        <v/>
      </c>
      <c r="T1082" s="77" t="n"/>
      <c r="U1082" s="78" t="n"/>
      <c r="V1082" s="79" t="n"/>
      <c r="W1082" s="79" t="n"/>
      <c r="X1082" s="79" t="n"/>
      <c r="Y1082" s="77" t="n"/>
      <c r="Z1082" s="79" t="n"/>
      <c r="AA1082" s="79" t="n"/>
      <c r="AB1082" s="79" t="n"/>
      <c r="AC1082" s="79" t="n"/>
      <c r="AD1082" s="78" t="n"/>
      <c r="AE1082" s="81">
        <f>SUMIFS([1]инфо!$D$15:$D$28,[1]инфо!$A$15:$A$28,F1082)</f>
        <v/>
      </c>
      <c r="AF1082" s="62">
        <f>IF(H1082=0,0,N1082/H1082)</f>
        <v/>
      </c>
      <c r="AG1082" s="82">
        <f>AF1082-AE1082</f>
        <v/>
      </c>
      <c r="AH1082" s="81">
        <f>SUMIFS([1]инфо!$E$15:$E$28,[1]инфо!$A$15:$A$28,F1082)</f>
        <v/>
      </c>
      <c r="AI1082" s="85">
        <f>IF(H1081=0,0,S1082/H1081)</f>
        <v/>
      </c>
      <c r="AJ1082" s="82">
        <f>AI1082-AH1082</f>
        <v/>
      </c>
      <c r="AK1082" s="81">
        <f>SUMIFS([1]инфо!$F$15:$F$28,[1]инфо!$A$15:$A$28,F1082)</f>
        <v/>
      </c>
      <c r="AL1082" s="64">
        <f>IF(H1082=0,0,Y1082/H1082)</f>
        <v/>
      </c>
      <c r="AM1082" s="82">
        <f>AL1082-AK1082</f>
        <v/>
      </c>
      <c r="AN1082" s="81">
        <f>SUMIFS([1]инфо!$G$15:$G$28,[1]инфо!$A$15:$A$28,F1082)</f>
        <v/>
      </c>
      <c r="AO1082" s="64">
        <f>IF(H1082=0,0,AA1082/H1082)</f>
        <v/>
      </c>
      <c r="AP1082" s="82">
        <f>AO1082-AN1082</f>
        <v/>
      </c>
      <c r="AQ1082" s="81">
        <f>SUMIFS([1]инфо!$H$15:$H$28,[1]инфо!$A$15:$A$28,F1082)</f>
        <v/>
      </c>
      <c r="AR1082" s="85">
        <f>IF(H1081=0,0,AC1082/H1081)</f>
        <v/>
      </c>
      <c r="AS1082" s="82">
        <f>AR1082-AQ1082</f>
        <v/>
      </c>
      <c r="AT1082" s="81">
        <f>SUMIFS([1]инфо!$I$15:$I$28,[1]инфо!$A$15:$A$28,F1082)</f>
        <v/>
      </c>
      <c r="AU1082" s="62">
        <f>IF(H1082=0,0,AD1082/H1082)</f>
        <v/>
      </c>
      <c r="AV1082" s="82">
        <f>AU1082-AT1082</f>
        <v/>
      </c>
      <c r="AX1082" s="80">
        <f>SUMIFS([1]инфо!$C$15:$C$28,[1]инфо!$A$15:$A$28,F1082)*H1081</f>
        <v/>
      </c>
    </row>
    <row r="1083">
      <c r="A1083" s="71">
        <f>A1081+1</f>
        <v/>
      </c>
      <c r="B1083" s="89" t="n"/>
      <c r="C1083" s="72" t="n"/>
      <c r="D1083" s="73" t="n"/>
      <c r="E1083" s="91" t="n"/>
      <c r="F1083" s="67" t="n"/>
      <c r="G1083" s="74" t="n"/>
      <c r="H1083" s="55" t="n"/>
      <c r="I1083" s="55" t="n"/>
      <c r="J1083" s="55" t="n"/>
      <c r="K1083" s="55" t="n"/>
      <c r="L1083" s="55" t="n"/>
      <c r="M1083" s="55" t="n"/>
      <c r="N1083" s="67" t="n"/>
      <c r="O1083" s="74" t="n"/>
      <c r="P1083" s="74" t="n"/>
      <c r="Q1083" s="74" t="n"/>
      <c r="R1083" s="74" t="n"/>
      <c r="S1083" s="70">
        <f>SUM(O1083:R1083)</f>
        <v/>
      </c>
      <c r="T1083" s="72" t="n"/>
      <c r="U1083" s="73" t="n"/>
      <c r="V1083" s="74" t="n"/>
      <c r="W1083" s="74" t="n"/>
      <c r="X1083" s="74" t="n"/>
      <c r="Y1083" s="72" t="n"/>
      <c r="Z1083" s="74" t="n"/>
      <c r="AA1083" s="74" t="n"/>
      <c r="AB1083" s="74" t="n"/>
      <c r="AC1083" s="74" t="n"/>
      <c r="AD1083" s="73" t="n"/>
      <c r="AE1083" s="75">
        <f>SUMIFS([1]инфо!$D$15:$D$28,[1]инфо!$A$15:$A$28,F1083)</f>
        <v/>
      </c>
      <c r="AF1083" s="62">
        <f>IF(H1083=0,0,N1083/H1083)</f>
        <v/>
      </c>
      <c r="AG1083" s="76">
        <f>AF1083-AE1083</f>
        <v/>
      </c>
      <c r="AH1083" s="75">
        <f>SUMIFS([1]инфо!$E$15:$E$28,[1]инфо!$A$15:$A$28,F1083)</f>
        <v/>
      </c>
      <c r="AI1083" s="64">
        <f>IF(H1082=0,0,S1083/H1082)</f>
        <v/>
      </c>
      <c r="AJ1083" s="76">
        <f>AI1083-AH1083</f>
        <v/>
      </c>
      <c r="AK1083" s="75">
        <f>SUMIFS([1]инфо!$F$15:$F$28,[1]инфо!$A$15:$A$28,F1083)</f>
        <v/>
      </c>
      <c r="AL1083" s="64">
        <f>IF(H1083=0,0,Y1083/H1083)</f>
        <v/>
      </c>
      <c r="AM1083" s="76">
        <f>AL1083-AK1083</f>
        <v/>
      </c>
      <c r="AN1083" s="75">
        <f>SUMIFS([1]инфо!$G$15:$G$28,[1]инфо!$A$15:$A$28,F1083)</f>
        <v/>
      </c>
      <c r="AO1083" s="64">
        <f>IF(H1083=0,0,AA1083/H1083)</f>
        <v/>
      </c>
      <c r="AP1083" s="76">
        <f>AO1083-AN1083</f>
        <v/>
      </c>
      <c r="AQ1083" s="75">
        <f>SUMIFS([1]инфо!$H$15:$H$28,[1]инфо!$A$15:$A$28,F1083)</f>
        <v/>
      </c>
      <c r="AR1083" s="64">
        <f>IF(H1082=0,0,AC1083/H1082)</f>
        <v/>
      </c>
      <c r="AS1083" s="76">
        <f>AR1083-AQ1083</f>
        <v/>
      </c>
      <c r="AT1083" s="75">
        <f>SUMIFS([1]инфо!$I$15:$I$28,[1]инфо!$A$15:$A$28,F1083)</f>
        <v/>
      </c>
      <c r="AU1083" s="62">
        <f>IF(H1083=0,0,AD1083/H1083)</f>
        <v/>
      </c>
      <c r="AV1083" s="76">
        <f>AU1083-AT1083</f>
        <v/>
      </c>
      <c r="AX1083" s="70">
        <f>SUMIFS([1]инфо!$C$15:$C$28,[1]инфо!$A$15:$A$28,F1083)*H1082</f>
        <v/>
      </c>
    </row>
    <row r="1084">
      <c r="A1084" s="71">
        <f>A1082+1</f>
        <v/>
      </c>
      <c r="B1084" s="90" t="n"/>
      <c r="C1084" s="52" t="n"/>
      <c r="D1084" s="53" t="n"/>
      <c r="E1084" s="91" t="n"/>
      <c r="F1084" s="67" t="n"/>
      <c r="G1084" s="58" t="n"/>
      <c r="H1084" s="55" t="n"/>
      <c r="I1084" s="55" t="n"/>
      <c r="J1084" s="55" t="n"/>
      <c r="K1084" s="55" t="n"/>
      <c r="L1084" s="55" t="n"/>
      <c r="M1084" s="55" t="n"/>
      <c r="N1084" s="55" t="n"/>
      <c r="O1084" s="58" t="n"/>
      <c r="P1084" s="58" t="n"/>
      <c r="Q1084" s="58" t="n"/>
      <c r="R1084" s="58" t="n"/>
      <c r="S1084" s="59">
        <f>SUM(O1084:R1084)</f>
        <v/>
      </c>
      <c r="T1084" s="52" t="n"/>
      <c r="U1084" s="53" t="n"/>
      <c r="V1084" s="58" t="n"/>
      <c r="W1084" s="58" t="n"/>
      <c r="X1084" s="58" t="n"/>
      <c r="Y1084" s="52" t="n"/>
      <c r="Z1084" s="58" t="n"/>
      <c r="AA1084" s="58" t="n"/>
      <c r="AB1084" s="58" t="n"/>
      <c r="AC1084" s="58" t="n"/>
      <c r="AD1084" s="53" t="n"/>
      <c r="AE1084" s="61">
        <f>SUMIFS([1]инфо!$D$15:$D$28,[1]инфо!$A$15:$A$28,F1084)</f>
        <v/>
      </c>
      <c r="AF1084" s="62">
        <f>IF(H1084=0,0,N1084/H1084)</f>
        <v/>
      </c>
      <c r="AG1084" s="63">
        <f>AF1084-AE1084</f>
        <v/>
      </c>
      <c r="AH1084" s="61">
        <f>SUMIFS([1]инфо!$E$15:$E$28,[1]инфо!$A$15:$A$28,F1084)</f>
        <v/>
      </c>
      <c r="AI1084" s="62">
        <f>IF(H1083=0,0,S1084/H1083)</f>
        <v/>
      </c>
      <c r="AJ1084" s="63">
        <f>AI1084-AH1084</f>
        <v/>
      </c>
      <c r="AK1084" s="61">
        <f>SUMIFS([1]инфо!$F$15:$F$28,[1]инфо!$A$15:$A$28,F1084)</f>
        <v/>
      </c>
      <c r="AL1084" s="64">
        <f>IF(H1084=0,0,Y1084/H1084)</f>
        <v/>
      </c>
      <c r="AM1084" s="63">
        <f>AL1084-AK1084</f>
        <v/>
      </c>
      <c r="AN1084" s="61">
        <f>SUMIFS([1]инфо!$G$15:$G$28,[1]инфо!$A$15:$A$28,F1084)</f>
        <v/>
      </c>
      <c r="AO1084" s="64">
        <f>IF(H1084=0,0,AA1084/H1084)</f>
        <v/>
      </c>
      <c r="AP1084" s="63">
        <f>AO1084-AN1084</f>
        <v/>
      </c>
      <c r="AQ1084" s="61">
        <f>SUMIFS([1]инфо!$H$15:$H$28,[1]инфо!$A$15:$A$28,F1084)</f>
        <v/>
      </c>
      <c r="AR1084" s="62">
        <f>IF(H1083=0,0,AC1084/H1083)</f>
        <v/>
      </c>
      <c r="AS1084" s="63">
        <f>AR1084-AQ1084</f>
        <v/>
      </c>
      <c r="AT1084" s="61">
        <f>SUMIFS([1]инфо!$I$15:$I$28,[1]инфо!$A$15:$A$28,F1084)</f>
        <v/>
      </c>
      <c r="AU1084" s="62">
        <f>IF(H1084=0,0,AD1084/H1084)</f>
        <v/>
      </c>
      <c r="AV1084" s="63">
        <f>AU1084-AT1084</f>
        <v/>
      </c>
      <c r="AX1084" s="59">
        <f>SUMIFS([1]инфо!$C$15:$C$28,[1]инфо!$A$15:$A$28,F1084)*H1083</f>
        <v/>
      </c>
    </row>
    <row r="1085">
      <c r="A1085" s="71">
        <f>A1083+1</f>
        <v/>
      </c>
      <c r="B1085" s="90" t="n"/>
      <c r="C1085" s="52" t="n"/>
      <c r="D1085" s="53" t="n"/>
      <c r="E1085" s="91" t="n"/>
      <c r="F1085" s="67" t="n"/>
      <c r="G1085" s="58" t="n"/>
      <c r="H1085" s="56" t="n"/>
      <c r="I1085" s="55" t="n"/>
      <c r="J1085" s="55" t="n"/>
      <c r="K1085" s="55" t="n"/>
      <c r="L1085" s="55" t="n"/>
      <c r="M1085" s="55" t="n"/>
      <c r="N1085" s="55" t="n"/>
      <c r="O1085" s="58" t="n"/>
      <c r="P1085" s="58" t="n"/>
      <c r="Q1085" s="58" t="n"/>
      <c r="R1085" s="58" t="n"/>
      <c r="S1085" s="59">
        <f>SUM(O1085:R1085)</f>
        <v/>
      </c>
      <c r="T1085" s="52" t="n"/>
      <c r="U1085" s="53" t="n"/>
      <c r="V1085" s="58" t="n"/>
      <c r="W1085" s="58" t="n"/>
      <c r="X1085" s="58" t="n"/>
      <c r="Y1085" s="52" t="n"/>
      <c r="Z1085" s="58" t="n"/>
      <c r="AA1085" s="58" t="n"/>
      <c r="AB1085" s="58" t="n"/>
      <c r="AC1085" s="58" t="n"/>
      <c r="AD1085" s="53" t="n"/>
      <c r="AE1085" s="61">
        <f>SUMIFS([1]инфо!$D$15:$D$28,[1]инфо!$A$15:$A$28,F1085)</f>
        <v/>
      </c>
      <c r="AF1085" s="62">
        <f>IF(H1085=0,0,N1085/H1085)</f>
        <v/>
      </c>
      <c r="AG1085" s="63">
        <f>AF1085-AE1085</f>
        <v/>
      </c>
      <c r="AH1085" s="61">
        <f>SUMIFS([1]инфо!$E$15:$E$28,[1]инфо!$A$15:$A$28,F1085)</f>
        <v/>
      </c>
      <c r="AI1085" s="62">
        <f>IF(H1084=0,0,S1085/H1084)</f>
        <v/>
      </c>
      <c r="AJ1085" s="63">
        <f>AI1085-AH1085</f>
        <v/>
      </c>
      <c r="AK1085" s="61">
        <f>SUMIFS([1]инфо!$F$15:$F$28,[1]инфо!$A$15:$A$28,F1085)</f>
        <v/>
      </c>
      <c r="AL1085" s="64">
        <f>IF(H1085=0,0,Y1085/H1085)</f>
        <v/>
      </c>
      <c r="AM1085" s="63">
        <f>AL1085-AK1085</f>
        <v/>
      </c>
      <c r="AN1085" s="61">
        <f>SUMIFS([1]инфо!$G$15:$G$28,[1]инфо!$A$15:$A$28,F1085)</f>
        <v/>
      </c>
      <c r="AO1085" s="64">
        <f>IF(H1085=0,0,AA1085/H1085)</f>
        <v/>
      </c>
      <c r="AP1085" s="63">
        <f>AO1085-AN1085</f>
        <v/>
      </c>
      <c r="AQ1085" s="61">
        <f>SUMIFS([1]инфо!$H$15:$H$28,[1]инфо!$A$15:$A$28,F1085)</f>
        <v/>
      </c>
      <c r="AR1085" s="62">
        <f>IF(H1084=0,0,AC1085/H1084)</f>
        <v/>
      </c>
      <c r="AS1085" s="63">
        <f>AR1085-AQ1085</f>
        <v/>
      </c>
      <c r="AT1085" s="61">
        <f>SUMIFS([1]инфо!$I$15:$I$28,[1]инфо!$A$15:$A$28,F1085)</f>
        <v/>
      </c>
      <c r="AU1085" s="62">
        <f>IF(H1085=0,0,AD1085/H1085)</f>
        <v/>
      </c>
      <c r="AV1085" s="63">
        <f>AU1085-AT1085</f>
        <v/>
      </c>
      <c r="AX1085" s="59">
        <f>SUMIFS([1]инфо!$C$15:$C$28,[1]инфо!$A$15:$A$28,F1085)*H1084</f>
        <v/>
      </c>
    </row>
    <row r="1086">
      <c r="A1086" s="71">
        <f>A1084+1</f>
        <v/>
      </c>
      <c r="B1086" s="88" t="n"/>
      <c r="C1086" s="77" t="n"/>
      <c r="D1086" s="78" t="n"/>
      <c r="E1086" s="91" t="n"/>
      <c r="F1086" s="67" t="n"/>
      <c r="G1086" s="79" t="n"/>
      <c r="H1086" s="67" t="n"/>
      <c r="I1086" s="55" t="n"/>
      <c r="J1086" s="55" t="n"/>
      <c r="K1086" s="55" t="n"/>
      <c r="L1086" s="55" t="n"/>
      <c r="M1086" s="55" t="n"/>
      <c r="N1086" s="56" t="n"/>
      <c r="O1086" s="79" t="n"/>
      <c r="P1086" s="79" t="n"/>
      <c r="Q1086" s="79" t="n"/>
      <c r="R1086" s="79" t="n"/>
      <c r="S1086" s="80">
        <f>SUM(O1086:R1086)</f>
        <v/>
      </c>
      <c r="T1086" s="77" t="n"/>
      <c r="U1086" s="78" t="n"/>
      <c r="V1086" s="79" t="n"/>
      <c r="W1086" s="79" t="n"/>
      <c r="X1086" s="79" t="n"/>
      <c r="Y1086" s="77" t="n"/>
      <c r="Z1086" s="79" t="n"/>
      <c r="AA1086" s="79" t="n"/>
      <c r="AB1086" s="79" t="n"/>
      <c r="AC1086" s="79" t="n"/>
      <c r="AD1086" s="78" t="n"/>
      <c r="AE1086" s="81">
        <f>SUMIFS([1]инфо!$D$15:$D$28,[1]инфо!$A$15:$A$28,F1086)</f>
        <v/>
      </c>
      <c r="AF1086" s="62">
        <f>IF(H1086=0,0,N1086/H1086)</f>
        <v/>
      </c>
      <c r="AG1086" s="82">
        <f>AF1086-AE1086</f>
        <v/>
      </c>
      <c r="AH1086" s="81">
        <f>SUMIFS([1]инфо!$E$15:$E$28,[1]инфо!$A$15:$A$28,F1086)</f>
        <v/>
      </c>
      <c r="AI1086" s="85">
        <f>IF(H1085=0,0,S1086/H1085)</f>
        <v/>
      </c>
      <c r="AJ1086" s="82">
        <f>AI1086-AH1086</f>
        <v/>
      </c>
      <c r="AK1086" s="81">
        <f>SUMIFS([1]инфо!$F$15:$F$28,[1]инфо!$A$15:$A$28,F1086)</f>
        <v/>
      </c>
      <c r="AL1086" s="64">
        <f>IF(H1086=0,0,Y1086/H1086)</f>
        <v/>
      </c>
      <c r="AM1086" s="82">
        <f>AL1086-AK1086</f>
        <v/>
      </c>
      <c r="AN1086" s="81">
        <f>SUMIFS([1]инфо!$G$15:$G$28,[1]инфо!$A$15:$A$28,F1086)</f>
        <v/>
      </c>
      <c r="AO1086" s="64">
        <f>IF(H1086=0,0,AA1086/H1086)</f>
        <v/>
      </c>
      <c r="AP1086" s="82">
        <f>AO1086-AN1086</f>
        <v/>
      </c>
      <c r="AQ1086" s="81">
        <f>SUMIFS([1]инфо!$H$15:$H$28,[1]инфо!$A$15:$A$28,F1086)</f>
        <v/>
      </c>
      <c r="AR1086" s="85">
        <f>IF(H1085=0,0,AC1086/H1085)</f>
        <v/>
      </c>
      <c r="AS1086" s="82">
        <f>AR1086-AQ1086</f>
        <v/>
      </c>
      <c r="AT1086" s="81">
        <f>SUMIFS([1]инфо!$I$15:$I$28,[1]инфо!$A$15:$A$28,F1086)</f>
        <v/>
      </c>
      <c r="AU1086" s="62">
        <f>IF(H1086=0,0,AD1086/H1086)</f>
        <v/>
      </c>
      <c r="AV1086" s="82">
        <f>AU1086-AT1086</f>
        <v/>
      </c>
      <c r="AX1086" s="80">
        <f>SUMIFS([1]инфо!$C$15:$C$28,[1]инфо!$A$15:$A$28,F1086)*H1085</f>
        <v/>
      </c>
    </row>
    <row r="1087">
      <c r="A1087" s="71">
        <f>A1085+1</f>
        <v/>
      </c>
      <c r="B1087" s="89" t="n"/>
      <c r="C1087" s="72" t="n"/>
      <c r="D1087" s="73" t="n"/>
      <c r="E1087" s="91" t="n"/>
      <c r="F1087" s="67" t="n"/>
      <c r="G1087" s="74" t="n"/>
      <c r="H1087" s="55" t="n"/>
      <c r="I1087" s="55" t="n"/>
      <c r="J1087" s="55" t="n"/>
      <c r="K1087" s="55" t="n"/>
      <c r="L1087" s="55" t="n"/>
      <c r="M1087" s="55" t="n"/>
      <c r="N1087" s="67" t="n"/>
      <c r="O1087" s="74" t="n"/>
      <c r="P1087" s="74" t="n"/>
      <c r="Q1087" s="74" t="n"/>
      <c r="R1087" s="74" t="n"/>
      <c r="S1087" s="70">
        <f>SUM(O1087:R1087)</f>
        <v/>
      </c>
      <c r="T1087" s="72" t="n"/>
      <c r="U1087" s="73" t="n"/>
      <c r="V1087" s="74" t="n"/>
      <c r="W1087" s="74" t="n"/>
      <c r="X1087" s="74" t="n"/>
      <c r="Y1087" s="72" t="n"/>
      <c r="Z1087" s="74" t="n"/>
      <c r="AA1087" s="74" t="n"/>
      <c r="AB1087" s="74" t="n"/>
      <c r="AC1087" s="74" t="n"/>
      <c r="AD1087" s="73" t="n"/>
      <c r="AE1087" s="75">
        <f>SUMIFS([1]инфо!$D$15:$D$28,[1]инфо!$A$15:$A$28,F1087)</f>
        <v/>
      </c>
      <c r="AF1087" s="62">
        <f>IF(H1087=0,0,N1087/H1087)</f>
        <v/>
      </c>
      <c r="AG1087" s="76">
        <f>AF1087-AE1087</f>
        <v/>
      </c>
      <c r="AH1087" s="75">
        <f>SUMIFS([1]инфо!$E$15:$E$28,[1]инфо!$A$15:$A$28,F1087)</f>
        <v/>
      </c>
      <c r="AI1087" s="64">
        <f>IF(H1086=0,0,S1087/H1086)</f>
        <v/>
      </c>
      <c r="AJ1087" s="76">
        <f>AI1087-AH1087</f>
        <v/>
      </c>
      <c r="AK1087" s="75">
        <f>SUMIFS([1]инфо!$F$15:$F$28,[1]инфо!$A$15:$A$28,F1087)</f>
        <v/>
      </c>
      <c r="AL1087" s="64">
        <f>IF(H1087=0,0,Y1087/H1087)</f>
        <v/>
      </c>
      <c r="AM1087" s="76">
        <f>AL1087-AK1087</f>
        <v/>
      </c>
      <c r="AN1087" s="75">
        <f>SUMIFS([1]инфо!$G$15:$G$28,[1]инфо!$A$15:$A$28,F1087)</f>
        <v/>
      </c>
      <c r="AO1087" s="64">
        <f>IF(H1087=0,0,AA1087/H1087)</f>
        <v/>
      </c>
      <c r="AP1087" s="76">
        <f>AO1087-AN1087</f>
        <v/>
      </c>
      <c r="AQ1087" s="75">
        <f>SUMIFS([1]инфо!$H$15:$H$28,[1]инфо!$A$15:$A$28,F1087)</f>
        <v/>
      </c>
      <c r="AR1087" s="64">
        <f>IF(H1086=0,0,AC1087/H1086)</f>
        <v/>
      </c>
      <c r="AS1087" s="76">
        <f>AR1087-AQ1087</f>
        <v/>
      </c>
      <c r="AT1087" s="75">
        <f>SUMIFS([1]инфо!$I$15:$I$28,[1]инфо!$A$15:$A$28,F1087)</f>
        <v/>
      </c>
      <c r="AU1087" s="62">
        <f>IF(H1087=0,0,AD1087/H1087)</f>
        <v/>
      </c>
      <c r="AV1087" s="76">
        <f>AU1087-AT1087</f>
        <v/>
      </c>
      <c r="AX1087" s="70">
        <f>SUMIFS([1]инфо!$C$15:$C$28,[1]инфо!$A$15:$A$28,F1087)*H1086</f>
        <v/>
      </c>
    </row>
    <row r="1088">
      <c r="A1088" s="71">
        <f>A1086+1</f>
        <v/>
      </c>
      <c r="B1088" s="90" t="n"/>
      <c r="C1088" s="52" t="n"/>
      <c r="D1088" s="53" t="n"/>
      <c r="E1088" s="91" t="n"/>
      <c r="F1088" s="67" t="n"/>
      <c r="G1088" s="58" t="n"/>
      <c r="H1088" s="55" t="n"/>
      <c r="I1088" s="55" t="n"/>
      <c r="J1088" s="55" t="n"/>
      <c r="K1088" s="55" t="n"/>
      <c r="L1088" s="55" t="n"/>
      <c r="M1088" s="55" t="n"/>
      <c r="N1088" s="55" t="n"/>
      <c r="O1088" s="58" t="n"/>
      <c r="P1088" s="58" t="n"/>
      <c r="Q1088" s="58" t="n"/>
      <c r="R1088" s="58" t="n"/>
      <c r="S1088" s="59">
        <f>SUM(O1088:R1088)</f>
        <v/>
      </c>
      <c r="T1088" s="52" t="n"/>
      <c r="U1088" s="53" t="n"/>
      <c r="V1088" s="58" t="n"/>
      <c r="W1088" s="58" t="n"/>
      <c r="X1088" s="58" t="n"/>
      <c r="Y1088" s="52" t="n"/>
      <c r="Z1088" s="58" t="n"/>
      <c r="AA1088" s="58" t="n"/>
      <c r="AB1088" s="58" t="n"/>
      <c r="AC1088" s="58" t="n"/>
      <c r="AD1088" s="53" t="n"/>
      <c r="AE1088" s="61">
        <f>SUMIFS([1]инфо!$D$15:$D$28,[1]инфо!$A$15:$A$28,F1088)</f>
        <v/>
      </c>
      <c r="AF1088" s="62">
        <f>IF(H1088=0,0,N1088/H1088)</f>
        <v/>
      </c>
      <c r="AG1088" s="63">
        <f>AF1088-AE1088</f>
        <v/>
      </c>
      <c r="AH1088" s="61">
        <f>SUMIFS([1]инфо!$E$15:$E$28,[1]инфо!$A$15:$A$28,F1088)</f>
        <v/>
      </c>
      <c r="AI1088" s="62">
        <f>IF(H1087=0,0,S1088/H1087)</f>
        <v/>
      </c>
      <c r="AJ1088" s="63">
        <f>AI1088-AH1088</f>
        <v/>
      </c>
      <c r="AK1088" s="61">
        <f>SUMIFS([1]инфо!$F$15:$F$28,[1]инфо!$A$15:$A$28,F1088)</f>
        <v/>
      </c>
      <c r="AL1088" s="64">
        <f>IF(H1088=0,0,Y1088/H1088)</f>
        <v/>
      </c>
      <c r="AM1088" s="63">
        <f>AL1088-AK1088</f>
        <v/>
      </c>
      <c r="AN1088" s="61">
        <f>SUMIFS([1]инфо!$G$15:$G$28,[1]инфо!$A$15:$A$28,F1088)</f>
        <v/>
      </c>
      <c r="AO1088" s="64">
        <f>IF(H1088=0,0,AA1088/H1088)</f>
        <v/>
      </c>
      <c r="AP1088" s="63">
        <f>AO1088-AN1088</f>
        <v/>
      </c>
      <c r="AQ1088" s="61">
        <f>SUMIFS([1]инфо!$H$15:$H$28,[1]инфо!$A$15:$A$28,F1088)</f>
        <v/>
      </c>
      <c r="AR1088" s="62">
        <f>IF(H1087=0,0,AC1088/H1087)</f>
        <v/>
      </c>
      <c r="AS1088" s="63">
        <f>AR1088-AQ1088</f>
        <v/>
      </c>
      <c r="AT1088" s="61">
        <f>SUMIFS([1]инфо!$I$15:$I$28,[1]инфо!$A$15:$A$28,F1088)</f>
        <v/>
      </c>
      <c r="AU1088" s="62">
        <f>IF(H1088=0,0,AD1088/H1088)</f>
        <v/>
      </c>
      <c r="AV1088" s="63">
        <f>AU1088-AT1088</f>
        <v/>
      </c>
      <c r="AX1088" s="59">
        <f>SUMIFS([1]инфо!$C$15:$C$28,[1]инфо!$A$15:$A$28,F1088)*H1087</f>
        <v/>
      </c>
    </row>
    <row r="1089">
      <c r="A1089" s="71">
        <f>A1087+1</f>
        <v/>
      </c>
      <c r="B1089" s="90" t="n"/>
      <c r="C1089" s="52" t="n"/>
      <c r="D1089" s="53" t="n"/>
      <c r="E1089" s="91" t="n"/>
      <c r="F1089" s="67" t="n"/>
      <c r="G1089" s="58" t="n"/>
      <c r="H1089" s="56" t="n"/>
      <c r="I1089" s="55" t="n"/>
      <c r="J1089" s="55" t="n"/>
      <c r="K1089" s="55" t="n"/>
      <c r="L1089" s="55" t="n"/>
      <c r="M1089" s="55" t="n"/>
      <c r="N1089" s="55" t="n"/>
      <c r="O1089" s="58" t="n"/>
      <c r="P1089" s="58" t="n"/>
      <c r="Q1089" s="58" t="n"/>
      <c r="R1089" s="58" t="n"/>
      <c r="S1089" s="59">
        <f>SUM(O1089:R1089)</f>
        <v/>
      </c>
      <c r="T1089" s="52" t="n"/>
      <c r="U1089" s="53" t="n"/>
      <c r="V1089" s="58" t="n"/>
      <c r="W1089" s="58" t="n"/>
      <c r="X1089" s="58" t="n"/>
      <c r="Y1089" s="52" t="n"/>
      <c r="Z1089" s="58" t="n"/>
      <c r="AA1089" s="58" t="n"/>
      <c r="AB1089" s="58" t="n"/>
      <c r="AC1089" s="58" t="n"/>
      <c r="AD1089" s="53" t="n"/>
      <c r="AE1089" s="61">
        <f>SUMIFS([1]инфо!$D$15:$D$28,[1]инфо!$A$15:$A$28,F1089)</f>
        <v/>
      </c>
      <c r="AF1089" s="62">
        <f>IF(H1089=0,0,N1089/H1089)</f>
        <v/>
      </c>
      <c r="AG1089" s="63">
        <f>AF1089-AE1089</f>
        <v/>
      </c>
      <c r="AH1089" s="61">
        <f>SUMIFS([1]инфо!$E$15:$E$28,[1]инфо!$A$15:$A$28,F1089)</f>
        <v/>
      </c>
      <c r="AI1089" s="62">
        <f>IF(H1088=0,0,S1089/H1088)</f>
        <v/>
      </c>
      <c r="AJ1089" s="63">
        <f>AI1089-AH1089</f>
        <v/>
      </c>
      <c r="AK1089" s="61">
        <f>SUMIFS([1]инфо!$F$15:$F$28,[1]инфо!$A$15:$A$28,F1089)</f>
        <v/>
      </c>
      <c r="AL1089" s="64">
        <f>IF(H1089=0,0,Y1089/H1089)</f>
        <v/>
      </c>
      <c r="AM1089" s="63">
        <f>AL1089-AK1089</f>
        <v/>
      </c>
      <c r="AN1089" s="61">
        <f>SUMIFS([1]инфо!$G$15:$G$28,[1]инфо!$A$15:$A$28,F1089)</f>
        <v/>
      </c>
      <c r="AO1089" s="64">
        <f>IF(H1089=0,0,AA1089/H1089)</f>
        <v/>
      </c>
      <c r="AP1089" s="63">
        <f>AO1089-AN1089</f>
        <v/>
      </c>
      <c r="AQ1089" s="61">
        <f>SUMIFS([1]инфо!$H$15:$H$28,[1]инфо!$A$15:$A$28,F1089)</f>
        <v/>
      </c>
      <c r="AR1089" s="62">
        <f>IF(H1088=0,0,AC1089/H1088)</f>
        <v/>
      </c>
      <c r="AS1089" s="63">
        <f>AR1089-AQ1089</f>
        <v/>
      </c>
      <c r="AT1089" s="61">
        <f>SUMIFS([1]инфо!$I$15:$I$28,[1]инфо!$A$15:$A$28,F1089)</f>
        <v/>
      </c>
      <c r="AU1089" s="62">
        <f>IF(H1089=0,0,AD1089/H1089)</f>
        <v/>
      </c>
      <c r="AV1089" s="63">
        <f>AU1089-AT1089</f>
        <v/>
      </c>
      <c r="AX1089" s="59">
        <f>SUMIFS([1]инфо!$C$15:$C$28,[1]инфо!$A$15:$A$28,F1089)*H1088</f>
        <v/>
      </c>
    </row>
    <row r="1090">
      <c r="A1090" s="71">
        <f>A1088+1</f>
        <v/>
      </c>
      <c r="B1090" s="88" t="n"/>
      <c r="C1090" s="77" t="n"/>
      <c r="D1090" s="78" t="n"/>
      <c r="E1090" s="91" t="n"/>
      <c r="F1090" s="67" t="n"/>
      <c r="G1090" s="79" t="n"/>
      <c r="H1090" s="67" t="n"/>
      <c r="I1090" s="55" t="n"/>
      <c r="J1090" s="55" t="n"/>
      <c r="K1090" s="55" t="n"/>
      <c r="L1090" s="55" t="n"/>
      <c r="M1090" s="55" t="n"/>
      <c r="N1090" s="56" t="n"/>
      <c r="O1090" s="79" t="n"/>
      <c r="P1090" s="79" t="n"/>
      <c r="Q1090" s="79" t="n"/>
      <c r="R1090" s="79" t="n"/>
      <c r="S1090" s="80">
        <f>SUM(O1090:R1090)</f>
        <v/>
      </c>
      <c r="T1090" s="77" t="n"/>
      <c r="U1090" s="78" t="n"/>
      <c r="V1090" s="79" t="n"/>
      <c r="W1090" s="79" t="n"/>
      <c r="X1090" s="79" t="n"/>
      <c r="Y1090" s="77" t="n"/>
      <c r="Z1090" s="79" t="n"/>
      <c r="AA1090" s="79" t="n"/>
      <c r="AB1090" s="79" t="n"/>
      <c r="AC1090" s="79" t="n"/>
      <c r="AD1090" s="78" t="n"/>
      <c r="AE1090" s="81">
        <f>SUMIFS([1]инфо!$D$15:$D$28,[1]инфо!$A$15:$A$28,F1090)</f>
        <v/>
      </c>
      <c r="AF1090" s="62">
        <f>IF(H1090=0,0,N1090/H1090)</f>
        <v/>
      </c>
      <c r="AG1090" s="82">
        <f>AF1090-AE1090</f>
        <v/>
      </c>
      <c r="AH1090" s="81">
        <f>SUMIFS([1]инфо!$E$15:$E$28,[1]инфо!$A$15:$A$28,F1090)</f>
        <v/>
      </c>
      <c r="AI1090" s="85">
        <f>IF(H1089=0,0,S1090/H1089)</f>
        <v/>
      </c>
      <c r="AJ1090" s="82">
        <f>AI1090-AH1090</f>
        <v/>
      </c>
      <c r="AK1090" s="81">
        <f>SUMIFS([1]инфо!$F$15:$F$28,[1]инфо!$A$15:$A$28,F1090)</f>
        <v/>
      </c>
      <c r="AL1090" s="64">
        <f>IF(H1090=0,0,Y1090/H1090)</f>
        <v/>
      </c>
      <c r="AM1090" s="82">
        <f>AL1090-AK1090</f>
        <v/>
      </c>
      <c r="AN1090" s="81">
        <f>SUMIFS([1]инфо!$G$15:$G$28,[1]инфо!$A$15:$A$28,F1090)</f>
        <v/>
      </c>
      <c r="AO1090" s="64">
        <f>IF(H1090=0,0,AA1090/H1090)</f>
        <v/>
      </c>
      <c r="AP1090" s="82">
        <f>AO1090-AN1090</f>
        <v/>
      </c>
      <c r="AQ1090" s="81">
        <f>SUMIFS([1]инфо!$H$15:$H$28,[1]инфо!$A$15:$A$28,F1090)</f>
        <v/>
      </c>
      <c r="AR1090" s="85">
        <f>IF(H1089=0,0,AC1090/H1089)</f>
        <v/>
      </c>
      <c r="AS1090" s="82">
        <f>AR1090-AQ1090</f>
        <v/>
      </c>
      <c r="AT1090" s="81">
        <f>SUMIFS([1]инфо!$I$15:$I$28,[1]инфо!$A$15:$A$28,F1090)</f>
        <v/>
      </c>
      <c r="AU1090" s="62">
        <f>IF(H1090=0,0,AD1090/H1090)</f>
        <v/>
      </c>
      <c r="AV1090" s="82">
        <f>AU1090-AT1090</f>
        <v/>
      </c>
      <c r="AX1090" s="80">
        <f>SUMIFS([1]инфо!$C$15:$C$28,[1]инфо!$A$15:$A$28,F1090)*H1089</f>
        <v/>
      </c>
    </row>
    <row r="1091">
      <c r="A1091" s="71">
        <f>A1089+1</f>
        <v/>
      </c>
      <c r="B1091" s="89" t="n"/>
      <c r="C1091" s="72" t="n"/>
      <c r="D1091" s="73" t="n"/>
      <c r="E1091" s="91" t="n"/>
      <c r="F1091" s="67" t="n"/>
      <c r="G1091" s="74" t="n"/>
      <c r="H1091" s="55" t="n"/>
      <c r="I1091" s="55" t="n"/>
      <c r="J1091" s="55" t="n"/>
      <c r="K1091" s="55" t="n"/>
      <c r="L1091" s="55" t="n"/>
      <c r="M1091" s="55" t="n"/>
      <c r="N1091" s="67" t="n"/>
      <c r="O1091" s="74" t="n"/>
      <c r="P1091" s="74" t="n"/>
      <c r="Q1091" s="74" t="n"/>
      <c r="R1091" s="74" t="n"/>
      <c r="S1091" s="70">
        <f>SUM(O1091:R1091)</f>
        <v/>
      </c>
      <c r="T1091" s="72" t="n"/>
      <c r="U1091" s="73" t="n"/>
      <c r="V1091" s="74" t="n"/>
      <c r="W1091" s="74" t="n"/>
      <c r="X1091" s="74" t="n"/>
      <c r="Y1091" s="72" t="n"/>
      <c r="Z1091" s="74" t="n"/>
      <c r="AA1091" s="74" t="n"/>
      <c r="AB1091" s="74" t="n"/>
      <c r="AC1091" s="74" t="n"/>
      <c r="AD1091" s="73" t="n"/>
      <c r="AE1091" s="75">
        <f>SUMIFS([1]инфо!$D$15:$D$28,[1]инфо!$A$15:$A$28,F1091)</f>
        <v/>
      </c>
      <c r="AF1091" s="62">
        <f>IF(H1091=0,0,N1091/H1091)</f>
        <v/>
      </c>
      <c r="AG1091" s="76">
        <f>AF1091-AE1091</f>
        <v/>
      </c>
      <c r="AH1091" s="75">
        <f>SUMIFS([1]инфо!$E$15:$E$28,[1]инфо!$A$15:$A$28,F1091)</f>
        <v/>
      </c>
      <c r="AI1091" s="64">
        <f>IF(H1090=0,0,S1091/H1090)</f>
        <v/>
      </c>
      <c r="AJ1091" s="76">
        <f>AI1091-AH1091</f>
        <v/>
      </c>
      <c r="AK1091" s="75">
        <f>SUMIFS([1]инфо!$F$15:$F$28,[1]инфо!$A$15:$A$28,F1091)</f>
        <v/>
      </c>
      <c r="AL1091" s="64">
        <f>IF(H1091=0,0,Y1091/H1091)</f>
        <v/>
      </c>
      <c r="AM1091" s="76">
        <f>AL1091-AK1091</f>
        <v/>
      </c>
      <c r="AN1091" s="75">
        <f>SUMIFS([1]инфо!$G$15:$G$28,[1]инфо!$A$15:$A$28,F1091)</f>
        <v/>
      </c>
      <c r="AO1091" s="64">
        <f>IF(H1091=0,0,AA1091/H1091)</f>
        <v/>
      </c>
      <c r="AP1091" s="76">
        <f>AO1091-AN1091</f>
        <v/>
      </c>
      <c r="AQ1091" s="75">
        <f>SUMIFS([1]инфо!$H$15:$H$28,[1]инфо!$A$15:$A$28,F1091)</f>
        <v/>
      </c>
      <c r="AR1091" s="64">
        <f>IF(H1090=0,0,AC1091/H1090)</f>
        <v/>
      </c>
      <c r="AS1091" s="76">
        <f>AR1091-AQ1091</f>
        <v/>
      </c>
      <c r="AT1091" s="75">
        <f>SUMIFS([1]инфо!$I$15:$I$28,[1]инфо!$A$15:$A$28,F1091)</f>
        <v/>
      </c>
      <c r="AU1091" s="62">
        <f>IF(H1091=0,0,AD1091/H1091)</f>
        <v/>
      </c>
      <c r="AV1091" s="76">
        <f>AU1091-AT1091</f>
        <v/>
      </c>
      <c r="AX1091" s="70">
        <f>SUMIFS([1]инфо!$C$15:$C$28,[1]инфо!$A$15:$A$28,F1091)*H1090</f>
        <v/>
      </c>
    </row>
    <row r="1092">
      <c r="A1092" s="71">
        <f>A1090+1</f>
        <v/>
      </c>
      <c r="B1092" s="90" t="n"/>
      <c r="C1092" s="52" t="n"/>
      <c r="D1092" s="53" t="n"/>
      <c r="E1092" s="91" t="n"/>
      <c r="F1092" s="67" t="n"/>
      <c r="G1092" s="58" t="n"/>
      <c r="H1092" s="55" t="n"/>
      <c r="I1092" s="55" t="n"/>
      <c r="J1092" s="55" t="n"/>
      <c r="K1092" s="55" t="n"/>
      <c r="L1092" s="55" t="n"/>
      <c r="M1092" s="55" t="n"/>
      <c r="N1092" s="55" t="n"/>
      <c r="O1092" s="58" t="n"/>
      <c r="P1092" s="58" t="n"/>
      <c r="Q1092" s="58" t="n"/>
      <c r="R1092" s="58" t="n"/>
      <c r="S1092" s="59">
        <f>SUM(O1092:R1092)</f>
        <v/>
      </c>
      <c r="T1092" s="52" t="n"/>
      <c r="U1092" s="53" t="n"/>
      <c r="V1092" s="58" t="n"/>
      <c r="W1092" s="58" t="n"/>
      <c r="X1092" s="58" t="n"/>
      <c r="Y1092" s="52" t="n"/>
      <c r="Z1092" s="58" t="n"/>
      <c r="AA1092" s="58" t="n"/>
      <c r="AB1092" s="58" t="n"/>
      <c r="AC1092" s="58" t="n"/>
      <c r="AD1092" s="53" t="n"/>
      <c r="AE1092" s="61">
        <f>SUMIFS([1]инфо!$D$15:$D$28,[1]инфо!$A$15:$A$28,F1092)</f>
        <v/>
      </c>
      <c r="AF1092" s="62">
        <f>IF(H1092=0,0,N1092/H1092)</f>
        <v/>
      </c>
      <c r="AG1092" s="63">
        <f>AF1092-AE1092</f>
        <v/>
      </c>
      <c r="AH1092" s="61">
        <f>SUMIFS([1]инфо!$E$15:$E$28,[1]инфо!$A$15:$A$28,F1092)</f>
        <v/>
      </c>
      <c r="AI1092" s="62">
        <f>IF(H1091=0,0,S1092/H1091)</f>
        <v/>
      </c>
      <c r="AJ1092" s="63">
        <f>AI1092-AH1092</f>
        <v/>
      </c>
      <c r="AK1092" s="61">
        <f>SUMIFS([1]инфо!$F$15:$F$28,[1]инфо!$A$15:$A$28,F1092)</f>
        <v/>
      </c>
      <c r="AL1092" s="64">
        <f>IF(H1092=0,0,Y1092/H1092)</f>
        <v/>
      </c>
      <c r="AM1092" s="63">
        <f>AL1092-AK1092</f>
        <v/>
      </c>
      <c r="AN1092" s="61">
        <f>SUMIFS([1]инфо!$G$15:$G$28,[1]инфо!$A$15:$A$28,F1092)</f>
        <v/>
      </c>
      <c r="AO1092" s="64">
        <f>IF(H1092=0,0,AA1092/H1092)</f>
        <v/>
      </c>
      <c r="AP1092" s="63">
        <f>AO1092-AN1092</f>
        <v/>
      </c>
      <c r="AQ1092" s="61">
        <f>SUMIFS([1]инфо!$H$15:$H$28,[1]инфо!$A$15:$A$28,F1092)</f>
        <v/>
      </c>
      <c r="AR1092" s="62">
        <f>IF(H1091=0,0,AC1092/H1091)</f>
        <v/>
      </c>
      <c r="AS1092" s="63">
        <f>AR1092-AQ1092</f>
        <v/>
      </c>
      <c r="AT1092" s="61">
        <f>SUMIFS([1]инфо!$I$15:$I$28,[1]инфо!$A$15:$A$28,F1092)</f>
        <v/>
      </c>
      <c r="AU1092" s="62">
        <f>IF(H1092=0,0,AD1092/H1092)</f>
        <v/>
      </c>
      <c r="AV1092" s="63">
        <f>AU1092-AT1092</f>
        <v/>
      </c>
      <c r="AX1092" s="59">
        <f>SUMIFS([1]инфо!$C$15:$C$28,[1]инфо!$A$15:$A$28,F1092)*H1091</f>
        <v/>
      </c>
    </row>
    <row r="1093">
      <c r="A1093" s="71">
        <f>A1091+1</f>
        <v/>
      </c>
      <c r="B1093" s="90" t="n"/>
      <c r="C1093" s="52" t="n"/>
      <c r="D1093" s="53" t="n"/>
      <c r="E1093" s="91" t="n"/>
      <c r="F1093" s="67" t="n"/>
      <c r="G1093" s="58" t="n"/>
      <c r="H1093" s="56" t="n"/>
      <c r="I1093" s="55" t="n"/>
      <c r="J1093" s="55" t="n"/>
      <c r="K1093" s="55" t="n"/>
      <c r="L1093" s="55" t="n"/>
      <c r="M1093" s="55" t="n"/>
      <c r="N1093" s="55" t="n"/>
      <c r="O1093" s="58" t="n"/>
      <c r="P1093" s="58" t="n"/>
      <c r="Q1093" s="58" t="n"/>
      <c r="R1093" s="58" t="n"/>
      <c r="S1093" s="59">
        <f>SUM(O1093:R1093)</f>
        <v/>
      </c>
      <c r="T1093" s="52" t="n"/>
      <c r="U1093" s="53" t="n"/>
      <c r="V1093" s="58" t="n"/>
      <c r="W1093" s="58" t="n"/>
      <c r="X1093" s="58" t="n"/>
      <c r="Y1093" s="52" t="n"/>
      <c r="Z1093" s="58" t="n"/>
      <c r="AA1093" s="58" t="n"/>
      <c r="AB1093" s="58" t="n"/>
      <c r="AC1093" s="58" t="n"/>
      <c r="AD1093" s="53" t="n"/>
      <c r="AE1093" s="61">
        <f>SUMIFS([1]инфо!$D$15:$D$28,[1]инфо!$A$15:$A$28,F1093)</f>
        <v/>
      </c>
      <c r="AF1093" s="62">
        <f>IF(H1093=0,0,N1093/H1093)</f>
        <v/>
      </c>
      <c r="AG1093" s="63">
        <f>AF1093-AE1093</f>
        <v/>
      </c>
      <c r="AH1093" s="61">
        <f>SUMIFS([1]инфо!$E$15:$E$28,[1]инфо!$A$15:$A$28,F1093)</f>
        <v/>
      </c>
      <c r="AI1093" s="62">
        <f>IF(H1092=0,0,S1093/H1092)</f>
        <v/>
      </c>
      <c r="AJ1093" s="63">
        <f>AI1093-AH1093</f>
        <v/>
      </c>
      <c r="AK1093" s="61">
        <f>SUMIFS([1]инфо!$F$15:$F$28,[1]инфо!$A$15:$A$28,F1093)</f>
        <v/>
      </c>
      <c r="AL1093" s="64">
        <f>IF(H1093=0,0,Y1093/H1093)</f>
        <v/>
      </c>
      <c r="AM1093" s="63">
        <f>AL1093-AK1093</f>
        <v/>
      </c>
      <c r="AN1093" s="61">
        <f>SUMIFS([1]инфо!$G$15:$G$28,[1]инфо!$A$15:$A$28,F1093)</f>
        <v/>
      </c>
      <c r="AO1093" s="64">
        <f>IF(H1093=0,0,AA1093/H1093)</f>
        <v/>
      </c>
      <c r="AP1093" s="63">
        <f>AO1093-AN1093</f>
        <v/>
      </c>
      <c r="AQ1093" s="61">
        <f>SUMIFS([1]инфо!$H$15:$H$28,[1]инфо!$A$15:$A$28,F1093)</f>
        <v/>
      </c>
      <c r="AR1093" s="62">
        <f>IF(H1092=0,0,AC1093/H1092)</f>
        <v/>
      </c>
      <c r="AS1093" s="63">
        <f>AR1093-AQ1093</f>
        <v/>
      </c>
      <c r="AT1093" s="61">
        <f>SUMIFS([1]инфо!$I$15:$I$28,[1]инфо!$A$15:$A$28,F1093)</f>
        <v/>
      </c>
      <c r="AU1093" s="62">
        <f>IF(H1093=0,0,AD1093/H1093)</f>
        <v/>
      </c>
      <c r="AV1093" s="63">
        <f>AU1093-AT1093</f>
        <v/>
      </c>
      <c r="AX1093" s="59">
        <f>SUMIFS([1]инфо!$C$15:$C$28,[1]инфо!$A$15:$A$28,F1093)*H1092</f>
        <v/>
      </c>
    </row>
    <row r="1094">
      <c r="A1094" s="71">
        <f>A1092+1</f>
        <v/>
      </c>
      <c r="B1094" s="88" t="n"/>
      <c r="C1094" s="77" t="n"/>
      <c r="D1094" s="78" t="n"/>
      <c r="E1094" s="91" t="n"/>
      <c r="F1094" s="67" t="n"/>
      <c r="G1094" s="79" t="n"/>
      <c r="H1094" s="67" t="n"/>
      <c r="I1094" s="55" t="n"/>
      <c r="J1094" s="55" t="n"/>
      <c r="K1094" s="55" t="n"/>
      <c r="L1094" s="55" t="n"/>
      <c r="M1094" s="55" t="n"/>
      <c r="N1094" s="56" t="n"/>
      <c r="O1094" s="79" t="n"/>
      <c r="P1094" s="79" t="n"/>
      <c r="Q1094" s="79" t="n"/>
      <c r="R1094" s="79" t="n"/>
      <c r="S1094" s="80">
        <f>SUM(O1094:R1094)</f>
        <v/>
      </c>
      <c r="T1094" s="77" t="n"/>
      <c r="U1094" s="78" t="n"/>
      <c r="V1094" s="79" t="n"/>
      <c r="W1094" s="79" t="n"/>
      <c r="X1094" s="79" t="n"/>
      <c r="Y1094" s="77" t="n"/>
      <c r="Z1094" s="79" t="n"/>
      <c r="AA1094" s="79" t="n"/>
      <c r="AB1094" s="79" t="n"/>
      <c r="AC1094" s="79" t="n"/>
      <c r="AD1094" s="78" t="n"/>
      <c r="AE1094" s="81">
        <f>SUMIFS([1]инфо!$D$15:$D$28,[1]инфо!$A$15:$A$28,F1094)</f>
        <v/>
      </c>
      <c r="AF1094" s="62">
        <f>IF(H1094=0,0,N1094/H1094)</f>
        <v/>
      </c>
      <c r="AG1094" s="82">
        <f>AF1094-AE1094</f>
        <v/>
      </c>
      <c r="AH1094" s="81">
        <f>SUMIFS([1]инфо!$E$15:$E$28,[1]инфо!$A$15:$A$28,F1094)</f>
        <v/>
      </c>
      <c r="AI1094" s="85">
        <f>IF(H1093=0,0,S1094/H1093)</f>
        <v/>
      </c>
      <c r="AJ1094" s="82">
        <f>AI1094-AH1094</f>
        <v/>
      </c>
      <c r="AK1094" s="81">
        <f>SUMIFS([1]инфо!$F$15:$F$28,[1]инфо!$A$15:$A$28,F1094)</f>
        <v/>
      </c>
      <c r="AL1094" s="64">
        <f>IF(H1094=0,0,Y1094/H1094)</f>
        <v/>
      </c>
      <c r="AM1094" s="82">
        <f>AL1094-AK1094</f>
        <v/>
      </c>
      <c r="AN1094" s="81">
        <f>SUMIFS([1]инфо!$G$15:$G$28,[1]инфо!$A$15:$A$28,F1094)</f>
        <v/>
      </c>
      <c r="AO1094" s="64">
        <f>IF(H1094=0,0,AA1094/H1094)</f>
        <v/>
      </c>
      <c r="AP1094" s="82">
        <f>AO1094-AN1094</f>
        <v/>
      </c>
      <c r="AQ1094" s="81">
        <f>SUMIFS([1]инфо!$H$15:$H$28,[1]инфо!$A$15:$A$28,F1094)</f>
        <v/>
      </c>
      <c r="AR1094" s="85">
        <f>IF(H1093=0,0,AC1094/H1093)</f>
        <v/>
      </c>
      <c r="AS1094" s="82">
        <f>AR1094-AQ1094</f>
        <v/>
      </c>
      <c r="AT1094" s="81">
        <f>SUMIFS([1]инфо!$I$15:$I$28,[1]инфо!$A$15:$A$28,F1094)</f>
        <v/>
      </c>
      <c r="AU1094" s="62">
        <f>IF(H1094=0,0,AD1094/H1094)</f>
        <v/>
      </c>
      <c r="AV1094" s="82">
        <f>AU1094-AT1094</f>
        <v/>
      </c>
      <c r="AX1094" s="80">
        <f>SUMIFS([1]инфо!$C$15:$C$28,[1]инфо!$A$15:$A$28,F1094)*H1093</f>
        <v/>
      </c>
    </row>
    <row r="1095">
      <c r="A1095" s="71">
        <f>A1093+1</f>
        <v/>
      </c>
      <c r="B1095" s="89" t="n"/>
      <c r="C1095" s="72" t="n"/>
      <c r="D1095" s="73" t="n"/>
      <c r="E1095" s="91" t="n"/>
      <c r="F1095" s="67" t="n"/>
      <c r="G1095" s="74" t="n"/>
      <c r="H1095" s="55" t="n"/>
      <c r="I1095" s="55" t="n"/>
      <c r="J1095" s="55" t="n"/>
      <c r="K1095" s="55" t="n"/>
      <c r="L1095" s="55" t="n"/>
      <c r="M1095" s="55" t="n"/>
      <c r="N1095" s="67" t="n"/>
      <c r="O1095" s="74" t="n"/>
      <c r="P1095" s="74" t="n"/>
      <c r="Q1095" s="74" t="n"/>
      <c r="R1095" s="74" t="n"/>
      <c r="S1095" s="70">
        <f>SUM(O1095:R1095)</f>
        <v/>
      </c>
      <c r="T1095" s="72" t="n"/>
      <c r="U1095" s="73" t="n"/>
      <c r="V1095" s="74" t="n"/>
      <c r="W1095" s="74" t="n"/>
      <c r="X1095" s="74" t="n"/>
      <c r="Y1095" s="72" t="n"/>
      <c r="Z1095" s="74" t="n"/>
      <c r="AA1095" s="74" t="n"/>
      <c r="AB1095" s="74" t="n"/>
      <c r="AC1095" s="74" t="n"/>
      <c r="AD1095" s="73" t="n"/>
      <c r="AE1095" s="75">
        <f>SUMIFS([1]инфо!$D$15:$D$28,[1]инфо!$A$15:$A$28,F1095)</f>
        <v/>
      </c>
      <c r="AF1095" s="62">
        <f>IF(H1095=0,0,N1095/H1095)</f>
        <v/>
      </c>
      <c r="AG1095" s="76">
        <f>AF1095-AE1095</f>
        <v/>
      </c>
      <c r="AH1095" s="75">
        <f>SUMIFS([1]инфо!$E$15:$E$28,[1]инфо!$A$15:$A$28,F1095)</f>
        <v/>
      </c>
      <c r="AI1095" s="64">
        <f>IF(H1094=0,0,S1095/H1094)</f>
        <v/>
      </c>
      <c r="AJ1095" s="76">
        <f>AI1095-AH1095</f>
        <v/>
      </c>
      <c r="AK1095" s="75">
        <f>SUMIFS([1]инфо!$F$15:$F$28,[1]инфо!$A$15:$A$28,F1095)</f>
        <v/>
      </c>
      <c r="AL1095" s="64">
        <f>IF(H1095=0,0,Y1095/H1095)</f>
        <v/>
      </c>
      <c r="AM1095" s="76">
        <f>AL1095-AK1095</f>
        <v/>
      </c>
      <c r="AN1095" s="75">
        <f>SUMIFS([1]инфо!$G$15:$G$28,[1]инфо!$A$15:$A$28,F1095)</f>
        <v/>
      </c>
      <c r="AO1095" s="64">
        <f>IF(H1095=0,0,AA1095/H1095)</f>
        <v/>
      </c>
      <c r="AP1095" s="76">
        <f>AO1095-AN1095</f>
        <v/>
      </c>
      <c r="AQ1095" s="75">
        <f>SUMIFS([1]инфо!$H$15:$H$28,[1]инфо!$A$15:$A$28,F1095)</f>
        <v/>
      </c>
      <c r="AR1095" s="64">
        <f>IF(H1094=0,0,AC1095/H1094)</f>
        <v/>
      </c>
      <c r="AS1095" s="76">
        <f>AR1095-AQ1095</f>
        <v/>
      </c>
      <c r="AT1095" s="75">
        <f>SUMIFS([1]инфо!$I$15:$I$28,[1]инфо!$A$15:$A$28,F1095)</f>
        <v/>
      </c>
      <c r="AU1095" s="62">
        <f>IF(H1095=0,0,AD1095/H1095)</f>
        <v/>
      </c>
      <c r="AV1095" s="76">
        <f>AU1095-AT1095</f>
        <v/>
      </c>
      <c r="AX1095" s="70">
        <f>SUMIFS([1]инфо!$C$15:$C$28,[1]инфо!$A$15:$A$28,F1095)*H1094</f>
        <v/>
      </c>
    </row>
    <row r="1096">
      <c r="A1096" s="71">
        <f>A1094+1</f>
        <v/>
      </c>
      <c r="B1096" s="90" t="n"/>
      <c r="C1096" s="52" t="n"/>
      <c r="D1096" s="53" t="n"/>
      <c r="E1096" s="91" t="n"/>
      <c r="F1096" s="67" t="n"/>
      <c r="G1096" s="58" t="n"/>
      <c r="H1096" s="55" t="n"/>
      <c r="I1096" s="55" t="n"/>
      <c r="J1096" s="55" t="n"/>
      <c r="K1096" s="55" t="n"/>
      <c r="L1096" s="55" t="n"/>
      <c r="M1096" s="55" t="n"/>
      <c r="N1096" s="55" t="n"/>
      <c r="O1096" s="58" t="n"/>
      <c r="P1096" s="58" t="n"/>
      <c r="Q1096" s="58" t="n"/>
      <c r="R1096" s="58" t="n"/>
      <c r="S1096" s="59">
        <f>SUM(O1096:R1096)</f>
        <v/>
      </c>
      <c r="T1096" s="52" t="n"/>
      <c r="U1096" s="53" t="n"/>
      <c r="V1096" s="58" t="n"/>
      <c r="W1096" s="58" t="n"/>
      <c r="X1096" s="58" t="n"/>
      <c r="Y1096" s="52" t="n"/>
      <c r="Z1096" s="58" t="n"/>
      <c r="AA1096" s="58" t="n"/>
      <c r="AB1096" s="58" t="n"/>
      <c r="AC1096" s="58" t="n"/>
      <c r="AD1096" s="53" t="n"/>
      <c r="AE1096" s="61">
        <f>SUMIFS([1]инфо!$D$15:$D$28,[1]инфо!$A$15:$A$28,F1096)</f>
        <v/>
      </c>
      <c r="AF1096" s="62">
        <f>IF(H1096=0,0,N1096/H1096)</f>
        <v/>
      </c>
      <c r="AG1096" s="63">
        <f>AF1096-AE1096</f>
        <v/>
      </c>
      <c r="AH1096" s="61">
        <f>SUMIFS([1]инфо!$E$15:$E$28,[1]инфо!$A$15:$A$28,F1096)</f>
        <v/>
      </c>
      <c r="AI1096" s="62">
        <f>IF(H1095=0,0,S1096/H1095)</f>
        <v/>
      </c>
      <c r="AJ1096" s="63">
        <f>AI1096-AH1096</f>
        <v/>
      </c>
      <c r="AK1096" s="61">
        <f>SUMIFS([1]инфо!$F$15:$F$28,[1]инфо!$A$15:$A$28,F1096)</f>
        <v/>
      </c>
      <c r="AL1096" s="64">
        <f>IF(H1096=0,0,Y1096/H1096)</f>
        <v/>
      </c>
      <c r="AM1096" s="63">
        <f>AL1096-AK1096</f>
        <v/>
      </c>
      <c r="AN1096" s="61">
        <f>SUMIFS([1]инфо!$G$15:$G$28,[1]инфо!$A$15:$A$28,F1096)</f>
        <v/>
      </c>
      <c r="AO1096" s="64">
        <f>IF(H1096=0,0,AA1096/H1096)</f>
        <v/>
      </c>
      <c r="AP1096" s="63">
        <f>AO1096-AN1096</f>
        <v/>
      </c>
      <c r="AQ1096" s="61">
        <f>SUMIFS([1]инфо!$H$15:$H$28,[1]инфо!$A$15:$A$28,F1096)</f>
        <v/>
      </c>
      <c r="AR1096" s="62">
        <f>IF(H1095=0,0,AC1096/H1095)</f>
        <v/>
      </c>
      <c r="AS1096" s="63">
        <f>AR1096-AQ1096</f>
        <v/>
      </c>
      <c r="AT1096" s="61">
        <f>SUMIFS([1]инфо!$I$15:$I$28,[1]инфо!$A$15:$A$28,F1096)</f>
        <v/>
      </c>
      <c r="AU1096" s="62">
        <f>IF(H1096=0,0,AD1096/H1096)</f>
        <v/>
      </c>
      <c r="AV1096" s="63">
        <f>AU1096-AT1096</f>
        <v/>
      </c>
      <c r="AX1096" s="59">
        <f>SUMIFS([1]инфо!$C$15:$C$28,[1]инфо!$A$15:$A$28,F1096)*H1095</f>
        <v/>
      </c>
    </row>
    <row r="1097">
      <c r="A1097" s="71">
        <f>A1095+1</f>
        <v/>
      </c>
      <c r="B1097" s="90" t="n"/>
      <c r="C1097" s="52" t="n"/>
      <c r="D1097" s="53" t="n"/>
      <c r="E1097" s="91" t="n"/>
      <c r="F1097" s="67" t="n"/>
      <c r="G1097" s="58" t="n"/>
      <c r="H1097" s="56" t="n"/>
      <c r="I1097" s="55" t="n"/>
      <c r="J1097" s="55" t="n"/>
      <c r="K1097" s="55" t="n"/>
      <c r="L1097" s="55" t="n"/>
      <c r="M1097" s="55" t="n"/>
      <c r="N1097" s="55" t="n"/>
      <c r="O1097" s="58" t="n"/>
      <c r="P1097" s="58" t="n"/>
      <c r="Q1097" s="58" t="n"/>
      <c r="R1097" s="58" t="n"/>
      <c r="S1097" s="59">
        <f>SUM(O1097:R1097)</f>
        <v/>
      </c>
      <c r="T1097" s="52" t="n"/>
      <c r="U1097" s="53" t="n"/>
      <c r="V1097" s="58" t="n"/>
      <c r="W1097" s="58" t="n"/>
      <c r="X1097" s="58" t="n"/>
      <c r="Y1097" s="52" t="n"/>
      <c r="Z1097" s="58" t="n"/>
      <c r="AA1097" s="58" t="n"/>
      <c r="AB1097" s="58" t="n"/>
      <c r="AC1097" s="58" t="n"/>
      <c r="AD1097" s="53" t="n"/>
      <c r="AE1097" s="61">
        <f>SUMIFS([1]инфо!$D$15:$D$28,[1]инфо!$A$15:$A$28,F1097)</f>
        <v/>
      </c>
      <c r="AF1097" s="62">
        <f>IF(H1097=0,0,N1097/H1097)</f>
        <v/>
      </c>
      <c r="AG1097" s="63">
        <f>AF1097-AE1097</f>
        <v/>
      </c>
      <c r="AH1097" s="61">
        <f>SUMIFS([1]инфо!$E$15:$E$28,[1]инфо!$A$15:$A$28,F1097)</f>
        <v/>
      </c>
      <c r="AI1097" s="62">
        <f>IF(H1096=0,0,S1097/H1096)</f>
        <v/>
      </c>
      <c r="AJ1097" s="63">
        <f>AI1097-AH1097</f>
        <v/>
      </c>
      <c r="AK1097" s="61">
        <f>SUMIFS([1]инфо!$F$15:$F$28,[1]инфо!$A$15:$A$28,F1097)</f>
        <v/>
      </c>
      <c r="AL1097" s="64">
        <f>IF(H1097=0,0,Y1097/H1097)</f>
        <v/>
      </c>
      <c r="AM1097" s="63">
        <f>AL1097-AK1097</f>
        <v/>
      </c>
      <c r="AN1097" s="61">
        <f>SUMIFS([1]инфо!$G$15:$G$28,[1]инфо!$A$15:$A$28,F1097)</f>
        <v/>
      </c>
      <c r="AO1097" s="64">
        <f>IF(H1097=0,0,AA1097/H1097)</f>
        <v/>
      </c>
      <c r="AP1097" s="63">
        <f>AO1097-AN1097</f>
        <v/>
      </c>
      <c r="AQ1097" s="61">
        <f>SUMIFS([1]инфо!$H$15:$H$28,[1]инфо!$A$15:$A$28,F1097)</f>
        <v/>
      </c>
      <c r="AR1097" s="62">
        <f>IF(H1096=0,0,AC1097/H1096)</f>
        <v/>
      </c>
      <c r="AS1097" s="63">
        <f>AR1097-AQ1097</f>
        <v/>
      </c>
      <c r="AT1097" s="61">
        <f>SUMIFS([1]инфо!$I$15:$I$28,[1]инфо!$A$15:$A$28,F1097)</f>
        <v/>
      </c>
      <c r="AU1097" s="62">
        <f>IF(H1097=0,0,AD1097/H1097)</f>
        <v/>
      </c>
      <c r="AV1097" s="63">
        <f>AU1097-AT1097</f>
        <v/>
      </c>
      <c r="AX1097" s="59">
        <f>SUMIFS([1]инфо!$C$15:$C$28,[1]инфо!$A$15:$A$28,F1097)*H1096</f>
        <v/>
      </c>
    </row>
    <row r="1098">
      <c r="A1098" s="71">
        <f>A1096+1</f>
        <v/>
      </c>
      <c r="B1098" s="88" t="n"/>
      <c r="C1098" s="77" t="n"/>
      <c r="D1098" s="78" t="n"/>
      <c r="E1098" s="91" t="n"/>
      <c r="F1098" s="67" t="n"/>
      <c r="G1098" s="79" t="n"/>
      <c r="H1098" s="67" t="n"/>
      <c r="I1098" s="55" t="n"/>
      <c r="J1098" s="55" t="n"/>
      <c r="K1098" s="55" t="n"/>
      <c r="L1098" s="55" t="n"/>
      <c r="M1098" s="55" t="n"/>
      <c r="N1098" s="56" t="n"/>
      <c r="O1098" s="79" t="n"/>
      <c r="P1098" s="79" t="n"/>
      <c r="Q1098" s="79" t="n"/>
      <c r="R1098" s="79" t="n"/>
      <c r="S1098" s="80">
        <f>SUM(O1098:R1098)</f>
        <v/>
      </c>
      <c r="T1098" s="77" t="n"/>
      <c r="U1098" s="78" t="n"/>
      <c r="V1098" s="79" t="n"/>
      <c r="W1098" s="79" t="n"/>
      <c r="X1098" s="79" t="n"/>
      <c r="Y1098" s="77" t="n"/>
      <c r="Z1098" s="79" t="n"/>
      <c r="AA1098" s="79" t="n"/>
      <c r="AB1098" s="79" t="n"/>
      <c r="AC1098" s="79" t="n"/>
      <c r="AD1098" s="78" t="n"/>
      <c r="AE1098" s="81">
        <f>SUMIFS([1]инфо!$D$15:$D$28,[1]инфо!$A$15:$A$28,F1098)</f>
        <v/>
      </c>
      <c r="AF1098" s="62">
        <f>IF(H1098=0,0,N1098/H1098)</f>
        <v/>
      </c>
      <c r="AG1098" s="82">
        <f>AF1098-AE1098</f>
        <v/>
      </c>
      <c r="AH1098" s="81">
        <f>SUMIFS([1]инфо!$E$15:$E$28,[1]инфо!$A$15:$A$28,F1098)</f>
        <v/>
      </c>
      <c r="AI1098" s="85">
        <f>IF(H1097=0,0,S1098/H1097)</f>
        <v/>
      </c>
      <c r="AJ1098" s="82">
        <f>AI1098-AH1098</f>
        <v/>
      </c>
      <c r="AK1098" s="81">
        <f>SUMIFS([1]инфо!$F$15:$F$28,[1]инфо!$A$15:$A$28,F1098)</f>
        <v/>
      </c>
      <c r="AL1098" s="64">
        <f>IF(H1098=0,0,Y1098/H1098)</f>
        <v/>
      </c>
      <c r="AM1098" s="82">
        <f>AL1098-AK1098</f>
        <v/>
      </c>
      <c r="AN1098" s="81">
        <f>SUMIFS([1]инфо!$G$15:$G$28,[1]инфо!$A$15:$A$28,F1098)</f>
        <v/>
      </c>
      <c r="AO1098" s="64">
        <f>IF(H1098=0,0,AA1098/H1098)</f>
        <v/>
      </c>
      <c r="AP1098" s="82">
        <f>AO1098-AN1098</f>
        <v/>
      </c>
      <c r="AQ1098" s="81">
        <f>SUMIFS([1]инфо!$H$15:$H$28,[1]инфо!$A$15:$A$28,F1098)</f>
        <v/>
      </c>
      <c r="AR1098" s="85">
        <f>IF(H1097=0,0,AC1098/H1097)</f>
        <v/>
      </c>
      <c r="AS1098" s="82">
        <f>AR1098-AQ1098</f>
        <v/>
      </c>
      <c r="AT1098" s="81">
        <f>SUMIFS([1]инфо!$I$15:$I$28,[1]инфо!$A$15:$A$28,F1098)</f>
        <v/>
      </c>
      <c r="AU1098" s="62">
        <f>IF(H1098=0,0,AD1098/H1098)</f>
        <v/>
      </c>
      <c r="AV1098" s="82">
        <f>AU1098-AT1098</f>
        <v/>
      </c>
      <c r="AX1098" s="80">
        <f>SUMIFS([1]инфо!$C$15:$C$28,[1]инфо!$A$15:$A$28,F1098)*H1097</f>
        <v/>
      </c>
    </row>
    <row r="1099">
      <c r="A1099" s="71">
        <f>A1097+1</f>
        <v/>
      </c>
      <c r="B1099" s="89" t="n"/>
      <c r="C1099" s="72" t="n"/>
      <c r="D1099" s="73" t="n"/>
      <c r="E1099" s="91" t="n"/>
      <c r="F1099" s="67" t="n"/>
      <c r="G1099" s="74" t="n"/>
      <c r="H1099" s="55" t="n"/>
      <c r="I1099" s="55" t="n"/>
      <c r="J1099" s="55" t="n"/>
      <c r="K1099" s="55" t="n"/>
      <c r="L1099" s="55" t="n"/>
      <c r="M1099" s="55" t="n"/>
      <c r="N1099" s="67" t="n"/>
      <c r="O1099" s="74" t="n"/>
      <c r="P1099" s="74" t="n"/>
      <c r="Q1099" s="74" t="n"/>
      <c r="R1099" s="74" t="n"/>
      <c r="S1099" s="70">
        <f>SUM(O1099:R1099)</f>
        <v/>
      </c>
      <c r="T1099" s="72" t="n"/>
      <c r="U1099" s="73" t="n"/>
      <c r="V1099" s="74" t="n"/>
      <c r="W1099" s="74" t="n"/>
      <c r="X1099" s="74" t="n"/>
      <c r="Y1099" s="72" t="n"/>
      <c r="Z1099" s="74" t="n"/>
      <c r="AA1099" s="74" t="n"/>
      <c r="AB1099" s="74" t="n"/>
      <c r="AC1099" s="74" t="n"/>
      <c r="AD1099" s="73" t="n"/>
      <c r="AE1099" s="75">
        <f>SUMIFS([1]инфо!$D$15:$D$28,[1]инфо!$A$15:$A$28,F1099)</f>
        <v/>
      </c>
      <c r="AF1099" s="62">
        <f>IF(H1099=0,0,N1099/H1099)</f>
        <v/>
      </c>
      <c r="AG1099" s="76">
        <f>AF1099-AE1099</f>
        <v/>
      </c>
      <c r="AH1099" s="75">
        <f>SUMIFS([1]инфо!$E$15:$E$28,[1]инфо!$A$15:$A$28,F1099)</f>
        <v/>
      </c>
      <c r="AI1099" s="64">
        <f>IF(H1098=0,0,S1099/H1098)</f>
        <v/>
      </c>
      <c r="AJ1099" s="76">
        <f>AI1099-AH1099</f>
        <v/>
      </c>
      <c r="AK1099" s="75">
        <f>SUMIFS([1]инфо!$F$15:$F$28,[1]инфо!$A$15:$A$28,F1099)</f>
        <v/>
      </c>
      <c r="AL1099" s="64">
        <f>IF(H1099=0,0,Y1099/H1099)</f>
        <v/>
      </c>
      <c r="AM1099" s="76">
        <f>AL1099-AK1099</f>
        <v/>
      </c>
      <c r="AN1099" s="75">
        <f>SUMIFS([1]инфо!$G$15:$G$28,[1]инфо!$A$15:$A$28,F1099)</f>
        <v/>
      </c>
      <c r="AO1099" s="64">
        <f>IF(H1099=0,0,AA1099/H1099)</f>
        <v/>
      </c>
      <c r="AP1099" s="76">
        <f>AO1099-AN1099</f>
        <v/>
      </c>
      <c r="AQ1099" s="75">
        <f>SUMIFS([1]инфо!$H$15:$H$28,[1]инфо!$A$15:$A$28,F1099)</f>
        <v/>
      </c>
      <c r="AR1099" s="64">
        <f>IF(H1098=0,0,AC1099/H1098)</f>
        <v/>
      </c>
      <c r="AS1099" s="76">
        <f>AR1099-AQ1099</f>
        <v/>
      </c>
      <c r="AT1099" s="75">
        <f>SUMIFS([1]инфо!$I$15:$I$28,[1]инфо!$A$15:$A$28,F1099)</f>
        <v/>
      </c>
      <c r="AU1099" s="62">
        <f>IF(H1099=0,0,AD1099/H1099)</f>
        <v/>
      </c>
      <c r="AV1099" s="76">
        <f>AU1099-AT1099</f>
        <v/>
      </c>
      <c r="AX1099" s="70">
        <f>SUMIFS([1]инфо!$C$15:$C$28,[1]инфо!$A$15:$A$28,F1099)*H1098</f>
        <v/>
      </c>
    </row>
    <row r="1100">
      <c r="A1100" s="71">
        <f>A1098+1</f>
        <v/>
      </c>
      <c r="B1100" s="90" t="n"/>
      <c r="C1100" s="52" t="n"/>
      <c r="D1100" s="53" t="n"/>
      <c r="E1100" s="91" t="n"/>
      <c r="F1100" s="67" t="n"/>
      <c r="G1100" s="58" t="n"/>
      <c r="H1100" s="55" t="n"/>
      <c r="I1100" s="55" t="n"/>
      <c r="J1100" s="55" t="n"/>
      <c r="K1100" s="55" t="n"/>
      <c r="L1100" s="55" t="n"/>
      <c r="M1100" s="55" t="n"/>
      <c r="N1100" s="55" t="n"/>
      <c r="O1100" s="58" t="n"/>
      <c r="P1100" s="58" t="n"/>
      <c r="Q1100" s="58" t="n"/>
      <c r="R1100" s="58" t="n"/>
      <c r="S1100" s="59">
        <f>SUM(O1100:R1100)</f>
        <v/>
      </c>
      <c r="T1100" s="52" t="n"/>
      <c r="U1100" s="53" t="n"/>
      <c r="V1100" s="58" t="n"/>
      <c r="W1100" s="58" t="n"/>
      <c r="X1100" s="58" t="n"/>
      <c r="Y1100" s="52" t="n"/>
      <c r="Z1100" s="58" t="n"/>
      <c r="AA1100" s="58" t="n"/>
      <c r="AB1100" s="58" t="n"/>
      <c r="AC1100" s="58" t="n"/>
      <c r="AD1100" s="53" t="n"/>
      <c r="AE1100" s="61">
        <f>SUMIFS([1]инфо!$D$15:$D$28,[1]инфо!$A$15:$A$28,F1100)</f>
        <v/>
      </c>
      <c r="AF1100" s="62">
        <f>IF(H1100=0,0,N1100/H1100)</f>
        <v/>
      </c>
      <c r="AG1100" s="63">
        <f>AF1100-AE1100</f>
        <v/>
      </c>
      <c r="AH1100" s="61">
        <f>SUMIFS([1]инфо!$E$15:$E$28,[1]инфо!$A$15:$A$28,F1100)</f>
        <v/>
      </c>
      <c r="AI1100" s="62">
        <f>IF(H1099=0,0,S1100/H1099)</f>
        <v/>
      </c>
      <c r="AJ1100" s="63">
        <f>AI1100-AH1100</f>
        <v/>
      </c>
      <c r="AK1100" s="61">
        <f>SUMIFS([1]инфо!$F$15:$F$28,[1]инфо!$A$15:$A$28,F1100)</f>
        <v/>
      </c>
      <c r="AL1100" s="64">
        <f>IF(H1100=0,0,Y1100/H1100)</f>
        <v/>
      </c>
      <c r="AM1100" s="63">
        <f>AL1100-AK1100</f>
        <v/>
      </c>
      <c r="AN1100" s="61">
        <f>SUMIFS([1]инфо!$G$15:$G$28,[1]инфо!$A$15:$A$28,F1100)</f>
        <v/>
      </c>
      <c r="AO1100" s="64">
        <f>IF(H1100=0,0,AA1100/H1100)</f>
        <v/>
      </c>
      <c r="AP1100" s="63">
        <f>AO1100-AN1100</f>
        <v/>
      </c>
      <c r="AQ1100" s="61">
        <f>SUMIFS([1]инфо!$H$15:$H$28,[1]инфо!$A$15:$A$28,F1100)</f>
        <v/>
      </c>
      <c r="AR1100" s="62">
        <f>IF(H1099=0,0,AC1100/H1099)</f>
        <v/>
      </c>
      <c r="AS1100" s="63">
        <f>AR1100-AQ1100</f>
        <v/>
      </c>
      <c r="AT1100" s="61">
        <f>SUMIFS([1]инфо!$I$15:$I$28,[1]инфо!$A$15:$A$28,F1100)</f>
        <v/>
      </c>
      <c r="AU1100" s="62">
        <f>IF(H1100=0,0,AD1100/H1100)</f>
        <v/>
      </c>
      <c r="AV1100" s="63">
        <f>AU1100-AT1100</f>
        <v/>
      </c>
      <c r="AX1100" s="59">
        <f>SUMIFS([1]инфо!$C$15:$C$28,[1]инфо!$A$15:$A$28,F1100)*H1099</f>
        <v/>
      </c>
    </row>
    <row r="1101">
      <c r="A1101" s="71">
        <f>A1099+1</f>
        <v/>
      </c>
      <c r="B1101" s="90" t="n"/>
      <c r="C1101" s="52" t="n"/>
      <c r="D1101" s="53" t="n"/>
      <c r="E1101" s="91" t="n"/>
      <c r="F1101" s="67" t="n"/>
      <c r="G1101" s="58" t="n"/>
      <c r="H1101" s="56" t="n"/>
      <c r="I1101" s="55" t="n"/>
      <c r="J1101" s="55" t="n"/>
      <c r="K1101" s="55" t="n"/>
      <c r="L1101" s="55" t="n"/>
      <c r="M1101" s="55" t="n"/>
      <c r="N1101" s="55" t="n"/>
      <c r="O1101" s="58" t="n"/>
      <c r="P1101" s="58" t="n"/>
      <c r="Q1101" s="58" t="n"/>
      <c r="R1101" s="58" t="n"/>
      <c r="S1101" s="59">
        <f>SUM(O1101:R1101)</f>
        <v/>
      </c>
      <c r="T1101" s="52" t="n"/>
      <c r="U1101" s="53" t="n"/>
      <c r="V1101" s="58" t="n"/>
      <c r="W1101" s="58" t="n"/>
      <c r="X1101" s="58" t="n"/>
      <c r="Y1101" s="52" t="n"/>
      <c r="Z1101" s="58" t="n"/>
      <c r="AA1101" s="58" t="n"/>
      <c r="AB1101" s="58" t="n"/>
      <c r="AC1101" s="58" t="n"/>
      <c r="AD1101" s="53" t="n"/>
      <c r="AE1101" s="61">
        <f>SUMIFS([1]инфо!$D$15:$D$28,[1]инфо!$A$15:$A$28,F1101)</f>
        <v/>
      </c>
      <c r="AF1101" s="62">
        <f>IF(H1101=0,0,N1101/H1101)</f>
        <v/>
      </c>
      <c r="AG1101" s="63">
        <f>AF1101-AE1101</f>
        <v/>
      </c>
      <c r="AH1101" s="61">
        <f>SUMIFS([1]инфо!$E$15:$E$28,[1]инфо!$A$15:$A$28,F1101)</f>
        <v/>
      </c>
      <c r="AI1101" s="62">
        <f>IF(H1100=0,0,S1101/H1100)</f>
        <v/>
      </c>
      <c r="AJ1101" s="63">
        <f>AI1101-AH1101</f>
        <v/>
      </c>
      <c r="AK1101" s="61">
        <f>SUMIFS([1]инфо!$F$15:$F$28,[1]инфо!$A$15:$A$28,F1101)</f>
        <v/>
      </c>
      <c r="AL1101" s="64">
        <f>IF(H1101=0,0,Y1101/H1101)</f>
        <v/>
      </c>
      <c r="AM1101" s="63">
        <f>AL1101-AK1101</f>
        <v/>
      </c>
      <c r="AN1101" s="61">
        <f>SUMIFS([1]инфо!$G$15:$G$28,[1]инфо!$A$15:$A$28,F1101)</f>
        <v/>
      </c>
      <c r="AO1101" s="64">
        <f>IF(H1101=0,0,AA1101/H1101)</f>
        <v/>
      </c>
      <c r="AP1101" s="63">
        <f>AO1101-AN1101</f>
        <v/>
      </c>
      <c r="AQ1101" s="61">
        <f>SUMIFS([1]инфо!$H$15:$H$28,[1]инфо!$A$15:$A$28,F1101)</f>
        <v/>
      </c>
      <c r="AR1101" s="62">
        <f>IF(H1100=0,0,AC1101/H1100)</f>
        <v/>
      </c>
      <c r="AS1101" s="63">
        <f>AR1101-AQ1101</f>
        <v/>
      </c>
      <c r="AT1101" s="61">
        <f>SUMIFS([1]инфо!$I$15:$I$28,[1]инфо!$A$15:$A$28,F1101)</f>
        <v/>
      </c>
      <c r="AU1101" s="62">
        <f>IF(H1101=0,0,AD1101/H1101)</f>
        <v/>
      </c>
      <c r="AV1101" s="63">
        <f>AU1101-AT1101</f>
        <v/>
      </c>
      <c r="AX1101" s="59">
        <f>SUMIFS([1]инфо!$C$15:$C$28,[1]инфо!$A$15:$A$28,F1101)*H1100</f>
        <v/>
      </c>
    </row>
    <row r="1102">
      <c r="A1102" s="71">
        <f>A1100+1</f>
        <v/>
      </c>
      <c r="B1102" s="88" t="n"/>
      <c r="C1102" s="77" t="n"/>
      <c r="D1102" s="78" t="n"/>
      <c r="E1102" s="91" t="n"/>
      <c r="F1102" s="67" t="n"/>
      <c r="G1102" s="79" t="n"/>
      <c r="H1102" s="67" t="n"/>
      <c r="I1102" s="55" t="n"/>
      <c r="J1102" s="55" t="n"/>
      <c r="K1102" s="55" t="n"/>
      <c r="L1102" s="55" t="n"/>
      <c r="M1102" s="55" t="n"/>
      <c r="N1102" s="56" t="n"/>
      <c r="O1102" s="79" t="n"/>
      <c r="P1102" s="79" t="n"/>
      <c r="Q1102" s="79" t="n"/>
      <c r="R1102" s="79" t="n"/>
      <c r="S1102" s="80">
        <f>SUM(O1102:R1102)</f>
        <v/>
      </c>
      <c r="T1102" s="77" t="n"/>
      <c r="U1102" s="78" t="n"/>
      <c r="V1102" s="79" t="n"/>
      <c r="W1102" s="79" t="n"/>
      <c r="X1102" s="79" t="n"/>
      <c r="Y1102" s="77" t="n"/>
      <c r="Z1102" s="79" t="n"/>
      <c r="AA1102" s="79" t="n"/>
      <c r="AB1102" s="79" t="n"/>
      <c r="AC1102" s="79" t="n"/>
      <c r="AD1102" s="78" t="n"/>
      <c r="AE1102" s="81">
        <f>SUMIFS([1]инфо!$D$15:$D$28,[1]инфо!$A$15:$A$28,F1102)</f>
        <v/>
      </c>
      <c r="AF1102" s="62">
        <f>IF(H1102=0,0,N1102/H1102)</f>
        <v/>
      </c>
      <c r="AG1102" s="82">
        <f>AF1102-AE1102</f>
        <v/>
      </c>
      <c r="AH1102" s="81">
        <f>SUMIFS([1]инфо!$E$15:$E$28,[1]инфо!$A$15:$A$28,F1102)</f>
        <v/>
      </c>
      <c r="AI1102" s="85">
        <f>IF(H1101=0,0,S1102/H1101)</f>
        <v/>
      </c>
      <c r="AJ1102" s="82">
        <f>AI1102-AH1102</f>
        <v/>
      </c>
      <c r="AK1102" s="81">
        <f>SUMIFS([1]инфо!$F$15:$F$28,[1]инфо!$A$15:$A$28,F1102)</f>
        <v/>
      </c>
      <c r="AL1102" s="64">
        <f>IF(H1102=0,0,Y1102/H1102)</f>
        <v/>
      </c>
      <c r="AM1102" s="82">
        <f>AL1102-AK1102</f>
        <v/>
      </c>
      <c r="AN1102" s="81">
        <f>SUMIFS([1]инфо!$G$15:$G$28,[1]инфо!$A$15:$A$28,F1102)</f>
        <v/>
      </c>
      <c r="AO1102" s="64">
        <f>IF(H1102=0,0,AA1102/H1102)</f>
        <v/>
      </c>
      <c r="AP1102" s="82">
        <f>AO1102-AN1102</f>
        <v/>
      </c>
      <c r="AQ1102" s="81">
        <f>SUMIFS([1]инфо!$H$15:$H$28,[1]инфо!$A$15:$A$28,F1102)</f>
        <v/>
      </c>
      <c r="AR1102" s="85">
        <f>IF(H1101=0,0,AC1102/H1101)</f>
        <v/>
      </c>
      <c r="AS1102" s="82">
        <f>AR1102-AQ1102</f>
        <v/>
      </c>
      <c r="AT1102" s="81">
        <f>SUMIFS([1]инфо!$I$15:$I$28,[1]инфо!$A$15:$A$28,F1102)</f>
        <v/>
      </c>
      <c r="AU1102" s="62">
        <f>IF(H1102=0,0,AD1102/H1102)</f>
        <v/>
      </c>
      <c r="AV1102" s="82">
        <f>AU1102-AT1102</f>
        <v/>
      </c>
      <c r="AX1102" s="80">
        <f>SUMIFS([1]инфо!$C$15:$C$28,[1]инфо!$A$15:$A$28,F1102)*H1101</f>
        <v/>
      </c>
    </row>
    <row r="1103">
      <c r="A1103" s="71">
        <f>A1101+1</f>
        <v/>
      </c>
      <c r="B1103" s="89" t="n"/>
      <c r="C1103" s="72" t="n"/>
      <c r="D1103" s="73" t="n"/>
      <c r="E1103" s="91" t="n"/>
      <c r="F1103" s="67" t="n"/>
      <c r="G1103" s="74" t="n"/>
      <c r="H1103" s="55" t="n"/>
      <c r="I1103" s="55" t="n"/>
      <c r="J1103" s="55" t="n"/>
      <c r="K1103" s="55" t="n"/>
      <c r="L1103" s="55" t="n"/>
      <c r="M1103" s="55" t="n"/>
      <c r="N1103" s="67" t="n"/>
      <c r="O1103" s="74" t="n"/>
      <c r="P1103" s="74" t="n"/>
      <c r="Q1103" s="74" t="n"/>
      <c r="R1103" s="74" t="n"/>
      <c r="S1103" s="70">
        <f>SUM(O1103:R1103)</f>
        <v/>
      </c>
      <c r="T1103" s="72" t="n"/>
      <c r="U1103" s="73" t="n"/>
      <c r="V1103" s="74" t="n"/>
      <c r="W1103" s="74" t="n"/>
      <c r="X1103" s="74" t="n"/>
      <c r="Y1103" s="72" t="n"/>
      <c r="Z1103" s="74" t="n"/>
      <c r="AA1103" s="74" t="n"/>
      <c r="AB1103" s="74" t="n"/>
      <c r="AC1103" s="74" t="n"/>
      <c r="AD1103" s="73" t="n"/>
      <c r="AE1103" s="75">
        <f>SUMIFS([1]инфо!$D$15:$D$28,[1]инфо!$A$15:$A$28,F1103)</f>
        <v/>
      </c>
      <c r="AF1103" s="62">
        <f>IF(H1103=0,0,N1103/H1103)</f>
        <v/>
      </c>
      <c r="AG1103" s="76">
        <f>AF1103-AE1103</f>
        <v/>
      </c>
      <c r="AH1103" s="75">
        <f>SUMIFS([1]инфо!$E$15:$E$28,[1]инфо!$A$15:$A$28,F1103)</f>
        <v/>
      </c>
      <c r="AI1103" s="64">
        <f>IF(H1102=0,0,S1103/H1102)</f>
        <v/>
      </c>
      <c r="AJ1103" s="76">
        <f>AI1103-AH1103</f>
        <v/>
      </c>
      <c r="AK1103" s="75">
        <f>SUMIFS([1]инфо!$F$15:$F$28,[1]инфо!$A$15:$A$28,F1103)</f>
        <v/>
      </c>
      <c r="AL1103" s="64">
        <f>IF(H1103=0,0,Y1103/H1103)</f>
        <v/>
      </c>
      <c r="AM1103" s="76">
        <f>AL1103-AK1103</f>
        <v/>
      </c>
      <c r="AN1103" s="75">
        <f>SUMIFS([1]инфо!$G$15:$G$28,[1]инфо!$A$15:$A$28,F1103)</f>
        <v/>
      </c>
      <c r="AO1103" s="64">
        <f>IF(H1103=0,0,AA1103/H1103)</f>
        <v/>
      </c>
      <c r="AP1103" s="76">
        <f>AO1103-AN1103</f>
        <v/>
      </c>
      <c r="AQ1103" s="75">
        <f>SUMIFS([1]инфо!$H$15:$H$28,[1]инфо!$A$15:$A$28,F1103)</f>
        <v/>
      </c>
      <c r="AR1103" s="64">
        <f>IF(H1102=0,0,AC1103/H1102)</f>
        <v/>
      </c>
      <c r="AS1103" s="76">
        <f>AR1103-AQ1103</f>
        <v/>
      </c>
      <c r="AT1103" s="75">
        <f>SUMIFS([1]инфо!$I$15:$I$28,[1]инфо!$A$15:$A$28,F1103)</f>
        <v/>
      </c>
      <c r="AU1103" s="62">
        <f>IF(H1103=0,0,AD1103/H1103)</f>
        <v/>
      </c>
      <c r="AV1103" s="76">
        <f>AU1103-AT1103</f>
        <v/>
      </c>
      <c r="AX1103" s="70">
        <f>SUMIFS([1]инфо!$C$15:$C$28,[1]инфо!$A$15:$A$28,F1103)*H1102</f>
        <v/>
      </c>
    </row>
    <row r="1104">
      <c r="A1104" s="71">
        <f>A1102+1</f>
        <v/>
      </c>
      <c r="B1104" s="90" t="n"/>
      <c r="C1104" s="52" t="n"/>
      <c r="D1104" s="53" t="n"/>
      <c r="E1104" s="91" t="n"/>
      <c r="F1104" s="67" t="n"/>
      <c r="G1104" s="58" t="n"/>
      <c r="H1104" s="55" t="n"/>
      <c r="I1104" s="55" t="n"/>
      <c r="J1104" s="55" t="n"/>
      <c r="K1104" s="55" t="n"/>
      <c r="L1104" s="55" t="n"/>
      <c r="M1104" s="55" t="n"/>
      <c r="N1104" s="55" t="n"/>
      <c r="O1104" s="58" t="n"/>
      <c r="P1104" s="58" t="n"/>
      <c r="Q1104" s="58" t="n"/>
      <c r="R1104" s="58" t="n"/>
      <c r="S1104" s="59">
        <f>SUM(O1104:R1104)</f>
        <v/>
      </c>
      <c r="T1104" s="52" t="n"/>
      <c r="U1104" s="53" t="n"/>
      <c r="V1104" s="58" t="n"/>
      <c r="W1104" s="58" t="n"/>
      <c r="X1104" s="58" t="n"/>
      <c r="Y1104" s="52" t="n"/>
      <c r="Z1104" s="58" t="n"/>
      <c r="AA1104" s="58" t="n"/>
      <c r="AB1104" s="58" t="n"/>
      <c r="AC1104" s="58" t="n"/>
      <c r="AD1104" s="53" t="n"/>
      <c r="AE1104" s="61">
        <f>SUMIFS([1]инфо!$D$15:$D$28,[1]инфо!$A$15:$A$28,F1104)</f>
        <v/>
      </c>
      <c r="AF1104" s="62">
        <f>IF(H1104=0,0,N1104/H1104)</f>
        <v/>
      </c>
      <c r="AG1104" s="63">
        <f>AF1104-AE1104</f>
        <v/>
      </c>
      <c r="AH1104" s="61">
        <f>SUMIFS([1]инфо!$E$15:$E$28,[1]инфо!$A$15:$A$28,F1104)</f>
        <v/>
      </c>
      <c r="AI1104" s="62">
        <f>IF(H1103=0,0,S1104/H1103)</f>
        <v/>
      </c>
      <c r="AJ1104" s="63">
        <f>AI1104-AH1104</f>
        <v/>
      </c>
      <c r="AK1104" s="61">
        <f>SUMIFS([1]инфо!$F$15:$F$28,[1]инфо!$A$15:$A$28,F1104)</f>
        <v/>
      </c>
      <c r="AL1104" s="64">
        <f>IF(H1104=0,0,Y1104/H1104)</f>
        <v/>
      </c>
      <c r="AM1104" s="63">
        <f>AL1104-AK1104</f>
        <v/>
      </c>
      <c r="AN1104" s="61">
        <f>SUMIFS([1]инфо!$G$15:$G$28,[1]инфо!$A$15:$A$28,F1104)</f>
        <v/>
      </c>
      <c r="AO1104" s="64">
        <f>IF(H1104=0,0,AA1104/H1104)</f>
        <v/>
      </c>
      <c r="AP1104" s="63">
        <f>AO1104-AN1104</f>
        <v/>
      </c>
      <c r="AQ1104" s="61">
        <f>SUMIFS([1]инфо!$H$15:$H$28,[1]инфо!$A$15:$A$28,F1104)</f>
        <v/>
      </c>
      <c r="AR1104" s="62">
        <f>IF(H1103=0,0,AC1104/H1103)</f>
        <v/>
      </c>
      <c r="AS1104" s="63">
        <f>AR1104-AQ1104</f>
        <v/>
      </c>
      <c r="AT1104" s="61">
        <f>SUMIFS([1]инфо!$I$15:$I$28,[1]инфо!$A$15:$A$28,F1104)</f>
        <v/>
      </c>
      <c r="AU1104" s="62">
        <f>IF(H1104=0,0,AD1104/H1104)</f>
        <v/>
      </c>
      <c r="AV1104" s="63">
        <f>AU1104-AT1104</f>
        <v/>
      </c>
      <c r="AX1104" s="59">
        <f>SUMIFS([1]инфо!$C$15:$C$28,[1]инфо!$A$15:$A$28,F1104)*H1103</f>
        <v/>
      </c>
    </row>
    <row r="1105">
      <c r="A1105" s="71">
        <f>A1103+1</f>
        <v/>
      </c>
      <c r="B1105" s="90" t="n"/>
      <c r="C1105" s="52" t="n"/>
      <c r="D1105" s="53" t="n"/>
      <c r="E1105" s="91" t="n"/>
      <c r="F1105" s="67" t="n"/>
      <c r="G1105" s="58" t="n"/>
      <c r="H1105" s="56" t="n"/>
      <c r="I1105" s="55" t="n"/>
      <c r="J1105" s="55" t="n"/>
      <c r="K1105" s="55" t="n"/>
      <c r="L1105" s="55" t="n"/>
      <c r="M1105" s="55" t="n"/>
      <c r="N1105" s="55" t="n"/>
      <c r="O1105" s="58" t="n"/>
      <c r="P1105" s="58" t="n"/>
      <c r="Q1105" s="58" t="n"/>
      <c r="R1105" s="58" t="n"/>
      <c r="S1105" s="59">
        <f>SUM(O1105:R1105)</f>
        <v/>
      </c>
      <c r="T1105" s="52" t="n"/>
      <c r="U1105" s="53" t="n"/>
      <c r="V1105" s="58" t="n"/>
      <c r="W1105" s="58" t="n"/>
      <c r="X1105" s="58" t="n"/>
      <c r="Y1105" s="52" t="n"/>
      <c r="Z1105" s="58" t="n"/>
      <c r="AA1105" s="58" t="n"/>
      <c r="AB1105" s="58" t="n"/>
      <c r="AC1105" s="58" t="n"/>
      <c r="AD1105" s="53" t="n"/>
      <c r="AE1105" s="61">
        <f>SUMIFS([1]инфо!$D$15:$D$28,[1]инфо!$A$15:$A$28,F1105)</f>
        <v/>
      </c>
      <c r="AF1105" s="62">
        <f>IF(H1105=0,0,N1105/H1105)</f>
        <v/>
      </c>
      <c r="AG1105" s="63">
        <f>AF1105-AE1105</f>
        <v/>
      </c>
      <c r="AH1105" s="61">
        <f>SUMIFS([1]инфо!$E$15:$E$28,[1]инфо!$A$15:$A$28,F1105)</f>
        <v/>
      </c>
      <c r="AI1105" s="62">
        <f>IF(H1104=0,0,S1105/H1104)</f>
        <v/>
      </c>
      <c r="AJ1105" s="63">
        <f>AI1105-AH1105</f>
        <v/>
      </c>
      <c r="AK1105" s="61">
        <f>SUMIFS([1]инфо!$F$15:$F$28,[1]инфо!$A$15:$A$28,F1105)</f>
        <v/>
      </c>
      <c r="AL1105" s="64">
        <f>IF(H1105=0,0,Y1105/H1105)</f>
        <v/>
      </c>
      <c r="AM1105" s="63">
        <f>AL1105-AK1105</f>
        <v/>
      </c>
      <c r="AN1105" s="61">
        <f>SUMIFS([1]инфо!$G$15:$G$28,[1]инфо!$A$15:$A$28,F1105)</f>
        <v/>
      </c>
      <c r="AO1105" s="64">
        <f>IF(H1105=0,0,AA1105/H1105)</f>
        <v/>
      </c>
      <c r="AP1105" s="63">
        <f>AO1105-AN1105</f>
        <v/>
      </c>
      <c r="AQ1105" s="61">
        <f>SUMIFS([1]инфо!$H$15:$H$28,[1]инфо!$A$15:$A$28,F1105)</f>
        <v/>
      </c>
      <c r="AR1105" s="62">
        <f>IF(H1104=0,0,AC1105/H1104)</f>
        <v/>
      </c>
      <c r="AS1105" s="63">
        <f>AR1105-AQ1105</f>
        <v/>
      </c>
      <c r="AT1105" s="61">
        <f>SUMIFS([1]инфо!$I$15:$I$28,[1]инфо!$A$15:$A$28,F1105)</f>
        <v/>
      </c>
      <c r="AU1105" s="62">
        <f>IF(H1105=0,0,AD1105/H1105)</f>
        <v/>
      </c>
      <c r="AV1105" s="63">
        <f>AU1105-AT1105</f>
        <v/>
      </c>
      <c r="AX1105" s="59">
        <f>SUMIFS([1]инфо!$C$15:$C$28,[1]инфо!$A$15:$A$28,F1105)*H1104</f>
        <v/>
      </c>
    </row>
    <row r="1106">
      <c r="A1106" s="71">
        <f>A1104+1</f>
        <v/>
      </c>
      <c r="B1106" s="88" t="n"/>
      <c r="C1106" s="77" t="n"/>
      <c r="D1106" s="78" t="n"/>
      <c r="E1106" s="91" t="n"/>
      <c r="F1106" s="67" t="n"/>
      <c r="G1106" s="79" t="n"/>
      <c r="H1106" s="67" t="n"/>
      <c r="I1106" s="55" t="n"/>
      <c r="J1106" s="55" t="n"/>
      <c r="K1106" s="55" t="n"/>
      <c r="L1106" s="55" t="n"/>
      <c r="M1106" s="55" t="n"/>
      <c r="N1106" s="56" t="n"/>
      <c r="O1106" s="79" t="n"/>
      <c r="P1106" s="79" t="n"/>
      <c r="Q1106" s="79" t="n"/>
      <c r="R1106" s="79" t="n"/>
      <c r="S1106" s="80">
        <f>SUM(O1106:R1106)</f>
        <v/>
      </c>
      <c r="T1106" s="77" t="n"/>
      <c r="U1106" s="78" t="n"/>
      <c r="V1106" s="79" t="n"/>
      <c r="W1106" s="79" t="n"/>
      <c r="X1106" s="79" t="n"/>
      <c r="Y1106" s="77" t="n"/>
      <c r="Z1106" s="79" t="n"/>
      <c r="AA1106" s="79" t="n"/>
      <c r="AB1106" s="79" t="n"/>
      <c r="AC1106" s="79" t="n"/>
      <c r="AD1106" s="78" t="n"/>
      <c r="AE1106" s="81">
        <f>SUMIFS([1]инфо!$D$15:$D$28,[1]инфо!$A$15:$A$28,F1106)</f>
        <v/>
      </c>
      <c r="AF1106" s="62">
        <f>IF(H1106=0,0,N1106/H1106)</f>
        <v/>
      </c>
      <c r="AG1106" s="82">
        <f>AF1106-AE1106</f>
        <v/>
      </c>
      <c r="AH1106" s="81">
        <f>SUMIFS([1]инфо!$E$15:$E$28,[1]инфо!$A$15:$A$28,F1106)</f>
        <v/>
      </c>
      <c r="AI1106" s="85">
        <f>IF(H1105=0,0,S1106/H1105)</f>
        <v/>
      </c>
      <c r="AJ1106" s="82">
        <f>AI1106-AH1106</f>
        <v/>
      </c>
      <c r="AK1106" s="81">
        <f>SUMIFS([1]инфо!$F$15:$F$28,[1]инфо!$A$15:$A$28,F1106)</f>
        <v/>
      </c>
      <c r="AL1106" s="64">
        <f>IF(H1106=0,0,Y1106/H1106)</f>
        <v/>
      </c>
      <c r="AM1106" s="82">
        <f>AL1106-AK1106</f>
        <v/>
      </c>
      <c r="AN1106" s="81">
        <f>SUMIFS([1]инфо!$G$15:$G$28,[1]инфо!$A$15:$A$28,F1106)</f>
        <v/>
      </c>
      <c r="AO1106" s="64">
        <f>IF(H1106=0,0,AA1106/H1106)</f>
        <v/>
      </c>
      <c r="AP1106" s="82">
        <f>AO1106-AN1106</f>
        <v/>
      </c>
      <c r="AQ1106" s="81">
        <f>SUMIFS([1]инфо!$H$15:$H$28,[1]инфо!$A$15:$A$28,F1106)</f>
        <v/>
      </c>
      <c r="AR1106" s="85">
        <f>IF(H1105=0,0,AC1106/H1105)</f>
        <v/>
      </c>
      <c r="AS1106" s="82">
        <f>AR1106-AQ1106</f>
        <v/>
      </c>
      <c r="AT1106" s="81">
        <f>SUMIFS([1]инфо!$I$15:$I$28,[1]инфо!$A$15:$A$28,F1106)</f>
        <v/>
      </c>
      <c r="AU1106" s="62">
        <f>IF(H1106=0,0,AD1106/H1106)</f>
        <v/>
      </c>
      <c r="AV1106" s="82">
        <f>AU1106-AT1106</f>
        <v/>
      </c>
      <c r="AX1106" s="80">
        <f>SUMIFS([1]инфо!$C$15:$C$28,[1]инфо!$A$15:$A$28,F1106)*H1105</f>
        <v/>
      </c>
    </row>
    <row r="1107">
      <c r="A1107" s="71">
        <f>A1105+1</f>
        <v/>
      </c>
      <c r="B1107" s="89" t="n"/>
      <c r="C1107" s="72" t="n"/>
      <c r="D1107" s="73" t="n"/>
      <c r="E1107" s="91" t="n"/>
      <c r="F1107" s="67" t="n"/>
      <c r="G1107" s="74" t="n"/>
      <c r="H1107" s="55" t="n"/>
      <c r="I1107" s="55" t="n"/>
      <c r="J1107" s="55" t="n"/>
      <c r="K1107" s="55" t="n"/>
      <c r="L1107" s="55" t="n"/>
      <c r="M1107" s="55" t="n"/>
      <c r="N1107" s="67" t="n"/>
      <c r="O1107" s="74" t="n"/>
      <c r="P1107" s="74" t="n"/>
      <c r="Q1107" s="74" t="n"/>
      <c r="R1107" s="74" t="n"/>
      <c r="S1107" s="70">
        <f>SUM(O1107:R1107)</f>
        <v/>
      </c>
      <c r="T1107" s="72" t="n"/>
      <c r="U1107" s="73" t="n"/>
      <c r="V1107" s="74" t="n"/>
      <c r="W1107" s="74" t="n"/>
      <c r="X1107" s="74" t="n"/>
      <c r="Y1107" s="72" t="n"/>
      <c r="Z1107" s="74" t="n"/>
      <c r="AA1107" s="74" t="n"/>
      <c r="AB1107" s="74" t="n"/>
      <c r="AC1107" s="74" t="n"/>
      <c r="AD1107" s="73" t="n"/>
      <c r="AE1107" s="75">
        <f>SUMIFS([1]инфо!$D$15:$D$28,[1]инфо!$A$15:$A$28,F1107)</f>
        <v/>
      </c>
      <c r="AF1107" s="62">
        <f>IF(H1107=0,0,N1107/H1107)</f>
        <v/>
      </c>
      <c r="AG1107" s="76">
        <f>AF1107-AE1107</f>
        <v/>
      </c>
      <c r="AH1107" s="75">
        <f>SUMIFS([1]инфо!$E$15:$E$28,[1]инфо!$A$15:$A$28,F1107)</f>
        <v/>
      </c>
      <c r="AI1107" s="64">
        <f>IF(H1106=0,0,S1107/H1106)</f>
        <v/>
      </c>
      <c r="AJ1107" s="76">
        <f>AI1107-AH1107</f>
        <v/>
      </c>
      <c r="AK1107" s="75">
        <f>SUMIFS([1]инфо!$F$15:$F$28,[1]инфо!$A$15:$A$28,F1107)</f>
        <v/>
      </c>
      <c r="AL1107" s="64">
        <f>IF(H1107=0,0,Y1107/H1107)</f>
        <v/>
      </c>
      <c r="AM1107" s="76">
        <f>AL1107-AK1107</f>
        <v/>
      </c>
      <c r="AN1107" s="75">
        <f>SUMIFS([1]инфо!$G$15:$G$28,[1]инфо!$A$15:$A$28,F1107)</f>
        <v/>
      </c>
      <c r="AO1107" s="64">
        <f>IF(H1107=0,0,AA1107/H1107)</f>
        <v/>
      </c>
      <c r="AP1107" s="76">
        <f>AO1107-AN1107</f>
        <v/>
      </c>
      <c r="AQ1107" s="75">
        <f>SUMIFS([1]инфо!$H$15:$H$28,[1]инфо!$A$15:$A$28,F1107)</f>
        <v/>
      </c>
      <c r="AR1107" s="64">
        <f>IF(H1106=0,0,AC1107/H1106)</f>
        <v/>
      </c>
      <c r="AS1107" s="76">
        <f>AR1107-AQ1107</f>
        <v/>
      </c>
      <c r="AT1107" s="75">
        <f>SUMIFS([1]инфо!$I$15:$I$28,[1]инфо!$A$15:$A$28,F1107)</f>
        <v/>
      </c>
      <c r="AU1107" s="62">
        <f>IF(H1107=0,0,AD1107/H1107)</f>
        <v/>
      </c>
      <c r="AV1107" s="76">
        <f>AU1107-AT1107</f>
        <v/>
      </c>
      <c r="AX1107" s="70">
        <f>SUMIFS([1]инфо!$C$15:$C$28,[1]инфо!$A$15:$A$28,F1107)*H1106</f>
        <v/>
      </c>
    </row>
    <row r="1108">
      <c r="A1108" s="71">
        <f>A1106+1</f>
        <v/>
      </c>
      <c r="B1108" s="90" t="n"/>
      <c r="C1108" s="52" t="n"/>
      <c r="D1108" s="53" t="n"/>
      <c r="E1108" s="91" t="n"/>
      <c r="F1108" s="67" t="n"/>
      <c r="G1108" s="58" t="n"/>
      <c r="H1108" s="55" t="n"/>
      <c r="I1108" s="55" t="n"/>
      <c r="J1108" s="55" t="n"/>
      <c r="K1108" s="55" t="n"/>
      <c r="L1108" s="55" t="n"/>
      <c r="M1108" s="55" t="n"/>
      <c r="N1108" s="55" t="n"/>
      <c r="O1108" s="58" t="n"/>
      <c r="P1108" s="58" t="n"/>
      <c r="Q1108" s="58" t="n"/>
      <c r="R1108" s="58" t="n"/>
      <c r="S1108" s="59">
        <f>SUM(O1108:R1108)</f>
        <v/>
      </c>
      <c r="T1108" s="52" t="n"/>
      <c r="U1108" s="53" t="n"/>
      <c r="V1108" s="58" t="n"/>
      <c r="W1108" s="58" t="n"/>
      <c r="X1108" s="58" t="n"/>
      <c r="Y1108" s="52" t="n"/>
      <c r="Z1108" s="58" t="n"/>
      <c r="AA1108" s="58" t="n"/>
      <c r="AB1108" s="58" t="n"/>
      <c r="AC1108" s="58" t="n"/>
      <c r="AD1108" s="53" t="n"/>
      <c r="AE1108" s="61">
        <f>SUMIFS([1]инфо!$D$15:$D$28,[1]инфо!$A$15:$A$28,F1108)</f>
        <v/>
      </c>
      <c r="AF1108" s="62">
        <f>IF(H1108=0,0,N1108/H1108)</f>
        <v/>
      </c>
      <c r="AG1108" s="63">
        <f>AF1108-AE1108</f>
        <v/>
      </c>
      <c r="AH1108" s="61">
        <f>SUMIFS([1]инфо!$E$15:$E$28,[1]инфо!$A$15:$A$28,F1108)</f>
        <v/>
      </c>
      <c r="AI1108" s="62">
        <f>IF(H1107=0,0,S1108/H1107)</f>
        <v/>
      </c>
      <c r="AJ1108" s="63">
        <f>AI1108-AH1108</f>
        <v/>
      </c>
      <c r="AK1108" s="61">
        <f>SUMIFS([1]инфо!$F$15:$F$28,[1]инфо!$A$15:$A$28,F1108)</f>
        <v/>
      </c>
      <c r="AL1108" s="64">
        <f>IF(H1108=0,0,Y1108/H1108)</f>
        <v/>
      </c>
      <c r="AM1108" s="63">
        <f>AL1108-AK1108</f>
        <v/>
      </c>
      <c r="AN1108" s="61">
        <f>SUMIFS([1]инфо!$G$15:$G$28,[1]инфо!$A$15:$A$28,F1108)</f>
        <v/>
      </c>
      <c r="AO1108" s="64">
        <f>IF(H1108=0,0,AA1108/H1108)</f>
        <v/>
      </c>
      <c r="AP1108" s="63">
        <f>AO1108-AN1108</f>
        <v/>
      </c>
      <c r="AQ1108" s="61">
        <f>SUMIFS([1]инфо!$H$15:$H$28,[1]инфо!$A$15:$A$28,F1108)</f>
        <v/>
      </c>
      <c r="AR1108" s="62">
        <f>IF(H1107=0,0,AC1108/H1107)</f>
        <v/>
      </c>
      <c r="AS1108" s="63">
        <f>AR1108-AQ1108</f>
        <v/>
      </c>
      <c r="AT1108" s="61">
        <f>SUMIFS([1]инфо!$I$15:$I$28,[1]инфо!$A$15:$A$28,F1108)</f>
        <v/>
      </c>
      <c r="AU1108" s="62">
        <f>IF(H1108=0,0,AD1108/H1108)</f>
        <v/>
      </c>
      <c r="AV1108" s="63">
        <f>AU1108-AT1108</f>
        <v/>
      </c>
      <c r="AX1108" s="59">
        <f>SUMIFS([1]инфо!$C$15:$C$28,[1]инфо!$A$15:$A$28,F1108)*H1107</f>
        <v/>
      </c>
    </row>
    <row r="1109">
      <c r="A1109" s="71">
        <f>A1107+1</f>
        <v/>
      </c>
      <c r="B1109" s="90" t="n"/>
      <c r="C1109" s="52" t="n"/>
      <c r="D1109" s="53" t="n"/>
      <c r="E1109" s="91" t="n"/>
      <c r="F1109" s="67" t="n"/>
      <c r="G1109" s="58" t="n"/>
      <c r="H1109" s="56" t="n"/>
      <c r="I1109" s="55" t="n"/>
      <c r="J1109" s="55" t="n"/>
      <c r="K1109" s="55" t="n"/>
      <c r="L1109" s="55" t="n"/>
      <c r="M1109" s="55" t="n"/>
      <c r="N1109" s="55" t="n"/>
      <c r="O1109" s="58" t="n"/>
      <c r="P1109" s="58" t="n"/>
      <c r="Q1109" s="58" t="n"/>
      <c r="R1109" s="58" t="n"/>
      <c r="S1109" s="59">
        <f>SUM(O1109:R1109)</f>
        <v/>
      </c>
      <c r="T1109" s="52" t="n"/>
      <c r="U1109" s="53" t="n"/>
      <c r="V1109" s="58" t="n"/>
      <c r="W1109" s="58" t="n"/>
      <c r="X1109" s="58" t="n"/>
      <c r="Y1109" s="52" t="n"/>
      <c r="Z1109" s="58" t="n"/>
      <c r="AA1109" s="58" t="n"/>
      <c r="AB1109" s="58" t="n"/>
      <c r="AC1109" s="58" t="n"/>
      <c r="AD1109" s="53" t="n"/>
      <c r="AE1109" s="61">
        <f>SUMIFS([1]инфо!$D$15:$D$28,[1]инфо!$A$15:$A$28,F1109)</f>
        <v/>
      </c>
      <c r="AF1109" s="62">
        <f>IF(H1109=0,0,N1109/H1109)</f>
        <v/>
      </c>
      <c r="AG1109" s="63">
        <f>AF1109-AE1109</f>
        <v/>
      </c>
      <c r="AH1109" s="61">
        <f>SUMIFS([1]инфо!$E$15:$E$28,[1]инфо!$A$15:$A$28,F1109)</f>
        <v/>
      </c>
      <c r="AI1109" s="62">
        <f>IF(H1108=0,0,S1109/H1108)</f>
        <v/>
      </c>
      <c r="AJ1109" s="63">
        <f>AI1109-AH1109</f>
        <v/>
      </c>
      <c r="AK1109" s="61">
        <f>SUMIFS([1]инфо!$F$15:$F$28,[1]инфо!$A$15:$A$28,F1109)</f>
        <v/>
      </c>
      <c r="AL1109" s="64">
        <f>IF(H1109=0,0,Y1109/H1109)</f>
        <v/>
      </c>
      <c r="AM1109" s="63">
        <f>AL1109-AK1109</f>
        <v/>
      </c>
      <c r="AN1109" s="61">
        <f>SUMIFS([1]инфо!$G$15:$G$28,[1]инфо!$A$15:$A$28,F1109)</f>
        <v/>
      </c>
      <c r="AO1109" s="64">
        <f>IF(H1109=0,0,AA1109/H1109)</f>
        <v/>
      </c>
      <c r="AP1109" s="63">
        <f>AO1109-AN1109</f>
        <v/>
      </c>
      <c r="AQ1109" s="61">
        <f>SUMIFS([1]инфо!$H$15:$H$28,[1]инфо!$A$15:$A$28,F1109)</f>
        <v/>
      </c>
      <c r="AR1109" s="62">
        <f>IF(H1108=0,0,AC1109/H1108)</f>
        <v/>
      </c>
      <c r="AS1109" s="63">
        <f>AR1109-AQ1109</f>
        <v/>
      </c>
      <c r="AT1109" s="61">
        <f>SUMIFS([1]инфо!$I$15:$I$28,[1]инфо!$A$15:$A$28,F1109)</f>
        <v/>
      </c>
      <c r="AU1109" s="62">
        <f>IF(H1109=0,0,AD1109/H1109)</f>
        <v/>
      </c>
      <c r="AV1109" s="63">
        <f>AU1109-AT1109</f>
        <v/>
      </c>
      <c r="AX1109" s="59">
        <f>SUMIFS([1]инфо!$C$15:$C$28,[1]инфо!$A$15:$A$28,F1109)*H1108</f>
        <v/>
      </c>
    </row>
    <row r="1110">
      <c r="A1110" s="71">
        <f>A1108+1</f>
        <v/>
      </c>
      <c r="B1110" s="88" t="n"/>
      <c r="C1110" s="77" t="n"/>
      <c r="D1110" s="78" t="n"/>
      <c r="E1110" s="91" t="n"/>
      <c r="F1110" s="67" t="n"/>
      <c r="G1110" s="79" t="n"/>
      <c r="H1110" s="67" t="n"/>
      <c r="I1110" s="55" t="n"/>
      <c r="J1110" s="55" t="n"/>
      <c r="K1110" s="55" t="n"/>
      <c r="L1110" s="55" t="n"/>
      <c r="M1110" s="55" t="n"/>
      <c r="N1110" s="56" t="n"/>
      <c r="O1110" s="79" t="n"/>
      <c r="P1110" s="79" t="n"/>
      <c r="Q1110" s="79" t="n"/>
      <c r="R1110" s="79" t="n"/>
      <c r="S1110" s="80">
        <f>SUM(O1110:R1110)</f>
        <v/>
      </c>
      <c r="T1110" s="77" t="n"/>
      <c r="U1110" s="78" t="n"/>
      <c r="V1110" s="79" t="n"/>
      <c r="W1110" s="79" t="n"/>
      <c r="X1110" s="79" t="n"/>
      <c r="Y1110" s="77" t="n"/>
      <c r="Z1110" s="79" t="n"/>
      <c r="AA1110" s="79" t="n"/>
      <c r="AB1110" s="79" t="n"/>
      <c r="AC1110" s="79" t="n"/>
      <c r="AD1110" s="78" t="n"/>
      <c r="AE1110" s="81">
        <f>SUMIFS([1]инфо!$D$15:$D$28,[1]инфо!$A$15:$A$28,F1110)</f>
        <v/>
      </c>
      <c r="AF1110" s="62">
        <f>IF(H1110=0,0,N1110/H1110)</f>
        <v/>
      </c>
      <c r="AG1110" s="82">
        <f>AF1110-AE1110</f>
        <v/>
      </c>
      <c r="AH1110" s="81">
        <f>SUMIFS([1]инфо!$E$15:$E$28,[1]инфо!$A$15:$A$28,F1110)</f>
        <v/>
      </c>
      <c r="AI1110" s="85">
        <f>IF(H1109=0,0,S1110/H1109)</f>
        <v/>
      </c>
      <c r="AJ1110" s="82">
        <f>AI1110-AH1110</f>
        <v/>
      </c>
      <c r="AK1110" s="81">
        <f>SUMIFS([1]инфо!$F$15:$F$28,[1]инфо!$A$15:$A$28,F1110)</f>
        <v/>
      </c>
      <c r="AL1110" s="64">
        <f>IF(H1110=0,0,Y1110/H1110)</f>
        <v/>
      </c>
      <c r="AM1110" s="82">
        <f>AL1110-AK1110</f>
        <v/>
      </c>
      <c r="AN1110" s="81">
        <f>SUMIFS([1]инфо!$G$15:$G$28,[1]инфо!$A$15:$A$28,F1110)</f>
        <v/>
      </c>
      <c r="AO1110" s="64">
        <f>IF(H1110=0,0,AA1110/H1110)</f>
        <v/>
      </c>
      <c r="AP1110" s="82">
        <f>AO1110-AN1110</f>
        <v/>
      </c>
      <c r="AQ1110" s="81">
        <f>SUMIFS([1]инфо!$H$15:$H$28,[1]инфо!$A$15:$A$28,F1110)</f>
        <v/>
      </c>
      <c r="AR1110" s="85">
        <f>IF(H1109=0,0,AC1110/H1109)</f>
        <v/>
      </c>
      <c r="AS1110" s="82">
        <f>AR1110-AQ1110</f>
        <v/>
      </c>
      <c r="AT1110" s="81">
        <f>SUMIFS([1]инфо!$I$15:$I$28,[1]инфо!$A$15:$A$28,F1110)</f>
        <v/>
      </c>
      <c r="AU1110" s="62">
        <f>IF(H1110=0,0,AD1110/H1110)</f>
        <v/>
      </c>
      <c r="AV1110" s="82">
        <f>AU1110-AT1110</f>
        <v/>
      </c>
      <c r="AX1110" s="80">
        <f>SUMIFS([1]инфо!$C$15:$C$28,[1]инфо!$A$15:$A$28,F1110)*H1109</f>
        <v/>
      </c>
    </row>
    <row r="1111">
      <c r="A1111" s="71">
        <f>A1109+1</f>
        <v/>
      </c>
      <c r="B1111" s="89" t="n"/>
      <c r="C1111" s="72" t="n"/>
      <c r="D1111" s="73" t="n"/>
      <c r="E1111" s="91" t="n"/>
      <c r="F1111" s="67" t="n"/>
      <c r="G1111" s="74" t="n"/>
      <c r="H1111" s="55" t="n"/>
      <c r="I1111" s="55" t="n"/>
      <c r="J1111" s="55" t="n"/>
      <c r="K1111" s="55" t="n"/>
      <c r="L1111" s="55" t="n"/>
      <c r="M1111" s="55" t="n"/>
      <c r="N1111" s="67" t="n"/>
      <c r="O1111" s="74" t="n"/>
      <c r="P1111" s="74" t="n"/>
      <c r="Q1111" s="74" t="n"/>
      <c r="R1111" s="74" t="n"/>
      <c r="S1111" s="70">
        <f>SUM(O1111:R1111)</f>
        <v/>
      </c>
      <c r="T1111" s="72" t="n"/>
      <c r="U1111" s="73" t="n"/>
      <c r="V1111" s="74" t="n"/>
      <c r="W1111" s="74" t="n"/>
      <c r="X1111" s="74" t="n"/>
      <c r="Y1111" s="72" t="n"/>
      <c r="Z1111" s="74" t="n"/>
      <c r="AA1111" s="74" t="n"/>
      <c r="AB1111" s="74" t="n"/>
      <c r="AC1111" s="74" t="n"/>
      <c r="AD1111" s="73" t="n"/>
      <c r="AE1111" s="75">
        <f>SUMIFS([1]инфо!$D$15:$D$28,[1]инфо!$A$15:$A$28,F1111)</f>
        <v/>
      </c>
      <c r="AF1111" s="62">
        <f>IF(H1111=0,0,N1111/H1111)</f>
        <v/>
      </c>
      <c r="AG1111" s="76">
        <f>AF1111-AE1111</f>
        <v/>
      </c>
      <c r="AH1111" s="75">
        <f>SUMIFS([1]инфо!$E$15:$E$28,[1]инфо!$A$15:$A$28,F1111)</f>
        <v/>
      </c>
      <c r="AI1111" s="64">
        <f>IF(H1110=0,0,S1111/H1110)</f>
        <v/>
      </c>
      <c r="AJ1111" s="76">
        <f>AI1111-AH1111</f>
        <v/>
      </c>
      <c r="AK1111" s="75">
        <f>SUMIFS([1]инфо!$F$15:$F$28,[1]инфо!$A$15:$A$28,F1111)</f>
        <v/>
      </c>
      <c r="AL1111" s="64">
        <f>IF(H1111=0,0,Y1111/H1111)</f>
        <v/>
      </c>
      <c r="AM1111" s="76">
        <f>AL1111-AK1111</f>
        <v/>
      </c>
      <c r="AN1111" s="75">
        <f>SUMIFS([1]инфо!$G$15:$G$28,[1]инфо!$A$15:$A$28,F1111)</f>
        <v/>
      </c>
      <c r="AO1111" s="64">
        <f>IF(H1111=0,0,AA1111/H1111)</f>
        <v/>
      </c>
      <c r="AP1111" s="76">
        <f>AO1111-AN1111</f>
        <v/>
      </c>
      <c r="AQ1111" s="75">
        <f>SUMIFS([1]инфо!$H$15:$H$28,[1]инфо!$A$15:$A$28,F1111)</f>
        <v/>
      </c>
      <c r="AR1111" s="64">
        <f>IF(H1110=0,0,AC1111/H1110)</f>
        <v/>
      </c>
      <c r="AS1111" s="76">
        <f>AR1111-AQ1111</f>
        <v/>
      </c>
      <c r="AT1111" s="75">
        <f>SUMIFS([1]инфо!$I$15:$I$28,[1]инфо!$A$15:$A$28,F1111)</f>
        <v/>
      </c>
      <c r="AU1111" s="62">
        <f>IF(H1111=0,0,AD1111/H1111)</f>
        <v/>
      </c>
      <c r="AV1111" s="76">
        <f>AU1111-AT1111</f>
        <v/>
      </c>
      <c r="AX1111" s="70">
        <f>SUMIFS([1]инфо!$C$15:$C$28,[1]инфо!$A$15:$A$28,F1111)*H1110</f>
        <v/>
      </c>
    </row>
    <row r="1112">
      <c r="A1112" s="71">
        <f>A1110+1</f>
        <v/>
      </c>
      <c r="B1112" s="90" t="n"/>
      <c r="C1112" s="52" t="n"/>
      <c r="D1112" s="53" t="n"/>
      <c r="E1112" s="91" t="n"/>
      <c r="F1112" s="67" t="n"/>
      <c r="G1112" s="58" t="n"/>
      <c r="H1112" s="55" t="n"/>
      <c r="I1112" s="55" t="n"/>
      <c r="J1112" s="55" t="n"/>
      <c r="K1112" s="55" t="n"/>
      <c r="L1112" s="55" t="n"/>
      <c r="M1112" s="55" t="n"/>
      <c r="N1112" s="55" t="n"/>
      <c r="O1112" s="58" t="n"/>
      <c r="P1112" s="58" t="n"/>
      <c r="Q1112" s="58" t="n"/>
      <c r="R1112" s="58" t="n"/>
      <c r="S1112" s="59">
        <f>SUM(O1112:R1112)</f>
        <v/>
      </c>
      <c r="T1112" s="52" t="n"/>
      <c r="U1112" s="53" t="n"/>
      <c r="V1112" s="58" t="n"/>
      <c r="W1112" s="58" t="n"/>
      <c r="X1112" s="58" t="n"/>
      <c r="Y1112" s="52" t="n"/>
      <c r="Z1112" s="58" t="n"/>
      <c r="AA1112" s="58" t="n"/>
      <c r="AB1112" s="58" t="n"/>
      <c r="AC1112" s="58" t="n"/>
      <c r="AD1112" s="53" t="n"/>
      <c r="AE1112" s="61">
        <f>SUMIFS([1]инфо!$D$15:$D$28,[1]инфо!$A$15:$A$28,F1112)</f>
        <v/>
      </c>
      <c r="AF1112" s="62">
        <f>IF(H1112=0,0,N1112/H1112)</f>
        <v/>
      </c>
      <c r="AG1112" s="63">
        <f>AF1112-AE1112</f>
        <v/>
      </c>
      <c r="AH1112" s="61">
        <f>SUMIFS([1]инфо!$E$15:$E$28,[1]инфо!$A$15:$A$28,F1112)</f>
        <v/>
      </c>
      <c r="AI1112" s="62">
        <f>IF(H1111=0,0,S1112/H1111)</f>
        <v/>
      </c>
      <c r="AJ1112" s="63">
        <f>AI1112-AH1112</f>
        <v/>
      </c>
      <c r="AK1112" s="61">
        <f>SUMIFS([1]инфо!$F$15:$F$28,[1]инфо!$A$15:$A$28,F1112)</f>
        <v/>
      </c>
      <c r="AL1112" s="64">
        <f>IF(H1112=0,0,Y1112/H1112)</f>
        <v/>
      </c>
      <c r="AM1112" s="63">
        <f>AL1112-AK1112</f>
        <v/>
      </c>
      <c r="AN1112" s="61">
        <f>SUMIFS([1]инфо!$G$15:$G$28,[1]инфо!$A$15:$A$28,F1112)</f>
        <v/>
      </c>
      <c r="AO1112" s="64">
        <f>IF(H1112=0,0,AA1112/H1112)</f>
        <v/>
      </c>
      <c r="AP1112" s="63">
        <f>AO1112-AN1112</f>
        <v/>
      </c>
      <c r="AQ1112" s="61">
        <f>SUMIFS([1]инфо!$H$15:$H$28,[1]инфо!$A$15:$A$28,F1112)</f>
        <v/>
      </c>
      <c r="AR1112" s="62">
        <f>IF(H1111=0,0,AC1112/H1111)</f>
        <v/>
      </c>
      <c r="AS1112" s="63">
        <f>AR1112-AQ1112</f>
        <v/>
      </c>
      <c r="AT1112" s="61">
        <f>SUMIFS([1]инфо!$I$15:$I$28,[1]инфо!$A$15:$A$28,F1112)</f>
        <v/>
      </c>
      <c r="AU1112" s="62">
        <f>IF(H1112=0,0,AD1112/H1112)</f>
        <v/>
      </c>
      <c r="AV1112" s="63">
        <f>AU1112-AT1112</f>
        <v/>
      </c>
      <c r="AX1112" s="59">
        <f>SUMIFS([1]инфо!$C$15:$C$28,[1]инфо!$A$15:$A$28,F1112)*H1111</f>
        <v/>
      </c>
    </row>
    <row r="1113">
      <c r="A1113" s="71">
        <f>A1111+1</f>
        <v/>
      </c>
      <c r="B1113" s="90" t="n"/>
      <c r="C1113" s="52" t="n"/>
      <c r="D1113" s="53" t="n"/>
      <c r="E1113" s="91" t="n"/>
      <c r="F1113" s="67" t="n"/>
      <c r="G1113" s="58" t="n"/>
      <c r="H1113" s="56" t="n"/>
      <c r="I1113" s="55" t="n"/>
      <c r="J1113" s="55" t="n"/>
      <c r="K1113" s="55" t="n"/>
      <c r="L1113" s="55" t="n"/>
      <c r="M1113" s="55" t="n"/>
      <c r="N1113" s="55" t="n"/>
      <c r="O1113" s="58" t="n"/>
      <c r="P1113" s="58" t="n"/>
      <c r="Q1113" s="58" t="n"/>
      <c r="R1113" s="58" t="n"/>
      <c r="S1113" s="59">
        <f>SUM(O1113:R1113)</f>
        <v/>
      </c>
      <c r="T1113" s="52" t="n"/>
      <c r="U1113" s="53" t="n"/>
      <c r="V1113" s="58" t="n"/>
      <c r="W1113" s="58" t="n"/>
      <c r="X1113" s="58" t="n"/>
      <c r="Y1113" s="52" t="n"/>
      <c r="Z1113" s="58" t="n"/>
      <c r="AA1113" s="58" t="n"/>
      <c r="AB1113" s="58" t="n"/>
      <c r="AC1113" s="58" t="n"/>
      <c r="AD1113" s="53" t="n"/>
      <c r="AE1113" s="61">
        <f>SUMIFS([1]инфо!$D$15:$D$28,[1]инфо!$A$15:$A$28,F1113)</f>
        <v/>
      </c>
      <c r="AF1113" s="62">
        <f>IF(H1113=0,0,N1113/H1113)</f>
        <v/>
      </c>
      <c r="AG1113" s="63">
        <f>AF1113-AE1113</f>
        <v/>
      </c>
      <c r="AH1113" s="61">
        <f>SUMIFS([1]инфо!$E$15:$E$28,[1]инфо!$A$15:$A$28,F1113)</f>
        <v/>
      </c>
      <c r="AI1113" s="62">
        <f>IF(H1112=0,0,S1113/H1112)</f>
        <v/>
      </c>
      <c r="AJ1113" s="63">
        <f>AI1113-AH1113</f>
        <v/>
      </c>
      <c r="AK1113" s="61">
        <f>SUMIFS([1]инфо!$F$15:$F$28,[1]инфо!$A$15:$A$28,F1113)</f>
        <v/>
      </c>
      <c r="AL1113" s="64">
        <f>IF(H1113=0,0,Y1113/H1113)</f>
        <v/>
      </c>
      <c r="AM1113" s="63">
        <f>AL1113-AK1113</f>
        <v/>
      </c>
      <c r="AN1113" s="61">
        <f>SUMIFS([1]инфо!$G$15:$G$28,[1]инфо!$A$15:$A$28,F1113)</f>
        <v/>
      </c>
      <c r="AO1113" s="64">
        <f>IF(H1113=0,0,AA1113/H1113)</f>
        <v/>
      </c>
      <c r="AP1113" s="63">
        <f>AO1113-AN1113</f>
        <v/>
      </c>
      <c r="AQ1113" s="61">
        <f>SUMIFS([1]инфо!$H$15:$H$28,[1]инфо!$A$15:$A$28,F1113)</f>
        <v/>
      </c>
      <c r="AR1113" s="62">
        <f>IF(H1112=0,0,AC1113/H1112)</f>
        <v/>
      </c>
      <c r="AS1113" s="63">
        <f>AR1113-AQ1113</f>
        <v/>
      </c>
      <c r="AT1113" s="61">
        <f>SUMIFS([1]инфо!$I$15:$I$28,[1]инфо!$A$15:$A$28,F1113)</f>
        <v/>
      </c>
      <c r="AU1113" s="62">
        <f>IF(H1113=0,0,AD1113/H1113)</f>
        <v/>
      </c>
      <c r="AV1113" s="63">
        <f>AU1113-AT1113</f>
        <v/>
      </c>
      <c r="AX1113" s="59">
        <f>SUMIFS([1]инфо!$C$15:$C$28,[1]инфо!$A$15:$A$28,F1113)*H1112</f>
        <v/>
      </c>
    </row>
    <row r="1114">
      <c r="A1114" s="71">
        <f>A1112+1</f>
        <v/>
      </c>
      <c r="B1114" s="88" t="n"/>
      <c r="C1114" s="77" t="n"/>
      <c r="D1114" s="78" t="n"/>
      <c r="E1114" s="91" t="n"/>
      <c r="F1114" s="67" t="n"/>
      <c r="G1114" s="79" t="n"/>
      <c r="H1114" s="67" t="n"/>
      <c r="I1114" s="55" t="n"/>
      <c r="J1114" s="55" t="n"/>
      <c r="K1114" s="55" t="n"/>
      <c r="L1114" s="55" t="n"/>
      <c r="M1114" s="55" t="n"/>
      <c r="N1114" s="56" t="n"/>
      <c r="O1114" s="79" t="n"/>
      <c r="P1114" s="79" t="n"/>
      <c r="Q1114" s="79" t="n"/>
      <c r="R1114" s="79" t="n"/>
      <c r="S1114" s="80">
        <f>SUM(O1114:R1114)</f>
        <v/>
      </c>
      <c r="T1114" s="77" t="n"/>
      <c r="U1114" s="78" t="n"/>
      <c r="V1114" s="79" t="n"/>
      <c r="W1114" s="79" t="n"/>
      <c r="X1114" s="79" t="n"/>
      <c r="Y1114" s="77" t="n"/>
      <c r="Z1114" s="79" t="n"/>
      <c r="AA1114" s="79" t="n"/>
      <c r="AB1114" s="79" t="n"/>
      <c r="AC1114" s="79" t="n"/>
      <c r="AD1114" s="78" t="n"/>
      <c r="AE1114" s="81">
        <f>SUMIFS([1]инфо!$D$15:$D$28,[1]инфо!$A$15:$A$28,F1114)</f>
        <v/>
      </c>
      <c r="AF1114" s="62">
        <f>IF(H1114=0,0,N1114/H1114)</f>
        <v/>
      </c>
      <c r="AG1114" s="82">
        <f>AF1114-AE1114</f>
        <v/>
      </c>
      <c r="AH1114" s="81">
        <f>SUMIFS([1]инфо!$E$15:$E$28,[1]инфо!$A$15:$A$28,F1114)</f>
        <v/>
      </c>
      <c r="AI1114" s="85">
        <f>IF(H1113=0,0,S1114/H1113)</f>
        <v/>
      </c>
      <c r="AJ1114" s="82">
        <f>AI1114-AH1114</f>
        <v/>
      </c>
      <c r="AK1114" s="81">
        <f>SUMIFS([1]инфо!$F$15:$F$28,[1]инфо!$A$15:$A$28,F1114)</f>
        <v/>
      </c>
      <c r="AL1114" s="64">
        <f>IF(H1114=0,0,Y1114/H1114)</f>
        <v/>
      </c>
      <c r="AM1114" s="82">
        <f>AL1114-AK1114</f>
        <v/>
      </c>
      <c r="AN1114" s="81">
        <f>SUMIFS([1]инфо!$G$15:$G$28,[1]инфо!$A$15:$A$28,F1114)</f>
        <v/>
      </c>
      <c r="AO1114" s="64">
        <f>IF(H1114=0,0,AA1114/H1114)</f>
        <v/>
      </c>
      <c r="AP1114" s="82">
        <f>AO1114-AN1114</f>
        <v/>
      </c>
      <c r="AQ1114" s="81">
        <f>SUMIFS([1]инфо!$H$15:$H$28,[1]инфо!$A$15:$A$28,F1114)</f>
        <v/>
      </c>
      <c r="AR1114" s="85">
        <f>IF(H1113=0,0,AC1114/H1113)</f>
        <v/>
      </c>
      <c r="AS1114" s="82">
        <f>AR1114-AQ1114</f>
        <v/>
      </c>
      <c r="AT1114" s="81">
        <f>SUMIFS([1]инфо!$I$15:$I$28,[1]инфо!$A$15:$A$28,F1114)</f>
        <v/>
      </c>
      <c r="AU1114" s="62">
        <f>IF(H1114=0,0,AD1114/H1114)</f>
        <v/>
      </c>
      <c r="AV1114" s="82">
        <f>AU1114-AT1114</f>
        <v/>
      </c>
      <c r="AX1114" s="80">
        <f>SUMIFS([1]инфо!$C$15:$C$28,[1]инфо!$A$15:$A$28,F1114)*H1113</f>
        <v/>
      </c>
    </row>
    <row r="1115">
      <c r="A1115" s="71">
        <f>A1113+1</f>
        <v/>
      </c>
      <c r="B1115" s="89" t="n"/>
      <c r="C1115" s="72" t="n"/>
      <c r="D1115" s="73" t="n"/>
      <c r="E1115" s="91" t="n"/>
      <c r="F1115" s="67" t="n"/>
      <c r="G1115" s="74" t="n"/>
      <c r="H1115" s="55" t="n"/>
      <c r="I1115" s="55" t="n"/>
      <c r="J1115" s="55" t="n"/>
      <c r="K1115" s="55" t="n"/>
      <c r="L1115" s="55" t="n"/>
      <c r="M1115" s="55" t="n"/>
      <c r="N1115" s="67" t="n"/>
      <c r="O1115" s="74" t="n"/>
      <c r="P1115" s="74" t="n"/>
      <c r="Q1115" s="74" t="n"/>
      <c r="R1115" s="74" t="n"/>
      <c r="S1115" s="70">
        <f>SUM(O1115:R1115)</f>
        <v/>
      </c>
      <c r="T1115" s="72" t="n"/>
      <c r="U1115" s="73" t="n"/>
      <c r="V1115" s="74" t="n"/>
      <c r="W1115" s="74" t="n"/>
      <c r="X1115" s="74" t="n"/>
      <c r="Y1115" s="72" t="n"/>
      <c r="Z1115" s="74" t="n"/>
      <c r="AA1115" s="74" t="n"/>
      <c r="AB1115" s="74" t="n"/>
      <c r="AC1115" s="74" t="n"/>
      <c r="AD1115" s="73" t="n"/>
      <c r="AE1115" s="75">
        <f>SUMIFS([1]инфо!$D$15:$D$28,[1]инфо!$A$15:$A$28,F1115)</f>
        <v/>
      </c>
      <c r="AF1115" s="62">
        <f>IF(H1115=0,0,N1115/H1115)</f>
        <v/>
      </c>
      <c r="AG1115" s="76">
        <f>AF1115-AE1115</f>
        <v/>
      </c>
      <c r="AH1115" s="75">
        <f>SUMIFS([1]инфо!$E$15:$E$28,[1]инфо!$A$15:$A$28,F1115)</f>
        <v/>
      </c>
      <c r="AI1115" s="64">
        <f>IF(H1114=0,0,S1115/H1114)</f>
        <v/>
      </c>
      <c r="AJ1115" s="76">
        <f>AI1115-AH1115</f>
        <v/>
      </c>
      <c r="AK1115" s="75">
        <f>SUMIFS([1]инфо!$F$15:$F$28,[1]инфо!$A$15:$A$28,F1115)</f>
        <v/>
      </c>
      <c r="AL1115" s="64">
        <f>IF(H1115=0,0,Y1115/H1115)</f>
        <v/>
      </c>
      <c r="AM1115" s="76">
        <f>AL1115-AK1115</f>
        <v/>
      </c>
      <c r="AN1115" s="75">
        <f>SUMIFS([1]инфо!$G$15:$G$28,[1]инфо!$A$15:$A$28,F1115)</f>
        <v/>
      </c>
      <c r="AO1115" s="64">
        <f>IF(H1115=0,0,AA1115/H1115)</f>
        <v/>
      </c>
      <c r="AP1115" s="76">
        <f>AO1115-AN1115</f>
        <v/>
      </c>
      <c r="AQ1115" s="75">
        <f>SUMIFS([1]инфо!$H$15:$H$28,[1]инфо!$A$15:$A$28,F1115)</f>
        <v/>
      </c>
      <c r="AR1115" s="64">
        <f>IF(H1114=0,0,AC1115/H1114)</f>
        <v/>
      </c>
      <c r="AS1115" s="76">
        <f>AR1115-AQ1115</f>
        <v/>
      </c>
      <c r="AT1115" s="75">
        <f>SUMIFS([1]инфо!$I$15:$I$28,[1]инфо!$A$15:$A$28,F1115)</f>
        <v/>
      </c>
      <c r="AU1115" s="62">
        <f>IF(H1115=0,0,AD1115/H1115)</f>
        <v/>
      </c>
      <c r="AV1115" s="76">
        <f>AU1115-AT1115</f>
        <v/>
      </c>
      <c r="AX1115" s="70">
        <f>SUMIFS([1]инфо!$C$15:$C$28,[1]инфо!$A$15:$A$28,F1115)*H1114</f>
        <v/>
      </c>
    </row>
    <row r="1116">
      <c r="A1116" s="71">
        <f>A1114+1</f>
        <v/>
      </c>
      <c r="B1116" s="90" t="n"/>
      <c r="C1116" s="52" t="n"/>
      <c r="D1116" s="53" t="n"/>
      <c r="E1116" s="91" t="n"/>
      <c r="F1116" s="67" t="n"/>
      <c r="G1116" s="58" t="n"/>
      <c r="H1116" s="55" t="n"/>
      <c r="I1116" s="55" t="n"/>
      <c r="J1116" s="55" t="n"/>
      <c r="K1116" s="55" t="n"/>
      <c r="L1116" s="55" t="n"/>
      <c r="M1116" s="55" t="n"/>
      <c r="N1116" s="55" t="n"/>
      <c r="O1116" s="58" t="n"/>
      <c r="P1116" s="58" t="n"/>
      <c r="Q1116" s="58" t="n"/>
      <c r="R1116" s="58" t="n"/>
      <c r="S1116" s="59">
        <f>SUM(O1116:R1116)</f>
        <v/>
      </c>
      <c r="T1116" s="52" t="n"/>
      <c r="U1116" s="53" t="n"/>
      <c r="V1116" s="58" t="n"/>
      <c r="W1116" s="58" t="n"/>
      <c r="X1116" s="58" t="n"/>
      <c r="Y1116" s="52" t="n"/>
      <c r="Z1116" s="58" t="n"/>
      <c r="AA1116" s="58" t="n"/>
      <c r="AB1116" s="58" t="n"/>
      <c r="AC1116" s="58" t="n"/>
      <c r="AD1116" s="53" t="n"/>
      <c r="AE1116" s="61">
        <f>SUMIFS([1]инфо!$D$15:$D$28,[1]инфо!$A$15:$A$28,F1116)</f>
        <v/>
      </c>
      <c r="AF1116" s="62">
        <f>IF(H1116=0,0,N1116/H1116)</f>
        <v/>
      </c>
      <c r="AG1116" s="63">
        <f>AF1116-AE1116</f>
        <v/>
      </c>
      <c r="AH1116" s="61">
        <f>SUMIFS([1]инфо!$E$15:$E$28,[1]инфо!$A$15:$A$28,F1116)</f>
        <v/>
      </c>
      <c r="AI1116" s="62">
        <f>IF(H1115=0,0,S1116/H1115)</f>
        <v/>
      </c>
      <c r="AJ1116" s="63">
        <f>AI1116-AH1116</f>
        <v/>
      </c>
      <c r="AK1116" s="61">
        <f>SUMIFS([1]инфо!$F$15:$F$28,[1]инфо!$A$15:$A$28,F1116)</f>
        <v/>
      </c>
      <c r="AL1116" s="64">
        <f>IF(H1116=0,0,Y1116/H1116)</f>
        <v/>
      </c>
      <c r="AM1116" s="63">
        <f>AL1116-AK1116</f>
        <v/>
      </c>
      <c r="AN1116" s="61">
        <f>SUMIFS([1]инфо!$G$15:$G$28,[1]инфо!$A$15:$A$28,F1116)</f>
        <v/>
      </c>
      <c r="AO1116" s="64">
        <f>IF(H1116=0,0,AA1116/H1116)</f>
        <v/>
      </c>
      <c r="AP1116" s="63">
        <f>AO1116-AN1116</f>
        <v/>
      </c>
      <c r="AQ1116" s="61">
        <f>SUMIFS([1]инфо!$H$15:$H$28,[1]инфо!$A$15:$A$28,F1116)</f>
        <v/>
      </c>
      <c r="AR1116" s="62">
        <f>IF(H1115=0,0,AC1116/H1115)</f>
        <v/>
      </c>
      <c r="AS1116" s="63">
        <f>AR1116-AQ1116</f>
        <v/>
      </c>
      <c r="AT1116" s="61">
        <f>SUMIFS([1]инфо!$I$15:$I$28,[1]инфо!$A$15:$A$28,F1116)</f>
        <v/>
      </c>
      <c r="AU1116" s="62">
        <f>IF(H1116=0,0,AD1116/H1116)</f>
        <v/>
      </c>
      <c r="AV1116" s="63">
        <f>AU1116-AT1116</f>
        <v/>
      </c>
      <c r="AX1116" s="59">
        <f>SUMIFS([1]инфо!$C$15:$C$28,[1]инфо!$A$15:$A$28,F1116)*H1115</f>
        <v/>
      </c>
    </row>
    <row r="1117">
      <c r="A1117" s="71">
        <f>A1115+1</f>
        <v/>
      </c>
      <c r="B1117" s="90" t="n"/>
      <c r="C1117" s="52" t="n"/>
      <c r="D1117" s="53" t="n"/>
      <c r="E1117" s="91" t="n"/>
      <c r="F1117" s="67" t="n"/>
      <c r="G1117" s="58" t="n"/>
      <c r="H1117" s="56" t="n"/>
      <c r="I1117" s="55" t="n"/>
      <c r="J1117" s="55" t="n"/>
      <c r="K1117" s="55" t="n"/>
      <c r="L1117" s="55" t="n"/>
      <c r="M1117" s="55" t="n"/>
      <c r="N1117" s="55" t="n"/>
      <c r="O1117" s="58" t="n"/>
      <c r="P1117" s="58" t="n"/>
      <c r="Q1117" s="58" t="n"/>
      <c r="R1117" s="58" t="n"/>
      <c r="S1117" s="59">
        <f>SUM(O1117:R1117)</f>
        <v/>
      </c>
      <c r="T1117" s="52" t="n"/>
      <c r="U1117" s="53" t="n"/>
      <c r="V1117" s="58" t="n"/>
      <c r="W1117" s="58" t="n"/>
      <c r="X1117" s="58" t="n"/>
      <c r="Y1117" s="52" t="n"/>
      <c r="Z1117" s="58" t="n"/>
      <c r="AA1117" s="58" t="n"/>
      <c r="AB1117" s="58" t="n"/>
      <c r="AC1117" s="58" t="n"/>
      <c r="AD1117" s="53" t="n"/>
      <c r="AE1117" s="61">
        <f>SUMIFS([1]инфо!$D$15:$D$28,[1]инфо!$A$15:$A$28,F1117)</f>
        <v/>
      </c>
      <c r="AF1117" s="62">
        <f>IF(H1117=0,0,N1117/H1117)</f>
        <v/>
      </c>
      <c r="AG1117" s="63">
        <f>AF1117-AE1117</f>
        <v/>
      </c>
      <c r="AH1117" s="61">
        <f>SUMIFS([1]инфо!$E$15:$E$28,[1]инфо!$A$15:$A$28,F1117)</f>
        <v/>
      </c>
      <c r="AI1117" s="62">
        <f>IF(H1116=0,0,S1117/H1116)</f>
        <v/>
      </c>
      <c r="AJ1117" s="63">
        <f>AI1117-AH1117</f>
        <v/>
      </c>
      <c r="AK1117" s="61">
        <f>SUMIFS([1]инфо!$F$15:$F$28,[1]инфо!$A$15:$A$28,F1117)</f>
        <v/>
      </c>
      <c r="AL1117" s="64">
        <f>IF(H1117=0,0,Y1117/H1117)</f>
        <v/>
      </c>
      <c r="AM1117" s="63">
        <f>AL1117-AK1117</f>
        <v/>
      </c>
      <c r="AN1117" s="61">
        <f>SUMIFS([1]инфо!$G$15:$G$28,[1]инфо!$A$15:$A$28,F1117)</f>
        <v/>
      </c>
      <c r="AO1117" s="64">
        <f>IF(H1117=0,0,AA1117/H1117)</f>
        <v/>
      </c>
      <c r="AP1117" s="63">
        <f>AO1117-AN1117</f>
        <v/>
      </c>
      <c r="AQ1117" s="61">
        <f>SUMIFS([1]инфо!$H$15:$H$28,[1]инфо!$A$15:$A$28,F1117)</f>
        <v/>
      </c>
      <c r="AR1117" s="62">
        <f>IF(H1116=0,0,AC1117/H1116)</f>
        <v/>
      </c>
      <c r="AS1117" s="63">
        <f>AR1117-AQ1117</f>
        <v/>
      </c>
      <c r="AT1117" s="61">
        <f>SUMIFS([1]инфо!$I$15:$I$28,[1]инфо!$A$15:$A$28,F1117)</f>
        <v/>
      </c>
      <c r="AU1117" s="62">
        <f>IF(H1117=0,0,AD1117/H1117)</f>
        <v/>
      </c>
      <c r="AV1117" s="63">
        <f>AU1117-AT1117</f>
        <v/>
      </c>
      <c r="AX1117" s="59">
        <f>SUMIFS([1]инфо!$C$15:$C$28,[1]инфо!$A$15:$A$28,F1117)*H1116</f>
        <v/>
      </c>
    </row>
    <row r="1118">
      <c r="A1118" s="71">
        <f>A1116+1</f>
        <v/>
      </c>
      <c r="B1118" s="88" t="n"/>
      <c r="C1118" s="77" t="n"/>
      <c r="D1118" s="78" t="n"/>
      <c r="E1118" s="91" t="n"/>
      <c r="F1118" s="67" t="n"/>
      <c r="G1118" s="79" t="n"/>
      <c r="H1118" s="67" t="n"/>
      <c r="I1118" s="55" t="n"/>
      <c r="J1118" s="55" t="n"/>
      <c r="K1118" s="55" t="n"/>
      <c r="L1118" s="55" t="n"/>
      <c r="M1118" s="55" t="n"/>
      <c r="N1118" s="56" t="n"/>
      <c r="O1118" s="79" t="n"/>
      <c r="P1118" s="79" t="n"/>
      <c r="Q1118" s="79" t="n"/>
      <c r="R1118" s="79" t="n"/>
      <c r="S1118" s="80">
        <f>SUM(O1118:R1118)</f>
        <v/>
      </c>
      <c r="T1118" s="77" t="n"/>
      <c r="U1118" s="78" t="n"/>
      <c r="V1118" s="79" t="n"/>
      <c r="W1118" s="79" t="n"/>
      <c r="X1118" s="79" t="n"/>
      <c r="Y1118" s="77" t="n"/>
      <c r="Z1118" s="79" t="n"/>
      <c r="AA1118" s="79" t="n"/>
      <c r="AB1118" s="79" t="n"/>
      <c r="AC1118" s="79" t="n"/>
      <c r="AD1118" s="78" t="n"/>
      <c r="AE1118" s="81">
        <f>SUMIFS([1]инфо!$D$15:$D$28,[1]инфо!$A$15:$A$28,F1118)</f>
        <v/>
      </c>
      <c r="AF1118" s="62">
        <f>IF(H1118=0,0,N1118/H1118)</f>
        <v/>
      </c>
      <c r="AG1118" s="82">
        <f>AF1118-AE1118</f>
        <v/>
      </c>
      <c r="AH1118" s="81">
        <f>SUMIFS([1]инфо!$E$15:$E$28,[1]инфо!$A$15:$A$28,F1118)</f>
        <v/>
      </c>
      <c r="AI1118" s="85">
        <f>IF(H1117=0,0,S1118/H1117)</f>
        <v/>
      </c>
      <c r="AJ1118" s="82">
        <f>AI1118-AH1118</f>
        <v/>
      </c>
      <c r="AK1118" s="81">
        <f>SUMIFS([1]инфо!$F$15:$F$28,[1]инфо!$A$15:$A$28,F1118)</f>
        <v/>
      </c>
      <c r="AL1118" s="64">
        <f>IF(H1118=0,0,Y1118/H1118)</f>
        <v/>
      </c>
      <c r="AM1118" s="82">
        <f>AL1118-AK1118</f>
        <v/>
      </c>
      <c r="AN1118" s="81">
        <f>SUMIFS([1]инфо!$G$15:$G$28,[1]инфо!$A$15:$A$28,F1118)</f>
        <v/>
      </c>
      <c r="AO1118" s="64">
        <f>IF(H1118=0,0,AA1118/H1118)</f>
        <v/>
      </c>
      <c r="AP1118" s="82">
        <f>AO1118-AN1118</f>
        <v/>
      </c>
      <c r="AQ1118" s="81">
        <f>SUMIFS([1]инфо!$H$15:$H$28,[1]инфо!$A$15:$A$28,F1118)</f>
        <v/>
      </c>
      <c r="AR1118" s="85">
        <f>IF(H1117=0,0,AC1118/H1117)</f>
        <v/>
      </c>
      <c r="AS1118" s="82">
        <f>AR1118-AQ1118</f>
        <v/>
      </c>
      <c r="AT1118" s="81">
        <f>SUMIFS([1]инфо!$I$15:$I$28,[1]инфо!$A$15:$A$28,F1118)</f>
        <v/>
      </c>
      <c r="AU1118" s="62">
        <f>IF(H1118=0,0,AD1118/H1118)</f>
        <v/>
      </c>
      <c r="AV1118" s="82">
        <f>AU1118-AT1118</f>
        <v/>
      </c>
      <c r="AX1118" s="80">
        <f>SUMIFS([1]инфо!$C$15:$C$28,[1]инфо!$A$15:$A$28,F1118)*H1117</f>
        <v/>
      </c>
    </row>
    <row r="1119">
      <c r="A1119" s="71">
        <f>A1117+1</f>
        <v/>
      </c>
      <c r="B1119" s="89" t="n"/>
      <c r="C1119" s="72" t="n"/>
      <c r="D1119" s="73" t="n"/>
      <c r="E1119" s="91" t="n"/>
      <c r="F1119" s="67" t="n"/>
      <c r="G1119" s="74" t="n"/>
      <c r="H1119" s="55" t="n"/>
      <c r="I1119" s="55" t="n"/>
      <c r="J1119" s="55" t="n"/>
      <c r="K1119" s="55" t="n"/>
      <c r="L1119" s="55" t="n"/>
      <c r="M1119" s="55" t="n"/>
      <c r="N1119" s="67" t="n"/>
      <c r="O1119" s="74" t="n"/>
      <c r="P1119" s="74" t="n"/>
      <c r="Q1119" s="74" t="n"/>
      <c r="R1119" s="74" t="n"/>
      <c r="S1119" s="70">
        <f>SUM(O1119:R1119)</f>
        <v/>
      </c>
      <c r="T1119" s="72" t="n"/>
      <c r="U1119" s="73" t="n"/>
      <c r="V1119" s="74" t="n"/>
      <c r="W1119" s="74" t="n"/>
      <c r="X1119" s="74" t="n"/>
      <c r="Y1119" s="72" t="n"/>
      <c r="Z1119" s="74" t="n"/>
      <c r="AA1119" s="74" t="n"/>
      <c r="AB1119" s="74" t="n"/>
      <c r="AC1119" s="74" t="n"/>
      <c r="AD1119" s="73" t="n"/>
      <c r="AE1119" s="75">
        <f>SUMIFS([1]инфо!$D$15:$D$28,[1]инфо!$A$15:$A$28,F1119)</f>
        <v/>
      </c>
      <c r="AF1119" s="62">
        <f>IF(H1119=0,0,N1119/H1119)</f>
        <v/>
      </c>
      <c r="AG1119" s="76">
        <f>AF1119-AE1119</f>
        <v/>
      </c>
      <c r="AH1119" s="75">
        <f>SUMIFS([1]инфо!$E$15:$E$28,[1]инфо!$A$15:$A$28,F1119)</f>
        <v/>
      </c>
      <c r="AI1119" s="64">
        <f>IF(H1118=0,0,S1119/H1118)</f>
        <v/>
      </c>
      <c r="AJ1119" s="76">
        <f>AI1119-AH1119</f>
        <v/>
      </c>
      <c r="AK1119" s="75">
        <f>SUMIFS([1]инфо!$F$15:$F$28,[1]инфо!$A$15:$A$28,F1119)</f>
        <v/>
      </c>
      <c r="AL1119" s="64">
        <f>IF(H1119=0,0,Y1119/H1119)</f>
        <v/>
      </c>
      <c r="AM1119" s="76">
        <f>AL1119-AK1119</f>
        <v/>
      </c>
      <c r="AN1119" s="75">
        <f>SUMIFS([1]инфо!$G$15:$G$28,[1]инфо!$A$15:$A$28,F1119)</f>
        <v/>
      </c>
      <c r="AO1119" s="64">
        <f>IF(H1119=0,0,AA1119/H1119)</f>
        <v/>
      </c>
      <c r="AP1119" s="76">
        <f>AO1119-AN1119</f>
        <v/>
      </c>
      <c r="AQ1119" s="75">
        <f>SUMIFS([1]инфо!$H$15:$H$28,[1]инфо!$A$15:$A$28,F1119)</f>
        <v/>
      </c>
      <c r="AR1119" s="64">
        <f>IF(H1118=0,0,AC1119/H1118)</f>
        <v/>
      </c>
      <c r="AS1119" s="76">
        <f>AR1119-AQ1119</f>
        <v/>
      </c>
      <c r="AT1119" s="75">
        <f>SUMIFS([1]инфо!$I$15:$I$28,[1]инфо!$A$15:$A$28,F1119)</f>
        <v/>
      </c>
      <c r="AU1119" s="62">
        <f>IF(H1119=0,0,AD1119/H1119)</f>
        <v/>
      </c>
      <c r="AV1119" s="76">
        <f>AU1119-AT1119</f>
        <v/>
      </c>
      <c r="AX1119" s="70">
        <f>SUMIFS([1]инфо!$C$15:$C$28,[1]инфо!$A$15:$A$28,F1119)*H1118</f>
        <v/>
      </c>
    </row>
    <row r="1120">
      <c r="A1120" s="71">
        <f>A1118+1</f>
        <v/>
      </c>
      <c r="B1120" s="90" t="n"/>
      <c r="C1120" s="52" t="n"/>
      <c r="D1120" s="53" t="n"/>
      <c r="E1120" s="91" t="n"/>
      <c r="F1120" s="67" t="n"/>
      <c r="G1120" s="58" t="n"/>
      <c r="H1120" s="55" t="n"/>
      <c r="I1120" s="55" t="n"/>
      <c r="J1120" s="55" t="n"/>
      <c r="K1120" s="55" t="n"/>
      <c r="L1120" s="55" t="n"/>
      <c r="M1120" s="55" t="n"/>
      <c r="N1120" s="55" t="n"/>
      <c r="O1120" s="58" t="n"/>
      <c r="P1120" s="58" t="n"/>
      <c r="Q1120" s="58" t="n"/>
      <c r="R1120" s="58" t="n"/>
      <c r="S1120" s="59">
        <f>SUM(O1120:R1120)</f>
        <v/>
      </c>
      <c r="T1120" s="52" t="n"/>
      <c r="U1120" s="53" t="n"/>
      <c r="V1120" s="58" t="n"/>
      <c r="W1120" s="58" t="n"/>
      <c r="X1120" s="58" t="n"/>
      <c r="Y1120" s="52" t="n"/>
      <c r="Z1120" s="58" t="n"/>
      <c r="AA1120" s="58" t="n"/>
      <c r="AB1120" s="58" t="n"/>
      <c r="AC1120" s="58" t="n"/>
      <c r="AD1120" s="53" t="n"/>
      <c r="AE1120" s="61">
        <f>SUMIFS([1]инфо!$D$15:$D$28,[1]инфо!$A$15:$A$28,F1120)</f>
        <v/>
      </c>
      <c r="AF1120" s="62">
        <f>IF(H1120=0,0,N1120/H1120)</f>
        <v/>
      </c>
      <c r="AG1120" s="63">
        <f>AF1120-AE1120</f>
        <v/>
      </c>
      <c r="AH1120" s="61">
        <f>SUMIFS([1]инфо!$E$15:$E$28,[1]инфо!$A$15:$A$28,F1120)</f>
        <v/>
      </c>
      <c r="AI1120" s="62">
        <f>IF(H1119=0,0,S1120/H1119)</f>
        <v/>
      </c>
      <c r="AJ1120" s="63">
        <f>AI1120-AH1120</f>
        <v/>
      </c>
      <c r="AK1120" s="61">
        <f>SUMIFS([1]инфо!$F$15:$F$28,[1]инфо!$A$15:$A$28,F1120)</f>
        <v/>
      </c>
      <c r="AL1120" s="64">
        <f>IF(H1120=0,0,Y1120/H1120)</f>
        <v/>
      </c>
      <c r="AM1120" s="63">
        <f>AL1120-AK1120</f>
        <v/>
      </c>
      <c r="AN1120" s="61">
        <f>SUMIFS([1]инфо!$G$15:$G$28,[1]инфо!$A$15:$A$28,F1120)</f>
        <v/>
      </c>
      <c r="AO1120" s="64">
        <f>IF(H1120=0,0,AA1120/H1120)</f>
        <v/>
      </c>
      <c r="AP1120" s="63">
        <f>AO1120-AN1120</f>
        <v/>
      </c>
      <c r="AQ1120" s="61">
        <f>SUMIFS([1]инфо!$H$15:$H$28,[1]инфо!$A$15:$A$28,F1120)</f>
        <v/>
      </c>
      <c r="AR1120" s="62">
        <f>IF(H1119=0,0,AC1120/H1119)</f>
        <v/>
      </c>
      <c r="AS1120" s="63">
        <f>AR1120-AQ1120</f>
        <v/>
      </c>
      <c r="AT1120" s="61">
        <f>SUMIFS([1]инфо!$I$15:$I$28,[1]инфо!$A$15:$A$28,F1120)</f>
        <v/>
      </c>
      <c r="AU1120" s="62">
        <f>IF(H1120=0,0,AD1120/H1120)</f>
        <v/>
      </c>
      <c r="AV1120" s="63">
        <f>AU1120-AT1120</f>
        <v/>
      </c>
      <c r="AX1120" s="59">
        <f>SUMIFS([1]инфо!$C$15:$C$28,[1]инфо!$A$15:$A$28,F1120)*H1119</f>
        <v/>
      </c>
    </row>
    <row r="1121">
      <c r="A1121" s="71">
        <f>A1119+1</f>
        <v/>
      </c>
      <c r="B1121" s="90" t="n"/>
      <c r="C1121" s="52" t="n"/>
      <c r="D1121" s="53" t="n"/>
      <c r="E1121" s="91" t="n"/>
      <c r="F1121" s="67" t="n"/>
      <c r="G1121" s="58" t="n"/>
      <c r="H1121" s="56" t="n"/>
      <c r="I1121" s="55" t="n"/>
      <c r="J1121" s="55" t="n"/>
      <c r="K1121" s="55" t="n"/>
      <c r="L1121" s="55" t="n"/>
      <c r="M1121" s="55" t="n"/>
      <c r="N1121" s="55" t="n"/>
      <c r="O1121" s="58" t="n"/>
      <c r="P1121" s="58" t="n"/>
      <c r="Q1121" s="58" t="n"/>
      <c r="R1121" s="58" t="n"/>
      <c r="S1121" s="59">
        <f>SUM(O1121:R1121)</f>
        <v/>
      </c>
      <c r="T1121" s="52" t="n"/>
      <c r="U1121" s="53" t="n"/>
      <c r="V1121" s="58" t="n"/>
      <c r="W1121" s="58" t="n"/>
      <c r="X1121" s="58" t="n"/>
      <c r="Y1121" s="52" t="n"/>
      <c r="Z1121" s="58" t="n"/>
      <c r="AA1121" s="58" t="n"/>
      <c r="AB1121" s="58" t="n"/>
      <c r="AC1121" s="58" t="n"/>
      <c r="AD1121" s="53" t="n"/>
      <c r="AE1121" s="61">
        <f>SUMIFS([1]инфо!$D$15:$D$28,[1]инфо!$A$15:$A$28,F1121)</f>
        <v/>
      </c>
      <c r="AF1121" s="62">
        <f>IF(H1121=0,0,N1121/H1121)</f>
        <v/>
      </c>
      <c r="AG1121" s="63">
        <f>AF1121-AE1121</f>
        <v/>
      </c>
      <c r="AH1121" s="61">
        <f>SUMIFS([1]инфо!$E$15:$E$28,[1]инфо!$A$15:$A$28,F1121)</f>
        <v/>
      </c>
      <c r="AI1121" s="62">
        <f>IF(H1120=0,0,S1121/H1120)</f>
        <v/>
      </c>
      <c r="AJ1121" s="63">
        <f>AI1121-AH1121</f>
        <v/>
      </c>
      <c r="AK1121" s="61">
        <f>SUMIFS([1]инфо!$F$15:$F$28,[1]инфо!$A$15:$A$28,F1121)</f>
        <v/>
      </c>
      <c r="AL1121" s="64">
        <f>IF(H1121=0,0,Y1121/H1121)</f>
        <v/>
      </c>
      <c r="AM1121" s="63">
        <f>AL1121-AK1121</f>
        <v/>
      </c>
      <c r="AN1121" s="61">
        <f>SUMIFS([1]инфо!$G$15:$G$28,[1]инфо!$A$15:$A$28,F1121)</f>
        <v/>
      </c>
      <c r="AO1121" s="64">
        <f>IF(H1121=0,0,AA1121/H1121)</f>
        <v/>
      </c>
      <c r="AP1121" s="63">
        <f>AO1121-AN1121</f>
        <v/>
      </c>
      <c r="AQ1121" s="61">
        <f>SUMIFS([1]инфо!$H$15:$H$28,[1]инфо!$A$15:$A$28,F1121)</f>
        <v/>
      </c>
      <c r="AR1121" s="62">
        <f>IF(H1120=0,0,AC1121/H1120)</f>
        <v/>
      </c>
      <c r="AS1121" s="63">
        <f>AR1121-AQ1121</f>
        <v/>
      </c>
      <c r="AT1121" s="61">
        <f>SUMIFS([1]инфо!$I$15:$I$28,[1]инфо!$A$15:$A$28,F1121)</f>
        <v/>
      </c>
      <c r="AU1121" s="62">
        <f>IF(H1121=0,0,AD1121/H1121)</f>
        <v/>
      </c>
      <c r="AV1121" s="63">
        <f>AU1121-AT1121</f>
        <v/>
      </c>
      <c r="AX1121" s="59">
        <f>SUMIFS([1]инфо!$C$15:$C$28,[1]инфо!$A$15:$A$28,F1121)*H1120</f>
        <v/>
      </c>
    </row>
    <row r="1122">
      <c r="A1122" s="71">
        <f>A1120+1</f>
        <v/>
      </c>
      <c r="B1122" s="88" t="n"/>
      <c r="C1122" s="77" t="n"/>
      <c r="D1122" s="78" t="n"/>
      <c r="E1122" s="91" t="n"/>
      <c r="F1122" s="67" t="n"/>
      <c r="G1122" s="79" t="n"/>
      <c r="H1122" s="67" t="n"/>
      <c r="I1122" s="55" t="n"/>
      <c r="J1122" s="55" t="n"/>
      <c r="K1122" s="55" t="n"/>
      <c r="L1122" s="55" t="n"/>
      <c r="M1122" s="55" t="n"/>
      <c r="N1122" s="56" t="n"/>
      <c r="O1122" s="79" t="n"/>
      <c r="P1122" s="79" t="n"/>
      <c r="Q1122" s="79" t="n"/>
      <c r="R1122" s="79" t="n"/>
      <c r="S1122" s="80">
        <f>SUM(O1122:R1122)</f>
        <v/>
      </c>
      <c r="T1122" s="77" t="n"/>
      <c r="U1122" s="78" t="n"/>
      <c r="V1122" s="79" t="n"/>
      <c r="W1122" s="79" t="n"/>
      <c r="X1122" s="79" t="n"/>
      <c r="Y1122" s="77" t="n"/>
      <c r="Z1122" s="79" t="n"/>
      <c r="AA1122" s="79" t="n"/>
      <c r="AB1122" s="79" t="n"/>
      <c r="AC1122" s="79" t="n"/>
      <c r="AD1122" s="78" t="n"/>
      <c r="AE1122" s="81">
        <f>SUMIFS([1]инфо!$D$15:$D$28,[1]инфо!$A$15:$A$28,F1122)</f>
        <v/>
      </c>
      <c r="AF1122" s="62">
        <f>IF(H1122=0,0,N1122/H1122)</f>
        <v/>
      </c>
      <c r="AG1122" s="82">
        <f>AF1122-AE1122</f>
        <v/>
      </c>
      <c r="AH1122" s="81">
        <f>SUMIFS([1]инфо!$E$15:$E$28,[1]инфо!$A$15:$A$28,F1122)</f>
        <v/>
      </c>
      <c r="AI1122" s="85">
        <f>IF(H1121=0,0,S1122/H1121)</f>
        <v/>
      </c>
      <c r="AJ1122" s="82">
        <f>AI1122-AH1122</f>
        <v/>
      </c>
      <c r="AK1122" s="81">
        <f>SUMIFS([1]инфо!$F$15:$F$28,[1]инфо!$A$15:$A$28,F1122)</f>
        <v/>
      </c>
      <c r="AL1122" s="64">
        <f>IF(H1122=0,0,Y1122/H1122)</f>
        <v/>
      </c>
      <c r="AM1122" s="82">
        <f>AL1122-AK1122</f>
        <v/>
      </c>
      <c r="AN1122" s="81">
        <f>SUMIFS([1]инфо!$G$15:$G$28,[1]инфо!$A$15:$A$28,F1122)</f>
        <v/>
      </c>
      <c r="AO1122" s="64">
        <f>IF(H1122=0,0,AA1122/H1122)</f>
        <v/>
      </c>
      <c r="AP1122" s="82">
        <f>AO1122-AN1122</f>
        <v/>
      </c>
      <c r="AQ1122" s="81">
        <f>SUMIFS([1]инфо!$H$15:$H$28,[1]инфо!$A$15:$A$28,F1122)</f>
        <v/>
      </c>
      <c r="AR1122" s="85">
        <f>IF(H1121=0,0,AC1122/H1121)</f>
        <v/>
      </c>
      <c r="AS1122" s="82">
        <f>AR1122-AQ1122</f>
        <v/>
      </c>
      <c r="AT1122" s="81">
        <f>SUMIFS([1]инфо!$I$15:$I$28,[1]инфо!$A$15:$A$28,F1122)</f>
        <v/>
      </c>
      <c r="AU1122" s="62">
        <f>IF(H1122=0,0,AD1122/H1122)</f>
        <v/>
      </c>
      <c r="AV1122" s="82">
        <f>AU1122-AT1122</f>
        <v/>
      </c>
      <c r="AX1122" s="80">
        <f>SUMIFS([1]инфо!$C$15:$C$28,[1]инфо!$A$15:$A$28,F1122)*H1121</f>
        <v/>
      </c>
    </row>
    <row r="1123">
      <c r="A1123" s="71">
        <f>A1121+1</f>
        <v/>
      </c>
      <c r="B1123" s="89" t="n"/>
      <c r="C1123" s="72" t="n"/>
      <c r="D1123" s="73" t="n"/>
      <c r="E1123" s="91" t="n"/>
      <c r="F1123" s="67" t="n"/>
      <c r="G1123" s="74" t="n"/>
      <c r="H1123" s="55" t="n"/>
      <c r="I1123" s="55" t="n"/>
      <c r="J1123" s="55" t="n"/>
      <c r="K1123" s="55" t="n"/>
      <c r="L1123" s="55" t="n"/>
      <c r="M1123" s="55" t="n"/>
      <c r="N1123" s="67" t="n"/>
      <c r="O1123" s="74" t="n"/>
      <c r="P1123" s="74" t="n"/>
      <c r="Q1123" s="74" t="n"/>
      <c r="R1123" s="74" t="n"/>
      <c r="S1123" s="70">
        <f>SUM(O1123:R1123)</f>
        <v/>
      </c>
      <c r="T1123" s="72" t="n"/>
      <c r="U1123" s="73" t="n"/>
      <c r="V1123" s="74" t="n"/>
      <c r="W1123" s="74" t="n"/>
      <c r="X1123" s="74" t="n"/>
      <c r="Y1123" s="72" t="n"/>
      <c r="Z1123" s="74" t="n"/>
      <c r="AA1123" s="74" t="n"/>
      <c r="AB1123" s="74" t="n"/>
      <c r="AC1123" s="74" t="n"/>
      <c r="AD1123" s="73" t="n"/>
      <c r="AE1123" s="75">
        <f>SUMIFS([1]инфо!$D$15:$D$28,[1]инфо!$A$15:$A$28,F1123)</f>
        <v/>
      </c>
      <c r="AF1123" s="62">
        <f>IF(H1123=0,0,N1123/H1123)</f>
        <v/>
      </c>
      <c r="AG1123" s="76">
        <f>AF1123-AE1123</f>
        <v/>
      </c>
      <c r="AH1123" s="75">
        <f>SUMIFS([1]инфо!$E$15:$E$28,[1]инфо!$A$15:$A$28,F1123)</f>
        <v/>
      </c>
      <c r="AI1123" s="64">
        <f>IF(H1122=0,0,S1123/H1122)</f>
        <v/>
      </c>
      <c r="AJ1123" s="76">
        <f>AI1123-AH1123</f>
        <v/>
      </c>
      <c r="AK1123" s="75">
        <f>SUMIFS([1]инфо!$F$15:$F$28,[1]инфо!$A$15:$A$28,F1123)</f>
        <v/>
      </c>
      <c r="AL1123" s="64">
        <f>IF(H1123=0,0,Y1123/H1123)</f>
        <v/>
      </c>
      <c r="AM1123" s="76">
        <f>AL1123-AK1123</f>
        <v/>
      </c>
      <c r="AN1123" s="75">
        <f>SUMIFS([1]инфо!$G$15:$G$28,[1]инфо!$A$15:$A$28,F1123)</f>
        <v/>
      </c>
      <c r="AO1123" s="64">
        <f>IF(H1123=0,0,AA1123/H1123)</f>
        <v/>
      </c>
      <c r="AP1123" s="76">
        <f>AO1123-AN1123</f>
        <v/>
      </c>
      <c r="AQ1123" s="75">
        <f>SUMIFS([1]инфо!$H$15:$H$28,[1]инфо!$A$15:$A$28,F1123)</f>
        <v/>
      </c>
      <c r="AR1123" s="64">
        <f>IF(H1122=0,0,AC1123/H1122)</f>
        <v/>
      </c>
      <c r="AS1123" s="76">
        <f>AR1123-AQ1123</f>
        <v/>
      </c>
      <c r="AT1123" s="75">
        <f>SUMIFS([1]инфо!$I$15:$I$28,[1]инфо!$A$15:$A$28,F1123)</f>
        <v/>
      </c>
      <c r="AU1123" s="62">
        <f>IF(H1123=0,0,AD1123/H1123)</f>
        <v/>
      </c>
      <c r="AV1123" s="76">
        <f>AU1123-AT1123</f>
        <v/>
      </c>
      <c r="AX1123" s="70">
        <f>SUMIFS([1]инфо!$C$15:$C$28,[1]инфо!$A$15:$A$28,F1123)*H1122</f>
        <v/>
      </c>
    </row>
    <row r="1124">
      <c r="A1124" s="71">
        <f>A1122+1</f>
        <v/>
      </c>
      <c r="B1124" s="90" t="n"/>
      <c r="C1124" s="52" t="n"/>
      <c r="D1124" s="53" t="n"/>
      <c r="E1124" s="91" t="n"/>
      <c r="F1124" s="67" t="n"/>
      <c r="G1124" s="58" t="n"/>
      <c r="H1124" s="55" t="n"/>
      <c r="I1124" s="55" t="n"/>
      <c r="J1124" s="55" t="n"/>
      <c r="K1124" s="55" t="n"/>
      <c r="L1124" s="55" t="n"/>
      <c r="M1124" s="55" t="n"/>
      <c r="N1124" s="55" t="n"/>
      <c r="O1124" s="58" t="n"/>
      <c r="P1124" s="58" t="n"/>
      <c r="Q1124" s="58" t="n"/>
      <c r="R1124" s="58" t="n"/>
      <c r="S1124" s="59">
        <f>SUM(O1124:R1124)</f>
        <v/>
      </c>
      <c r="T1124" s="52" t="n"/>
      <c r="U1124" s="53" t="n"/>
      <c r="V1124" s="58" t="n"/>
      <c r="W1124" s="58" t="n"/>
      <c r="X1124" s="58" t="n"/>
      <c r="Y1124" s="52" t="n"/>
      <c r="Z1124" s="58" t="n"/>
      <c r="AA1124" s="58" t="n"/>
      <c r="AB1124" s="58" t="n"/>
      <c r="AC1124" s="58" t="n"/>
      <c r="AD1124" s="53" t="n"/>
      <c r="AE1124" s="61">
        <f>SUMIFS([1]инфо!$D$15:$D$28,[1]инфо!$A$15:$A$28,F1124)</f>
        <v/>
      </c>
      <c r="AF1124" s="62">
        <f>IF(H1124=0,0,N1124/H1124)</f>
        <v/>
      </c>
      <c r="AG1124" s="63">
        <f>AF1124-AE1124</f>
        <v/>
      </c>
      <c r="AH1124" s="61">
        <f>SUMIFS([1]инфо!$E$15:$E$28,[1]инфо!$A$15:$A$28,F1124)</f>
        <v/>
      </c>
      <c r="AI1124" s="62">
        <f>IF(H1123=0,0,S1124/H1123)</f>
        <v/>
      </c>
      <c r="AJ1124" s="63">
        <f>AI1124-AH1124</f>
        <v/>
      </c>
      <c r="AK1124" s="61">
        <f>SUMIFS([1]инфо!$F$15:$F$28,[1]инфо!$A$15:$A$28,F1124)</f>
        <v/>
      </c>
      <c r="AL1124" s="64">
        <f>IF(H1124=0,0,Y1124/H1124)</f>
        <v/>
      </c>
      <c r="AM1124" s="63">
        <f>AL1124-AK1124</f>
        <v/>
      </c>
      <c r="AN1124" s="61">
        <f>SUMIFS([1]инфо!$G$15:$G$28,[1]инфо!$A$15:$A$28,F1124)</f>
        <v/>
      </c>
      <c r="AO1124" s="64">
        <f>IF(H1124=0,0,AA1124/H1124)</f>
        <v/>
      </c>
      <c r="AP1124" s="63">
        <f>AO1124-AN1124</f>
        <v/>
      </c>
      <c r="AQ1124" s="61">
        <f>SUMIFS([1]инфо!$H$15:$H$28,[1]инфо!$A$15:$A$28,F1124)</f>
        <v/>
      </c>
      <c r="AR1124" s="62">
        <f>IF(H1123=0,0,AC1124/H1123)</f>
        <v/>
      </c>
      <c r="AS1124" s="63">
        <f>AR1124-AQ1124</f>
        <v/>
      </c>
      <c r="AT1124" s="61">
        <f>SUMIFS([1]инфо!$I$15:$I$28,[1]инфо!$A$15:$A$28,F1124)</f>
        <v/>
      </c>
      <c r="AU1124" s="62">
        <f>IF(H1124=0,0,AD1124/H1124)</f>
        <v/>
      </c>
      <c r="AV1124" s="63">
        <f>AU1124-AT1124</f>
        <v/>
      </c>
      <c r="AX1124" s="59">
        <f>SUMIFS([1]инфо!$C$15:$C$28,[1]инфо!$A$15:$A$28,F1124)*H1123</f>
        <v/>
      </c>
    </row>
    <row r="1125">
      <c r="A1125" s="71">
        <f>A1123+1</f>
        <v/>
      </c>
      <c r="B1125" s="90" t="n"/>
      <c r="C1125" s="52" t="n"/>
      <c r="D1125" s="53" t="n"/>
      <c r="E1125" s="91" t="n"/>
      <c r="F1125" s="67" t="n"/>
      <c r="G1125" s="58" t="n"/>
      <c r="H1125" s="56" t="n"/>
      <c r="I1125" s="55" t="n"/>
      <c r="J1125" s="55" t="n"/>
      <c r="K1125" s="55" t="n"/>
      <c r="L1125" s="55" t="n"/>
      <c r="M1125" s="55" t="n"/>
      <c r="N1125" s="55" t="n"/>
      <c r="O1125" s="58" t="n"/>
      <c r="P1125" s="58" t="n"/>
      <c r="Q1125" s="58" t="n"/>
      <c r="R1125" s="58" t="n"/>
      <c r="S1125" s="59">
        <f>SUM(O1125:R1125)</f>
        <v/>
      </c>
      <c r="T1125" s="52" t="n"/>
      <c r="U1125" s="53" t="n"/>
      <c r="V1125" s="58" t="n"/>
      <c r="W1125" s="58" t="n"/>
      <c r="X1125" s="58" t="n"/>
      <c r="Y1125" s="52" t="n"/>
      <c r="Z1125" s="58" t="n"/>
      <c r="AA1125" s="58" t="n"/>
      <c r="AB1125" s="58" t="n"/>
      <c r="AC1125" s="58" t="n"/>
      <c r="AD1125" s="53" t="n"/>
      <c r="AE1125" s="61">
        <f>SUMIFS([1]инфо!$D$15:$D$28,[1]инфо!$A$15:$A$28,F1125)</f>
        <v/>
      </c>
      <c r="AF1125" s="62">
        <f>IF(H1125=0,0,N1125/H1125)</f>
        <v/>
      </c>
      <c r="AG1125" s="63">
        <f>AF1125-AE1125</f>
        <v/>
      </c>
      <c r="AH1125" s="61">
        <f>SUMIFS([1]инфо!$E$15:$E$28,[1]инфо!$A$15:$A$28,F1125)</f>
        <v/>
      </c>
      <c r="AI1125" s="62">
        <f>IF(H1124=0,0,S1125/H1124)</f>
        <v/>
      </c>
      <c r="AJ1125" s="63">
        <f>AI1125-AH1125</f>
        <v/>
      </c>
      <c r="AK1125" s="61">
        <f>SUMIFS([1]инфо!$F$15:$F$28,[1]инфо!$A$15:$A$28,F1125)</f>
        <v/>
      </c>
      <c r="AL1125" s="64">
        <f>IF(H1125=0,0,Y1125/H1125)</f>
        <v/>
      </c>
      <c r="AM1125" s="63">
        <f>AL1125-AK1125</f>
        <v/>
      </c>
      <c r="AN1125" s="61">
        <f>SUMIFS([1]инфо!$G$15:$G$28,[1]инфо!$A$15:$A$28,F1125)</f>
        <v/>
      </c>
      <c r="AO1125" s="64">
        <f>IF(H1125=0,0,AA1125/H1125)</f>
        <v/>
      </c>
      <c r="AP1125" s="63">
        <f>AO1125-AN1125</f>
        <v/>
      </c>
      <c r="AQ1125" s="61">
        <f>SUMIFS([1]инфо!$H$15:$H$28,[1]инфо!$A$15:$A$28,F1125)</f>
        <v/>
      </c>
      <c r="AR1125" s="62">
        <f>IF(H1124=0,0,AC1125/H1124)</f>
        <v/>
      </c>
      <c r="AS1125" s="63">
        <f>AR1125-AQ1125</f>
        <v/>
      </c>
      <c r="AT1125" s="61">
        <f>SUMIFS([1]инфо!$I$15:$I$28,[1]инфо!$A$15:$A$28,F1125)</f>
        <v/>
      </c>
      <c r="AU1125" s="62">
        <f>IF(H1125=0,0,AD1125/H1125)</f>
        <v/>
      </c>
      <c r="AV1125" s="63">
        <f>AU1125-AT1125</f>
        <v/>
      </c>
      <c r="AX1125" s="59">
        <f>SUMIFS([1]инфо!$C$15:$C$28,[1]инфо!$A$15:$A$28,F1125)*H1124</f>
        <v/>
      </c>
    </row>
    <row r="1126">
      <c r="A1126" s="71">
        <f>A1124+1</f>
        <v/>
      </c>
      <c r="B1126" s="88" t="n"/>
      <c r="C1126" s="77" t="n"/>
      <c r="D1126" s="78" t="n"/>
      <c r="E1126" s="91" t="n"/>
      <c r="F1126" s="67" t="n"/>
      <c r="G1126" s="79" t="n"/>
      <c r="H1126" s="67" t="n"/>
      <c r="I1126" s="55" t="n"/>
      <c r="J1126" s="55" t="n"/>
      <c r="K1126" s="55" t="n"/>
      <c r="L1126" s="55" t="n"/>
      <c r="M1126" s="55" t="n"/>
      <c r="N1126" s="56" t="n"/>
      <c r="O1126" s="79" t="n"/>
      <c r="P1126" s="79" t="n"/>
      <c r="Q1126" s="79" t="n"/>
      <c r="R1126" s="79" t="n"/>
      <c r="S1126" s="80">
        <f>SUM(O1126:R1126)</f>
        <v/>
      </c>
      <c r="T1126" s="77" t="n"/>
      <c r="U1126" s="78" t="n"/>
      <c r="V1126" s="79" t="n"/>
      <c r="W1126" s="79" t="n"/>
      <c r="X1126" s="79" t="n"/>
      <c r="Y1126" s="77" t="n"/>
      <c r="Z1126" s="79" t="n"/>
      <c r="AA1126" s="79" t="n"/>
      <c r="AB1126" s="79" t="n"/>
      <c r="AC1126" s="79" t="n"/>
      <c r="AD1126" s="78" t="n"/>
      <c r="AE1126" s="81">
        <f>SUMIFS([1]инфо!$D$15:$D$28,[1]инфо!$A$15:$A$28,F1126)</f>
        <v/>
      </c>
      <c r="AF1126" s="62">
        <f>IF(H1126=0,0,N1126/H1126)</f>
        <v/>
      </c>
      <c r="AG1126" s="82">
        <f>AF1126-AE1126</f>
        <v/>
      </c>
      <c r="AH1126" s="81">
        <f>SUMIFS([1]инфо!$E$15:$E$28,[1]инфо!$A$15:$A$28,F1126)</f>
        <v/>
      </c>
      <c r="AI1126" s="85">
        <f>IF(H1125=0,0,S1126/H1125)</f>
        <v/>
      </c>
      <c r="AJ1126" s="82">
        <f>AI1126-AH1126</f>
        <v/>
      </c>
      <c r="AK1126" s="81">
        <f>SUMIFS([1]инфо!$F$15:$F$28,[1]инфо!$A$15:$A$28,F1126)</f>
        <v/>
      </c>
      <c r="AL1126" s="64">
        <f>IF(H1126=0,0,Y1126/H1126)</f>
        <v/>
      </c>
      <c r="AM1126" s="82">
        <f>AL1126-AK1126</f>
        <v/>
      </c>
      <c r="AN1126" s="81">
        <f>SUMIFS([1]инфо!$G$15:$G$28,[1]инфо!$A$15:$A$28,F1126)</f>
        <v/>
      </c>
      <c r="AO1126" s="64">
        <f>IF(H1126=0,0,AA1126/H1126)</f>
        <v/>
      </c>
      <c r="AP1126" s="82">
        <f>AO1126-AN1126</f>
        <v/>
      </c>
      <c r="AQ1126" s="81">
        <f>SUMIFS([1]инфо!$H$15:$H$28,[1]инфо!$A$15:$A$28,F1126)</f>
        <v/>
      </c>
      <c r="AR1126" s="85">
        <f>IF(H1125=0,0,AC1126/H1125)</f>
        <v/>
      </c>
      <c r="AS1126" s="82">
        <f>AR1126-AQ1126</f>
        <v/>
      </c>
      <c r="AT1126" s="81">
        <f>SUMIFS([1]инфо!$I$15:$I$28,[1]инфо!$A$15:$A$28,F1126)</f>
        <v/>
      </c>
      <c r="AU1126" s="62">
        <f>IF(H1126=0,0,AD1126/H1126)</f>
        <v/>
      </c>
      <c r="AV1126" s="82">
        <f>AU1126-AT1126</f>
        <v/>
      </c>
      <c r="AX1126" s="80">
        <f>SUMIFS([1]инфо!$C$15:$C$28,[1]инфо!$A$15:$A$28,F1126)*H1125</f>
        <v/>
      </c>
    </row>
    <row r="1127">
      <c r="A1127" s="71">
        <f>A1125+1</f>
        <v/>
      </c>
      <c r="B1127" s="89" t="n"/>
      <c r="C1127" s="72" t="n"/>
      <c r="D1127" s="73" t="n"/>
      <c r="E1127" s="91" t="n"/>
      <c r="F1127" s="67" t="n"/>
      <c r="G1127" s="74" t="n"/>
      <c r="H1127" s="55" t="n"/>
      <c r="I1127" s="55" t="n"/>
      <c r="J1127" s="55" t="n"/>
      <c r="K1127" s="55" t="n"/>
      <c r="L1127" s="55" t="n"/>
      <c r="M1127" s="55" t="n"/>
      <c r="N1127" s="67" t="n"/>
      <c r="O1127" s="74" t="n"/>
      <c r="P1127" s="74" t="n"/>
      <c r="Q1127" s="74" t="n"/>
      <c r="R1127" s="74" t="n"/>
      <c r="S1127" s="70">
        <f>SUM(O1127:R1127)</f>
        <v/>
      </c>
      <c r="T1127" s="72" t="n"/>
      <c r="U1127" s="73" t="n"/>
      <c r="V1127" s="74" t="n"/>
      <c r="W1127" s="74" t="n"/>
      <c r="X1127" s="74" t="n"/>
      <c r="Y1127" s="72" t="n"/>
      <c r="Z1127" s="74" t="n"/>
      <c r="AA1127" s="74" t="n"/>
      <c r="AB1127" s="74" t="n"/>
      <c r="AC1127" s="74" t="n"/>
      <c r="AD1127" s="73" t="n"/>
      <c r="AE1127" s="75">
        <f>SUMIFS([1]инфо!$D$15:$D$28,[1]инфо!$A$15:$A$28,F1127)</f>
        <v/>
      </c>
      <c r="AF1127" s="62">
        <f>IF(H1127=0,0,N1127/H1127)</f>
        <v/>
      </c>
      <c r="AG1127" s="76">
        <f>AF1127-AE1127</f>
        <v/>
      </c>
      <c r="AH1127" s="75">
        <f>SUMIFS([1]инфо!$E$15:$E$28,[1]инфо!$A$15:$A$28,F1127)</f>
        <v/>
      </c>
      <c r="AI1127" s="64">
        <f>IF(H1126=0,0,S1127/H1126)</f>
        <v/>
      </c>
      <c r="AJ1127" s="76">
        <f>AI1127-AH1127</f>
        <v/>
      </c>
      <c r="AK1127" s="75">
        <f>SUMIFS([1]инфо!$F$15:$F$28,[1]инфо!$A$15:$A$28,F1127)</f>
        <v/>
      </c>
      <c r="AL1127" s="64">
        <f>IF(H1127=0,0,Y1127/H1127)</f>
        <v/>
      </c>
      <c r="AM1127" s="76">
        <f>AL1127-AK1127</f>
        <v/>
      </c>
      <c r="AN1127" s="75">
        <f>SUMIFS([1]инфо!$G$15:$G$28,[1]инфо!$A$15:$A$28,F1127)</f>
        <v/>
      </c>
      <c r="AO1127" s="64">
        <f>IF(H1127=0,0,AA1127/H1127)</f>
        <v/>
      </c>
      <c r="AP1127" s="76">
        <f>AO1127-AN1127</f>
        <v/>
      </c>
      <c r="AQ1127" s="75">
        <f>SUMIFS([1]инфо!$H$15:$H$28,[1]инфо!$A$15:$A$28,F1127)</f>
        <v/>
      </c>
      <c r="AR1127" s="64">
        <f>IF(H1126=0,0,AC1127/H1126)</f>
        <v/>
      </c>
      <c r="AS1127" s="76">
        <f>AR1127-AQ1127</f>
        <v/>
      </c>
      <c r="AT1127" s="75">
        <f>SUMIFS([1]инфо!$I$15:$I$28,[1]инфо!$A$15:$A$28,F1127)</f>
        <v/>
      </c>
      <c r="AU1127" s="62">
        <f>IF(H1127=0,0,AD1127/H1127)</f>
        <v/>
      </c>
      <c r="AV1127" s="76">
        <f>AU1127-AT1127</f>
        <v/>
      </c>
      <c r="AX1127" s="70">
        <f>SUMIFS([1]инфо!$C$15:$C$28,[1]инфо!$A$15:$A$28,F1127)*H1126</f>
        <v/>
      </c>
    </row>
    <row r="1128">
      <c r="A1128" s="71">
        <f>A1126+1</f>
        <v/>
      </c>
      <c r="B1128" s="90" t="n"/>
      <c r="C1128" s="52" t="n"/>
      <c r="D1128" s="53" t="n"/>
      <c r="E1128" s="91" t="n"/>
      <c r="F1128" s="67" t="n"/>
      <c r="G1128" s="58" t="n"/>
      <c r="H1128" s="55" t="n"/>
      <c r="I1128" s="55" t="n"/>
      <c r="J1128" s="55" t="n"/>
      <c r="K1128" s="55" t="n"/>
      <c r="L1128" s="55" t="n"/>
      <c r="M1128" s="55" t="n"/>
      <c r="N1128" s="55" t="n"/>
      <c r="O1128" s="58" t="n"/>
      <c r="P1128" s="58" t="n"/>
      <c r="Q1128" s="58" t="n"/>
      <c r="R1128" s="58" t="n"/>
      <c r="S1128" s="59">
        <f>SUM(O1128:R1128)</f>
        <v/>
      </c>
      <c r="T1128" s="52" t="n"/>
      <c r="U1128" s="53" t="n"/>
      <c r="V1128" s="58" t="n"/>
      <c r="W1128" s="58" t="n"/>
      <c r="X1128" s="58" t="n"/>
      <c r="Y1128" s="52" t="n"/>
      <c r="Z1128" s="58" t="n"/>
      <c r="AA1128" s="58" t="n"/>
      <c r="AB1128" s="58" t="n"/>
      <c r="AC1128" s="58" t="n"/>
      <c r="AD1128" s="53" t="n"/>
      <c r="AE1128" s="61">
        <f>SUMIFS([1]инфо!$D$15:$D$28,[1]инфо!$A$15:$A$28,F1128)</f>
        <v/>
      </c>
      <c r="AF1128" s="62">
        <f>IF(H1128=0,0,N1128/H1128)</f>
        <v/>
      </c>
      <c r="AG1128" s="63">
        <f>AF1128-AE1128</f>
        <v/>
      </c>
      <c r="AH1128" s="61">
        <f>SUMIFS([1]инфо!$E$15:$E$28,[1]инфо!$A$15:$A$28,F1128)</f>
        <v/>
      </c>
      <c r="AI1128" s="62">
        <f>IF(H1127=0,0,S1128/H1127)</f>
        <v/>
      </c>
      <c r="AJ1128" s="63">
        <f>AI1128-AH1128</f>
        <v/>
      </c>
      <c r="AK1128" s="61">
        <f>SUMIFS([1]инфо!$F$15:$F$28,[1]инфо!$A$15:$A$28,F1128)</f>
        <v/>
      </c>
      <c r="AL1128" s="64">
        <f>IF(H1128=0,0,Y1128/H1128)</f>
        <v/>
      </c>
      <c r="AM1128" s="63">
        <f>AL1128-AK1128</f>
        <v/>
      </c>
      <c r="AN1128" s="61">
        <f>SUMIFS([1]инфо!$G$15:$G$28,[1]инфо!$A$15:$A$28,F1128)</f>
        <v/>
      </c>
      <c r="AO1128" s="64">
        <f>IF(H1128=0,0,AA1128/H1128)</f>
        <v/>
      </c>
      <c r="AP1128" s="63">
        <f>AO1128-AN1128</f>
        <v/>
      </c>
      <c r="AQ1128" s="61">
        <f>SUMIFS([1]инфо!$H$15:$H$28,[1]инфо!$A$15:$A$28,F1128)</f>
        <v/>
      </c>
      <c r="AR1128" s="62">
        <f>IF(H1127=0,0,AC1128/H1127)</f>
        <v/>
      </c>
      <c r="AS1128" s="63">
        <f>AR1128-AQ1128</f>
        <v/>
      </c>
      <c r="AT1128" s="61">
        <f>SUMIFS([1]инфо!$I$15:$I$28,[1]инфо!$A$15:$A$28,F1128)</f>
        <v/>
      </c>
      <c r="AU1128" s="62">
        <f>IF(H1128=0,0,AD1128/H1128)</f>
        <v/>
      </c>
      <c r="AV1128" s="63">
        <f>AU1128-AT1128</f>
        <v/>
      </c>
      <c r="AX1128" s="59">
        <f>SUMIFS([1]инфо!$C$15:$C$28,[1]инфо!$A$15:$A$28,F1128)*H1127</f>
        <v/>
      </c>
    </row>
    <row r="1129">
      <c r="A1129" s="71">
        <f>A1127+1</f>
        <v/>
      </c>
      <c r="B1129" s="90" t="n"/>
      <c r="C1129" s="52" t="n"/>
      <c r="D1129" s="53" t="n"/>
      <c r="E1129" s="91" t="n"/>
      <c r="F1129" s="67" t="n"/>
      <c r="G1129" s="58" t="n"/>
      <c r="H1129" s="56" t="n"/>
      <c r="I1129" s="55" t="n"/>
      <c r="J1129" s="55" t="n"/>
      <c r="K1129" s="55" t="n"/>
      <c r="L1129" s="55" t="n"/>
      <c r="M1129" s="55" t="n"/>
      <c r="N1129" s="55" t="n"/>
      <c r="O1129" s="58" t="n"/>
      <c r="P1129" s="58" t="n"/>
      <c r="Q1129" s="58" t="n"/>
      <c r="R1129" s="58" t="n"/>
      <c r="S1129" s="59">
        <f>SUM(O1129:R1129)</f>
        <v/>
      </c>
      <c r="T1129" s="52" t="n"/>
      <c r="U1129" s="53" t="n"/>
      <c r="V1129" s="58" t="n"/>
      <c r="W1129" s="58" t="n"/>
      <c r="X1129" s="58" t="n"/>
      <c r="Y1129" s="52" t="n"/>
      <c r="Z1129" s="58" t="n"/>
      <c r="AA1129" s="58" t="n"/>
      <c r="AB1129" s="58" t="n"/>
      <c r="AC1129" s="58" t="n"/>
      <c r="AD1129" s="53" t="n"/>
      <c r="AE1129" s="61">
        <f>SUMIFS([1]инфо!$D$15:$D$28,[1]инфо!$A$15:$A$28,F1129)</f>
        <v/>
      </c>
      <c r="AF1129" s="62">
        <f>IF(H1129=0,0,N1129/H1129)</f>
        <v/>
      </c>
      <c r="AG1129" s="63">
        <f>AF1129-AE1129</f>
        <v/>
      </c>
      <c r="AH1129" s="61">
        <f>SUMIFS([1]инфо!$E$15:$E$28,[1]инфо!$A$15:$A$28,F1129)</f>
        <v/>
      </c>
      <c r="AI1129" s="62">
        <f>IF(H1128=0,0,S1129/H1128)</f>
        <v/>
      </c>
      <c r="AJ1129" s="63">
        <f>AI1129-AH1129</f>
        <v/>
      </c>
      <c r="AK1129" s="61">
        <f>SUMIFS([1]инфо!$F$15:$F$28,[1]инфо!$A$15:$A$28,F1129)</f>
        <v/>
      </c>
      <c r="AL1129" s="64">
        <f>IF(H1129=0,0,Y1129/H1129)</f>
        <v/>
      </c>
      <c r="AM1129" s="63">
        <f>AL1129-AK1129</f>
        <v/>
      </c>
      <c r="AN1129" s="61">
        <f>SUMIFS([1]инфо!$G$15:$G$28,[1]инфо!$A$15:$A$28,F1129)</f>
        <v/>
      </c>
      <c r="AO1129" s="64">
        <f>IF(H1129=0,0,AA1129/H1129)</f>
        <v/>
      </c>
      <c r="AP1129" s="63">
        <f>AO1129-AN1129</f>
        <v/>
      </c>
      <c r="AQ1129" s="61">
        <f>SUMIFS([1]инфо!$H$15:$H$28,[1]инфо!$A$15:$A$28,F1129)</f>
        <v/>
      </c>
      <c r="AR1129" s="62">
        <f>IF(H1128=0,0,AC1129/H1128)</f>
        <v/>
      </c>
      <c r="AS1129" s="63">
        <f>AR1129-AQ1129</f>
        <v/>
      </c>
      <c r="AT1129" s="61">
        <f>SUMIFS([1]инфо!$I$15:$I$28,[1]инфо!$A$15:$A$28,F1129)</f>
        <v/>
      </c>
      <c r="AU1129" s="62">
        <f>IF(H1129=0,0,AD1129/H1129)</f>
        <v/>
      </c>
      <c r="AV1129" s="63">
        <f>AU1129-AT1129</f>
        <v/>
      </c>
      <c r="AX1129" s="59">
        <f>SUMIFS([1]инфо!$C$15:$C$28,[1]инфо!$A$15:$A$28,F1129)*H1128</f>
        <v/>
      </c>
    </row>
    <row r="1130">
      <c r="A1130" s="71">
        <f>A1128+1</f>
        <v/>
      </c>
      <c r="B1130" s="88" t="n"/>
      <c r="C1130" s="77" t="n"/>
      <c r="D1130" s="78" t="n"/>
      <c r="E1130" s="91" t="n"/>
      <c r="F1130" s="67" t="n"/>
      <c r="G1130" s="79" t="n"/>
      <c r="H1130" s="67" t="n"/>
      <c r="I1130" s="55" t="n"/>
      <c r="J1130" s="55" t="n"/>
      <c r="K1130" s="55" t="n"/>
      <c r="L1130" s="55" t="n"/>
      <c r="M1130" s="55" t="n"/>
      <c r="N1130" s="56" t="n"/>
      <c r="O1130" s="79" t="n"/>
      <c r="P1130" s="79" t="n"/>
      <c r="Q1130" s="79" t="n"/>
      <c r="R1130" s="79" t="n"/>
      <c r="S1130" s="80">
        <f>SUM(O1130:R1130)</f>
        <v/>
      </c>
      <c r="T1130" s="77" t="n"/>
      <c r="U1130" s="78" t="n"/>
      <c r="V1130" s="79" t="n"/>
      <c r="W1130" s="79" t="n"/>
      <c r="X1130" s="79" t="n"/>
      <c r="Y1130" s="77" t="n"/>
      <c r="Z1130" s="79" t="n"/>
      <c r="AA1130" s="79" t="n"/>
      <c r="AB1130" s="79" t="n"/>
      <c r="AC1130" s="79" t="n"/>
      <c r="AD1130" s="78" t="n"/>
      <c r="AE1130" s="81">
        <f>SUMIFS([1]инфо!$D$15:$D$28,[1]инфо!$A$15:$A$28,F1130)</f>
        <v/>
      </c>
      <c r="AF1130" s="62">
        <f>IF(H1130=0,0,N1130/H1130)</f>
        <v/>
      </c>
      <c r="AG1130" s="82">
        <f>AF1130-AE1130</f>
        <v/>
      </c>
      <c r="AH1130" s="81">
        <f>SUMIFS([1]инфо!$E$15:$E$28,[1]инфо!$A$15:$A$28,F1130)</f>
        <v/>
      </c>
      <c r="AI1130" s="85">
        <f>IF(H1129=0,0,S1130/H1129)</f>
        <v/>
      </c>
      <c r="AJ1130" s="82">
        <f>AI1130-AH1130</f>
        <v/>
      </c>
      <c r="AK1130" s="81">
        <f>SUMIFS([1]инфо!$F$15:$F$28,[1]инфо!$A$15:$A$28,F1130)</f>
        <v/>
      </c>
      <c r="AL1130" s="64">
        <f>IF(H1130=0,0,Y1130/H1130)</f>
        <v/>
      </c>
      <c r="AM1130" s="82">
        <f>AL1130-AK1130</f>
        <v/>
      </c>
      <c r="AN1130" s="81">
        <f>SUMIFS([1]инфо!$G$15:$G$28,[1]инфо!$A$15:$A$28,F1130)</f>
        <v/>
      </c>
      <c r="AO1130" s="64">
        <f>IF(H1130=0,0,AA1130/H1130)</f>
        <v/>
      </c>
      <c r="AP1130" s="82">
        <f>AO1130-AN1130</f>
        <v/>
      </c>
      <c r="AQ1130" s="81">
        <f>SUMIFS([1]инфо!$H$15:$H$28,[1]инфо!$A$15:$A$28,F1130)</f>
        <v/>
      </c>
      <c r="AR1130" s="85">
        <f>IF(H1129=0,0,AC1130/H1129)</f>
        <v/>
      </c>
      <c r="AS1130" s="82">
        <f>AR1130-AQ1130</f>
        <v/>
      </c>
      <c r="AT1130" s="81">
        <f>SUMIFS([1]инфо!$I$15:$I$28,[1]инфо!$A$15:$A$28,F1130)</f>
        <v/>
      </c>
      <c r="AU1130" s="62">
        <f>IF(H1130=0,0,AD1130/H1130)</f>
        <v/>
      </c>
      <c r="AV1130" s="82">
        <f>AU1130-AT1130</f>
        <v/>
      </c>
      <c r="AX1130" s="80">
        <f>SUMIFS([1]инфо!$C$15:$C$28,[1]инфо!$A$15:$A$28,F1130)*H1129</f>
        <v/>
      </c>
    </row>
    <row r="1131">
      <c r="A1131" s="71">
        <f>A1129+1</f>
        <v/>
      </c>
      <c r="B1131" s="89" t="n"/>
      <c r="C1131" s="72" t="n"/>
      <c r="D1131" s="73" t="n"/>
      <c r="E1131" s="91" t="n"/>
      <c r="F1131" s="67" t="n"/>
      <c r="G1131" s="74" t="n"/>
      <c r="H1131" s="55" t="n"/>
      <c r="I1131" s="55" t="n"/>
      <c r="J1131" s="55" t="n"/>
      <c r="K1131" s="55" t="n"/>
      <c r="L1131" s="55" t="n"/>
      <c r="M1131" s="55" t="n"/>
      <c r="N1131" s="67" t="n"/>
      <c r="O1131" s="74" t="n"/>
      <c r="P1131" s="74" t="n"/>
      <c r="Q1131" s="74" t="n"/>
      <c r="R1131" s="74" t="n"/>
      <c r="S1131" s="70">
        <f>SUM(O1131:R1131)</f>
        <v/>
      </c>
      <c r="T1131" s="72" t="n"/>
      <c r="U1131" s="73" t="n"/>
      <c r="V1131" s="74" t="n"/>
      <c r="W1131" s="74" t="n"/>
      <c r="X1131" s="74" t="n"/>
      <c r="Y1131" s="72" t="n"/>
      <c r="Z1131" s="74" t="n"/>
      <c r="AA1131" s="74" t="n"/>
      <c r="AB1131" s="74" t="n"/>
      <c r="AC1131" s="74" t="n"/>
      <c r="AD1131" s="73" t="n"/>
      <c r="AE1131" s="75">
        <f>SUMIFS([1]инфо!$D$15:$D$28,[1]инфо!$A$15:$A$28,F1131)</f>
        <v/>
      </c>
      <c r="AF1131" s="62">
        <f>IF(H1131=0,0,N1131/H1131)</f>
        <v/>
      </c>
      <c r="AG1131" s="76">
        <f>AF1131-AE1131</f>
        <v/>
      </c>
      <c r="AH1131" s="75">
        <f>SUMIFS([1]инфо!$E$15:$E$28,[1]инфо!$A$15:$A$28,F1131)</f>
        <v/>
      </c>
      <c r="AI1131" s="64">
        <f>IF(H1130=0,0,S1131/H1130)</f>
        <v/>
      </c>
      <c r="AJ1131" s="76">
        <f>AI1131-AH1131</f>
        <v/>
      </c>
      <c r="AK1131" s="75">
        <f>SUMIFS([1]инфо!$F$15:$F$28,[1]инфо!$A$15:$A$28,F1131)</f>
        <v/>
      </c>
      <c r="AL1131" s="64">
        <f>IF(H1131=0,0,Y1131/H1131)</f>
        <v/>
      </c>
      <c r="AM1131" s="76">
        <f>AL1131-AK1131</f>
        <v/>
      </c>
      <c r="AN1131" s="75">
        <f>SUMIFS([1]инфо!$G$15:$G$28,[1]инфо!$A$15:$A$28,F1131)</f>
        <v/>
      </c>
      <c r="AO1131" s="64">
        <f>IF(H1131=0,0,AA1131/H1131)</f>
        <v/>
      </c>
      <c r="AP1131" s="76">
        <f>AO1131-AN1131</f>
        <v/>
      </c>
      <c r="AQ1131" s="75">
        <f>SUMIFS([1]инфо!$H$15:$H$28,[1]инфо!$A$15:$A$28,F1131)</f>
        <v/>
      </c>
      <c r="AR1131" s="64">
        <f>IF(H1130=0,0,AC1131/H1130)</f>
        <v/>
      </c>
      <c r="AS1131" s="76">
        <f>AR1131-AQ1131</f>
        <v/>
      </c>
      <c r="AT1131" s="75">
        <f>SUMIFS([1]инфо!$I$15:$I$28,[1]инфо!$A$15:$A$28,F1131)</f>
        <v/>
      </c>
      <c r="AU1131" s="62">
        <f>IF(H1131=0,0,AD1131/H1131)</f>
        <v/>
      </c>
      <c r="AV1131" s="76">
        <f>AU1131-AT1131</f>
        <v/>
      </c>
      <c r="AX1131" s="70">
        <f>SUMIFS([1]инфо!$C$15:$C$28,[1]инфо!$A$15:$A$28,F1131)*H1130</f>
        <v/>
      </c>
    </row>
    <row r="1132">
      <c r="A1132" s="71">
        <f>A1130+1</f>
        <v/>
      </c>
      <c r="B1132" s="90" t="n"/>
      <c r="C1132" s="52" t="n"/>
      <c r="D1132" s="53" t="n"/>
      <c r="E1132" s="91" t="n"/>
      <c r="F1132" s="67" t="n"/>
      <c r="G1132" s="58" t="n"/>
      <c r="H1132" s="55" t="n"/>
      <c r="I1132" s="55" t="n"/>
      <c r="J1132" s="55" t="n"/>
      <c r="K1132" s="55" t="n"/>
      <c r="L1132" s="55" t="n"/>
      <c r="M1132" s="55" t="n"/>
      <c r="N1132" s="55" t="n"/>
      <c r="O1132" s="58" t="n"/>
      <c r="P1132" s="58" t="n"/>
      <c r="Q1132" s="58" t="n"/>
      <c r="R1132" s="58" t="n"/>
      <c r="S1132" s="59">
        <f>SUM(O1132:R1132)</f>
        <v/>
      </c>
      <c r="T1132" s="52" t="n"/>
      <c r="U1132" s="53" t="n"/>
      <c r="V1132" s="58" t="n"/>
      <c r="W1132" s="58" t="n"/>
      <c r="X1132" s="58" t="n"/>
      <c r="Y1132" s="52" t="n"/>
      <c r="Z1132" s="58" t="n"/>
      <c r="AA1132" s="58" t="n"/>
      <c r="AB1132" s="58" t="n"/>
      <c r="AC1132" s="58" t="n"/>
      <c r="AD1132" s="53" t="n"/>
      <c r="AE1132" s="61">
        <f>SUMIFS([1]инфо!$D$15:$D$28,[1]инфо!$A$15:$A$28,F1132)</f>
        <v/>
      </c>
      <c r="AF1132" s="62">
        <f>IF(H1132=0,0,N1132/H1132)</f>
        <v/>
      </c>
      <c r="AG1132" s="63">
        <f>AF1132-AE1132</f>
        <v/>
      </c>
      <c r="AH1132" s="61">
        <f>SUMIFS([1]инфо!$E$15:$E$28,[1]инфо!$A$15:$A$28,F1132)</f>
        <v/>
      </c>
      <c r="AI1132" s="62">
        <f>IF(H1131=0,0,S1132/H1131)</f>
        <v/>
      </c>
      <c r="AJ1132" s="63">
        <f>AI1132-AH1132</f>
        <v/>
      </c>
      <c r="AK1132" s="61">
        <f>SUMIFS([1]инфо!$F$15:$F$28,[1]инфо!$A$15:$A$28,F1132)</f>
        <v/>
      </c>
      <c r="AL1132" s="64">
        <f>IF(H1132=0,0,Y1132/H1132)</f>
        <v/>
      </c>
      <c r="AM1132" s="63">
        <f>AL1132-AK1132</f>
        <v/>
      </c>
      <c r="AN1132" s="61">
        <f>SUMIFS([1]инфо!$G$15:$G$28,[1]инфо!$A$15:$A$28,F1132)</f>
        <v/>
      </c>
      <c r="AO1132" s="64">
        <f>IF(H1132=0,0,AA1132/H1132)</f>
        <v/>
      </c>
      <c r="AP1132" s="63">
        <f>AO1132-AN1132</f>
        <v/>
      </c>
      <c r="AQ1132" s="61">
        <f>SUMIFS([1]инфо!$H$15:$H$28,[1]инфо!$A$15:$A$28,F1132)</f>
        <v/>
      </c>
      <c r="AR1132" s="62">
        <f>IF(H1131=0,0,AC1132/H1131)</f>
        <v/>
      </c>
      <c r="AS1132" s="63">
        <f>AR1132-AQ1132</f>
        <v/>
      </c>
      <c r="AT1132" s="61">
        <f>SUMIFS([1]инфо!$I$15:$I$28,[1]инфо!$A$15:$A$28,F1132)</f>
        <v/>
      </c>
      <c r="AU1132" s="62">
        <f>IF(H1132=0,0,AD1132/H1132)</f>
        <v/>
      </c>
      <c r="AV1132" s="63">
        <f>AU1132-AT1132</f>
        <v/>
      </c>
      <c r="AX1132" s="59">
        <f>SUMIFS([1]инфо!$C$15:$C$28,[1]инфо!$A$15:$A$28,F1132)*H1131</f>
        <v/>
      </c>
    </row>
    <row r="1133">
      <c r="A1133" s="71">
        <f>A1131+1</f>
        <v/>
      </c>
      <c r="B1133" s="90" t="n"/>
      <c r="C1133" s="52" t="n"/>
      <c r="D1133" s="53" t="n"/>
      <c r="E1133" s="91" t="n"/>
      <c r="F1133" s="67" t="n"/>
      <c r="G1133" s="58" t="n"/>
      <c r="H1133" s="56" t="n"/>
      <c r="I1133" s="55" t="n"/>
      <c r="J1133" s="55" t="n"/>
      <c r="K1133" s="55" t="n"/>
      <c r="L1133" s="55" t="n"/>
      <c r="M1133" s="55" t="n"/>
      <c r="N1133" s="55" t="n"/>
      <c r="O1133" s="58" t="n"/>
      <c r="P1133" s="58" t="n"/>
      <c r="Q1133" s="58" t="n"/>
      <c r="R1133" s="58" t="n"/>
      <c r="S1133" s="59">
        <f>SUM(O1133:R1133)</f>
        <v/>
      </c>
      <c r="T1133" s="52" t="n"/>
      <c r="U1133" s="53" t="n"/>
      <c r="V1133" s="58" t="n"/>
      <c r="W1133" s="58" t="n"/>
      <c r="X1133" s="58" t="n"/>
      <c r="Y1133" s="52" t="n"/>
      <c r="Z1133" s="58" t="n"/>
      <c r="AA1133" s="58" t="n"/>
      <c r="AB1133" s="58" t="n"/>
      <c r="AC1133" s="58" t="n"/>
      <c r="AD1133" s="53" t="n"/>
      <c r="AE1133" s="61">
        <f>SUMIFS([1]инфо!$D$15:$D$28,[1]инфо!$A$15:$A$28,F1133)</f>
        <v/>
      </c>
      <c r="AF1133" s="62">
        <f>IF(H1133=0,0,N1133/H1133)</f>
        <v/>
      </c>
      <c r="AG1133" s="63">
        <f>AF1133-AE1133</f>
        <v/>
      </c>
      <c r="AH1133" s="61">
        <f>SUMIFS([1]инфо!$E$15:$E$28,[1]инфо!$A$15:$A$28,F1133)</f>
        <v/>
      </c>
      <c r="AI1133" s="62">
        <f>IF(H1132=0,0,S1133/H1132)</f>
        <v/>
      </c>
      <c r="AJ1133" s="63">
        <f>AI1133-AH1133</f>
        <v/>
      </c>
      <c r="AK1133" s="61">
        <f>SUMIFS([1]инфо!$F$15:$F$28,[1]инфо!$A$15:$A$28,F1133)</f>
        <v/>
      </c>
      <c r="AL1133" s="64">
        <f>IF(H1133=0,0,Y1133/H1133)</f>
        <v/>
      </c>
      <c r="AM1133" s="63">
        <f>AL1133-AK1133</f>
        <v/>
      </c>
      <c r="AN1133" s="61">
        <f>SUMIFS([1]инфо!$G$15:$G$28,[1]инфо!$A$15:$A$28,F1133)</f>
        <v/>
      </c>
      <c r="AO1133" s="64">
        <f>IF(H1133=0,0,AA1133/H1133)</f>
        <v/>
      </c>
      <c r="AP1133" s="63">
        <f>AO1133-AN1133</f>
        <v/>
      </c>
      <c r="AQ1133" s="61">
        <f>SUMIFS([1]инфо!$H$15:$H$28,[1]инфо!$A$15:$A$28,F1133)</f>
        <v/>
      </c>
      <c r="AR1133" s="62">
        <f>IF(H1132=0,0,AC1133/H1132)</f>
        <v/>
      </c>
      <c r="AS1133" s="63">
        <f>AR1133-AQ1133</f>
        <v/>
      </c>
      <c r="AT1133" s="61">
        <f>SUMIFS([1]инфо!$I$15:$I$28,[1]инфо!$A$15:$A$28,F1133)</f>
        <v/>
      </c>
      <c r="AU1133" s="62">
        <f>IF(H1133=0,0,AD1133/H1133)</f>
        <v/>
      </c>
      <c r="AV1133" s="63">
        <f>AU1133-AT1133</f>
        <v/>
      </c>
      <c r="AX1133" s="59">
        <f>SUMIFS([1]инфо!$C$15:$C$28,[1]инфо!$A$15:$A$28,F1133)*H1132</f>
        <v/>
      </c>
    </row>
    <row r="1134">
      <c r="A1134" s="71">
        <f>A1132+1</f>
        <v/>
      </c>
      <c r="B1134" s="88" t="n"/>
      <c r="C1134" s="77" t="n"/>
      <c r="D1134" s="78" t="n"/>
      <c r="E1134" s="91" t="n"/>
      <c r="F1134" s="67" t="n"/>
      <c r="G1134" s="79" t="n"/>
      <c r="H1134" s="67" t="n"/>
      <c r="I1134" s="55" t="n"/>
      <c r="J1134" s="55" t="n"/>
      <c r="K1134" s="55" t="n"/>
      <c r="L1134" s="55" t="n"/>
      <c r="M1134" s="55" t="n"/>
      <c r="N1134" s="56" t="n"/>
      <c r="O1134" s="79" t="n"/>
      <c r="P1134" s="79" t="n"/>
      <c r="Q1134" s="79" t="n"/>
      <c r="R1134" s="79" t="n"/>
      <c r="S1134" s="80">
        <f>SUM(O1134:R1134)</f>
        <v/>
      </c>
      <c r="T1134" s="77" t="n"/>
      <c r="U1134" s="78" t="n"/>
      <c r="V1134" s="79" t="n"/>
      <c r="W1134" s="79" t="n"/>
      <c r="X1134" s="79" t="n"/>
      <c r="Y1134" s="77" t="n"/>
      <c r="Z1134" s="79" t="n"/>
      <c r="AA1134" s="79" t="n"/>
      <c r="AB1134" s="79" t="n"/>
      <c r="AC1134" s="79" t="n"/>
      <c r="AD1134" s="78" t="n"/>
      <c r="AE1134" s="81">
        <f>SUMIFS([1]инфо!$D$15:$D$28,[1]инфо!$A$15:$A$28,F1134)</f>
        <v/>
      </c>
      <c r="AF1134" s="62">
        <f>IF(H1134=0,0,N1134/H1134)</f>
        <v/>
      </c>
      <c r="AG1134" s="82">
        <f>AF1134-AE1134</f>
        <v/>
      </c>
      <c r="AH1134" s="81">
        <f>SUMIFS([1]инфо!$E$15:$E$28,[1]инфо!$A$15:$A$28,F1134)</f>
        <v/>
      </c>
      <c r="AI1134" s="85">
        <f>IF(H1133=0,0,S1134/H1133)</f>
        <v/>
      </c>
      <c r="AJ1134" s="82">
        <f>AI1134-AH1134</f>
        <v/>
      </c>
      <c r="AK1134" s="81">
        <f>SUMIFS([1]инфо!$F$15:$F$28,[1]инфо!$A$15:$A$28,F1134)</f>
        <v/>
      </c>
      <c r="AL1134" s="64">
        <f>IF(H1134=0,0,Y1134/H1134)</f>
        <v/>
      </c>
      <c r="AM1134" s="82">
        <f>AL1134-AK1134</f>
        <v/>
      </c>
      <c r="AN1134" s="81">
        <f>SUMIFS([1]инфо!$G$15:$G$28,[1]инфо!$A$15:$A$28,F1134)</f>
        <v/>
      </c>
      <c r="AO1134" s="64">
        <f>IF(H1134=0,0,AA1134/H1134)</f>
        <v/>
      </c>
      <c r="AP1134" s="82">
        <f>AO1134-AN1134</f>
        <v/>
      </c>
      <c r="AQ1134" s="81">
        <f>SUMIFS([1]инфо!$H$15:$H$28,[1]инфо!$A$15:$A$28,F1134)</f>
        <v/>
      </c>
      <c r="AR1134" s="85">
        <f>IF(H1133=0,0,AC1134/H1133)</f>
        <v/>
      </c>
      <c r="AS1134" s="82">
        <f>AR1134-AQ1134</f>
        <v/>
      </c>
      <c r="AT1134" s="81">
        <f>SUMIFS([1]инфо!$I$15:$I$28,[1]инфо!$A$15:$A$28,F1134)</f>
        <v/>
      </c>
      <c r="AU1134" s="62">
        <f>IF(H1134=0,0,AD1134/H1134)</f>
        <v/>
      </c>
      <c r="AV1134" s="82">
        <f>AU1134-AT1134</f>
        <v/>
      </c>
      <c r="AX1134" s="80">
        <f>SUMIFS([1]инфо!$C$15:$C$28,[1]инфо!$A$15:$A$28,F1134)*H1133</f>
        <v/>
      </c>
    </row>
    <row r="1135">
      <c r="A1135" s="71">
        <f>A1133+1</f>
        <v/>
      </c>
      <c r="B1135" s="89" t="n"/>
      <c r="C1135" s="72" t="n"/>
      <c r="D1135" s="73" t="n"/>
      <c r="E1135" s="91" t="n"/>
      <c r="F1135" s="67" t="n"/>
      <c r="G1135" s="74" t="n"/>
      <c r="H1135" s="55" t="n"/>
      <c r="I1135" s="55" t="n"/>
      <c r="J1135" s="55" t="n"/>
      <c r="K1135" s="55" t="n"/>
      <c r="L1135" s="55" t="n"/>
      <c r="M1135" s="55" t="n"/>
      <c r="N1135" s="67" t="n"/>
      <c r="O1135" s="74" t="n"/>
      <c r="P1135" s="74" t="n"/>
      <c r="Q1135" s="74" t="n"/>
      <c r="R1135" s="74" t="n"/>
      <c r="S1135" s="70">
        <f>SUM(O1135:R1135)</f>
        <v/>
      </c>
      <c r="T1135" s="72" t="n"/>
      <c r="U1135" s="73" t="n"/>
      <c r="V1135" s="74" t="n"/>
      <c r="W1135" s="74" t="n"/>
      <c r="X1135" s="74" t="n"/>
      <c r="Y1135" s="72" t="n"/>
      <c r="Z1135" s="74" t="n"/>
      <c r="AA1135" s="74" t="n"/>
      <c r="AB1135" s="74" t="n"/>
      <c r="AC1135" s="74" t="n"/>
      <c r="AD1135" s="73" t="n"/>
      <c r="AE1135" s="75">
        <f>SUMIFS([1]инфо!$D$15:$D$28,[1]инфо!$A$15:$A$28,F1135)</f>
        <v/>
      </c>
      <c r="AF1135" s="62">
        <f>IF(H1135=0,0,N1135/H1135)</f>
        <v/>
      </c>
      <c r="AG1135" s="76">
        <f>AF1135-AE1135</f>
        <v/>
      </c>
      <c r="AH1135" s="75">
        <f>SUMIFS([1]инфо!$E$15:$E$28,[1]инфо!$A$15:$A$28,F1135)</f>
        <v/>
      </c>
      <c r="AI1135" s="64">
        <f>IF(H1134=0,0,S1135/H1134)</f>
        <v/>
      </c>
      <c r="AJ1135" s="76">
        <f>AI1135-AH1135</f>
        <v/>
      </c>
      <c r="AK1135" s="75">
        <f>SUMIFS([1]инфо!$F$15:$F$28,[1]инфо!$A$15:$A$28,F1135)</f>
        <v/>
      </c>
      <c r="AL1135" s="64">
        <f>IF(H1135=0,0,Y1135/H1135)</f>
        <v/>
      </c>
      <c r="AM1135" s="76">
        <f>AL1135-AK1135</f>
        <v/>
      </c>
      <c r="AN1135" s="75">
        <f>SUMIFS([1]инфо!$G$15:$G$28,[1]инфо!$A$15:$A$28,F1135)</f>
        <v/>
      </c>
      <c r="AO1135" s="64">
        <f>IF(H1135=0,0,AA1135/H1135)</f>
        <v/>
      </c>
      <c r="AP1135" s="76">
        <f>AO1135-AN1135</f>
        <v/>
      </c>
      <c r="AQ1135" s="75">
        <f>SUMIFS([1]инфо!$H$15:$H$28,[1]инфо!$A$15:$A$28,F1135)</f>
        <v/>
      </c>
      <c r="AR1135" s="64">
        <f>IF(H1134=0,0,AC1135/H1134)</f>
        <v/>
      </c>
      <c r="AS1135" s="76">
        <f>AR1135-AQ1135</f>
        <v/>
      </c>
      <c r="AT1135" s="75">
        <f>SUMIFS([1]инфо!$I$15:$I$28,[1]инфо!$A$15:$A$28,F1135)</f>
        <v/>
      </c>
      <c r="AU1135" s="62">
        <f>IF(H1135=0,0,AD1135/H1135)</f>
        <v/>
      </c>
      <c r="AV1135" s="76">
        <f>AU1135-AT1135</f>
        <v/>
      </c>
      <c r="AX1135" s="70">
        <f>SUMIFS([1]инфо!$C$15:$C$28,[1]инфо!$A$15:$A$28,F1135)*H1134</f>
        <v/>
      </c>
    </row>
    <row r="1136">
      <c r="A1136" s="71">
        <f>A1134+1</f>
        <v/>
      </c>
      <c r="B1136" s="90" t="n"/>
      <c r="C1136" s="52" t="n"/>
      <c r="D1136" s="53" t="n"/>
      <c r="E1136" s="91" t="n"/>
      <c r="F1136" s="67" t="n"/>
      <c r="G1136" s="58" t="n"/>
      <c r="H1136" s="55" t="n"/>
      <c r="I1136" s="55" t="n"/>
      <c r="J1136" s="55" t="n"/>
      <c r="K1136" s="55" t="n"/>
      <c r="L1136" s="55" t="n"/>
      <c r="M1136" s="55" t="n"/>
      <c r="N1136" s="55" t="n"/>
      <c r="O1136" s="58" t="n"/>
      <c r="P1136" s="58" t="n"/>
      <c r="Q1136" s="58" t="n"/>
      <c r="R1136" s="58" t="n"/>
      <c r="S1136" s="59">
        <f>SUM(O1136:R1136)</f>
        <v/>
      </c>
      <c r="T1136" s="52" t="n"/>
      <c r="U1136" s="53" t="n"/>
      <c r="V1136" s="58" t="n"/>
      <c r="W1136" s="58" t="n"/>
      <c r="X1136" s="58" t="n"/>
      <c r="Y1136" s="52" t="n"/>
      <c r="Z1136" s="58" t="n"/>
      <c r="AA1136" s="58" t="n"/>
      <c r="AB1136" s="58" t="n"/>
      <c r="AC1136" s="58" t="n"/>
      <c r="AD1136" s="53" t="n"/>
      <c r="AE1136" s="61">
        <f>SUMIFS([1]инфо!$D$15:$D$28,[1]инфо!$A$15:$A$28,F1136)</f>
        <v/>
      </c>
      <c r="AF1136" s="62">
        <f>IF(H1136=0,0,N1136/H1136)</f>
        <v/>
      </c>
      <c r="AG1136" s="63">
        <f>AF1136-AE1136</f>
        <v/>
      </c>
      <c r="AH1136" s="61">
        <f>SUMIFS([1]инфо!$E$15:$E$28,[1]инфо!$A$15:$A$28,F1136)</f>
        <v/>
      </c>
      <c r="AI1136" s="62">
        <f>IF(H1135=0,0,S1136/H1135)</f>
        <v/>
      </c>
      <c r="AJ1136" s="63">
        <f>AI1136-AH1136</f>
        <v/>
      </c>
      <c r="AK1136" s="61">
        <f>SUMIFS([1]инфо!$F$15:$F$28,[1]инфо!$A$15:$A$28,F1136)</f>
        <v/>
      </c>
      <c r="AL1136" s="64">
        <f>IF(H1136=0,0,Y1136/H1136)</f>
        <v/>
      </c>
      <c r="AM1136" s="63">
        <f>AL1136-AK1136</f>
        <v/>
      </c>
      <c r="AN1136" s="61">
        <f>SUMIFS([1]инфо!$G$15:$G$28,[1]инфо!$A$15:$A$28,F1136)</f>
        <v/>
      </c>
      <c r="AO1136" s="64">
        <f>IF(H1136=0,0,AA1136/H1136)</f>
        <v/>
      </c>
      <c r="AP1136" s="63">
        <f>AO1136-AN1136</f>
        <v/>
      </c>
      <c r="AQ1136" s="61">
        <f>SUMIFS([1]инфо!$H$15:$H$28,[1]инфо!$A$15:$A$28,F1136)</f>
        <v/>
      </c>
      <c r="AR1136" s="62">
        <f>IF(H1135=0,0,AC1136/H1135)</f>
        <v/>
      </c>
      <c r="AS1136" s="63">
        <f>AR1136-AQ1136</f>
        <v/>
      </c>
      <c r="AT1136" s="61">
        <f>SUMIFS([1]инфо!$I$15:$I$28,[1]инфо!$A$15:$A$28,F1136)</f>
        <v/>
      </c>
      <c r="AU1136" s="62">
        <f>IF(H1136=0,0,AD1136/H1136)</f>
        <v/>
      </c>
      <c r="AV1136" s="63">
        <f>AU1136-AT1136</f>
        <v/>
      </c>
      <c r="AX1136" s="59">
        <f>SUMIFS([1]инфо!$C$15:$C$28,[1]инфо!$A$15:$A$28,F1136)*H1135</f>
        <v/>
      </c>
    </row>
    <row r="1137">
      <c r="A1137" s="71">
        <f>A1135+1</f>
        <v/>
      </c>
      <c r="B1137" s="90" t="n"/>
      <c r="C1137" s="52" t="n"/>
      <c r="D1137" s="53" t="n"/>
      <c r="E1137" s="91" t="n"/>
      <c r="F1137" s="67" t="n"/>
      <c r="G1137" s="58" t="n"/>
      <c r="H1137" s="56" t="n"/>
      <c r="I1137" s="55" t="n"/>
      <c r="J1137" s="55" t="n"/>
      <c r="K1137" s="55" t="n"/>
      <c r="L1137" s="55" t="n"/>
      <c r="M1137" s="55" t="n"/>
      <c r="N1137" s="55" t="n"/>
      <c r="O1137" s="58" t="n"/>
      <c r="P1137" s="58" t="n"/>
      <c r="Q1137" s="58" t="n"/>
      <c r="R1137" s="58" t="n"/>
      <c r="S1137" s="59">
        <f>SUM(O1137:R1137)</f>
        <v/>
      </c>
      <c r="T1137" s="52" t="n"/>
      <c r="U1137" s="53" t="n"/>
      <c r="V1137" s="58" t="n"/>
      <c r="W1137" s="58" t="n"/>
      <c r="X1137" s="58" t="n"/>
      <c r="Y1137" s="52" t="n"/>
      <c r="Z1137" s="58" t="n"/>
      <c r="AA1137" s="58" t="n"/>
      <c r="AB1137" s="58" t="n"/>
      <c r="AC1137" s="58" t="n"/>
      <c r="AD1137" s="53" t="n"/>
      <c r="AE1137" s="61">
        <f>SUMIFS([1]инфо!$D$15:$D$28,[1]инфо!$A$15:$A$28,F1137)</f>
        <v/>
      </c>
      <c r="AF1137" s="62">
        <f>IF(H1137=0,0,N1137/H1137)</f>
        <v/>
      </c>
      <c r="AG1137" s="63">
        <f>AF1137-AE1137</f>
        <v/>
      </c>
      <c r="AH1137" s="61">
        <f>SUMIFS([1]инфо!$E$15:$E$28,[1]инфо!$A$15:$A$28,F1137)</f>
        <v/>
      </c>
      <c r="AI1137" s="62">
        <f>IF(H1136=0,0,S1137/H1136)</f>
        <v/>
      </c>
      <c r="AJ1137" s="63">
        <f>AI1137-AH1137</f>
        <v/>
      </c>
      <c r="AK1137" s="61">
        <f>SUMIFS([1]инфо!$F$15:$F$28,[1]инфо!$A$15:$A$28,F1137)</f>
        <v/>
      </c>
      <c r="AL1137" s="64">
        <f>IF(H1137=0,0,Y1137/H1137)</f>
        <v/>
      </c>
      <c r="AM1137" s="63">
        <f>AL1137-AK1137</f>
        <v/>
      </c>
      <c r="AN1137" s="61">
        <f>SUMIFS([1]инфо!$G$15:$G$28,[1]инфо!$A$15:$A$28,F1137)</f>
        <v/>
      </c>
      <c r="AO1137" s="64">
        <f>IF(H1137=0,0,AA1137/H1137)</f>
        <v/>
      </c>
      <c r="AP1137" s="63">
        <f>AO1137-AN1137</f>
        <v/>
      </c>
      <c r="AQ1137" s="61">
        <f>SUMIFS([1]инфо!$H$15:$H$28,[1]инфо!$A$15:$A$28,F1137)</f>
        <v/>
      </c>
      <c r="AR1137" s="62">
        <f>IF(H1136=0,0,AC1137/H1136)</f>
        <v/>
      </c>
      <c r="AS1137" s="63">
        <f>AR1137-AQ1137</f>
        <v/>
      </c>
      <c r="AT1137" s="61">
        <f>SUMIFS([1]инфо!$I$15:$I$28,[1]инфо!$A$15:$A$28,F1137)</f>
        <v/>
      </c>
      <c r="AU1137" s="62">
        <f>IF(H1137=0,0,AD1137/H1137)</f>
        <v/>
      </c>
      <c r="AV1137" s="63">
        <f>AU1137-AT1137</f>
        <v/>
      </c>
      <c r="AX1137" s="59">
        <f>SUMIFS([1]инфо!$C$15:$C$28,[1]инфо!$A$15:$A$28,F1137)*H1136</f>
        <v/>
      </c>
    </row>
    <row r="1138">
      <c r="A1138" s="71">
        <f>A1136+1</f>
        <v/>
      </c>
      <c r="B1138" s="88" t="n"/>
      <c r="C1138" s="77" t="n"/>
      <c r="D1138" s="78" t="n"/>
      <c r="E1138" s="91" t="n"/>
      <c r="F1138" s="67" t="n"/>
      <c r="G1138" s="79" t="n"/>
      <c r="H1138" s="67" t="n"/>
      <c r="I1138" s="55" t="n"/>
      <c r="J1138" s="55" t="n"/>
      <c r="K1138" s="55" t="n"/>
      <c r="L1138" s="55" t="n"/>
      <c r="M1138" s="55" t="n"/>
      <c r="N1138" s="56" t="n"/>
      <c r="O1138" s="79" t="n"/>
      <c r="P1138" s="79" t="n"/>
      <c r="Q1138" s="79" t="n"/>
      <c r="R1138" s="79" t="n"/>
      <c r="S1138" s="80">
        <f>SUM(O1138:R1138)</f>
        <v/>
      </c>
      <c r="T1138" s="77" t="n"/>
      <c r="U1138" s="78" t="n"/>
      <c r="V1138" s="79" t="n"/>
      <c r="W1138" s="79" t="n"/>
      <c r="X1138" s="79" t="n"/>
      <c r="Y1138" s="77" t="n"/>
      <c r="Z1138" s="79" t="n"/>
      <c r="AA1138" s="79" t="n"/>
      <c r="AB1138" s="79" t="n"/>
      <c r="AC1138" s="79" t="n"/>
      <c r="AD1138" s="78" t="n"/>
      <c r="AE1138" s="81">
        <f>SUMIFS([1]инфо!$D$15:$D$28,[1]инфо!$A$15:$A$28,F1138)</f>
        <v/>
      </c>
      <c r="AF1138" s="62">
        <f>IF(H1138=0,0,N1138/H1138)</f>
        <v/>
      </c>
      <c r="AG1138" s="82">
        <f>AF1138-AE1138</f>
        <v/>
      </c>
      <c r="AH1138" s="81">
        <f>SUMIFS([1]инфо!$E$15:$E$28,[1]инфо!$A$15:$A$28,F1138)</f>
        <v/>
      </c>
      <c r="AI1138" s="85">
        <f>IF(H1137=0,0,S1138/H1137)</f>
        <v/>
      </c>
      <c r="AJ1138" s="82">
        <f>AI1138-AH1138</f>
        <v/>
      </c>
      <c r="AK1138" s="81">
        <f>SUMIFS([1]инфо!$F$15:$F$28,[1]инфо!$A$15:$A$28,F1138)</f>
        <v/>
      </c>
      <c r="AL1138" s="64">
        <f>IF(H1138=0,0,Y1138/H1138)</f>
        <v/>
      </c>
      <c r="AM1138" s="82">
        <f>AL1138-AK1138</f>
        <v/>
      </c>
      <c r="AN1138" s="81">
        <f>SUMIFS([1]инфо!$G$15:$G$28,[1]инфо!$A$15:$A$28,F1138)</f>
        <v/>
      </c>
      <c r="AO1138" s="64">
        <f>IF(H1138=0,0,AA1138/H1138)</f>
        <v/>
      </c>
      <c r="AP1138" s="82">
        <f>AO1138-AN1138</f>
        <v/>
      </c>
      <c r="AQ1138" s="81">
        <f>SUMIFS([1]инфо!$H$15:$H$28,[1]инфо!$A$15:$A$28,F1138)</f>
        <v/>
      </c>
      <c r="AR1138" s="85">
        <f>IF(H1137=0,0,AC1138/H1137)</f>
        <v/>
      </c>
      <c r="AS1138" s="82">
        <f>AR1138-AQ1138</f>
        <v/>
      </c>
      <c r="AT1138" s="81">
        <f>SUMIFS([1]инфо!$I$15:$I$28,[1]инфо!$A$15:$A$28,F1138)</f>
        <v/>
      </c>
      <c r="AU1138" s="62">
        <f>IF(H1138=0,0,AD1138/H1138)</f>
        <v/>
      </c>
      <c r="AV1138" s="82">
        <f>AU1138-AT1138</f>
        <v/>
      </c>
      <c r="AX1138" s="80">
        <f>SUMIFS([1]инфо!$C$15:$C$28,[1]инфо!$A$15:$A$28,F1138)*H1137</f>
        <v/>
      </c>
    </row>
    <row r="1139">
      <c r="A1139" s="71">
        <f>A1137+1</f>
        <v/>
      </c>
      <c r="B1139" s="89" t="n"/>
      <c r="C1139" s="72" t="n"/>
      <c r="D1139" s="73" t="n"/>
      <c r="E1139" s="91" t="n"/>
      <c r="F1139" s="67" t="n"/>
      <c r="G1139" s="74" t="n"/>
      <c r="H1139" s="55" t="n"/>
      <c r="I1139" s="55" t="n"/>
      <c r="J1139" s="55" t="n"/>
      <c r="K1139" s="55" t="n"/>
      <c r="L1139" s="55" t="n"/>
      <c r="M1139" s="55" t="n"/>
      <c r="N1139" s="67" t="n"/>
      <c r="O1139" s="74" t="n"/>
      <c r="P1139" s="74" t="n"/>
      <c r="Q1139" s="74" t="n"/>
      <c r="R1139" s="74" t="n"/>
      <c r="S1139" s="70">
        <f>SUM(O1139:R1139)</f>
        <v/>
      </c>
      <c r="T1139" s="72" t="n"/>
      <c r="U1139" s="73" t="n"/>
      <c r="V1139" s="74" t="n"/>
      <c r="W1139" s="74" t="n"/>
      <c r="X1139" s="74" t="n"/>
      <c r="Y1139" s="72" t="n"/>
      <c r="Z1139" s="74" t="n"/>
      <c r="AA1139" s="74" t="n"/>
      <c r="AB1139" s="74" t="n"/>
      <c r="AC1139" s="74" t="n"/>
      <c r="AD1139" s="73" t="n"/>
      <c r="AE1139" s="75">
        <f>SUMIFS([1]инфо!$D$15:$D$28,[1]инфо!$A$15:$A$28,F1139)</f>
        <v/>
      </c>
      <c r="AF1139" s="62">
        <f>IF(H1139=0,0,N1139/H1139)</f>
        <v/>
      </c>
      <c r="AG1139" s="76">
        <f>AF1139-AE1139</f>
        <v/>
      </c>
      <c r="AH1139" s="75">
        <f>SUMIFS([1]инфо!$E$15:$E$28,[1]инфо!$A$15:$A$28,F1139)</f>
        <v/>
      </c>
      <c r="AI1139" s="64">
        <f>IF(H1138=0,0,S1139/H1138)</f>
        <v/>
      </c>
      <c r="AJ1139" s="76">
        <f>AI1139-AH1139</f>
        <v/>
      </c>
      <c r="AK1139" s="75">
        <f>SUMIFS([1]инфо!$F$15:$F$28,[1]инфо!$A$15:$A$28,F1139)</f>
        <v/>
      </c>
      <c r="AL1139" s="64">
        <f>IF(H1139=0,0,Y1139/H1139)</f>
        <v/>
      </c>
      <c r="AM1139" s="76">
        <f>AL1139-AK1139</f>
        <v/>
      </c>
      <c r="AN1139" s="75">
        <f>SUMIFS([1]инфо!$G$15:$G$28,[1]инфо!$A$15:$A$28,F1139)</f>
        <v/>
      </c>
      <c r="AO1139" s="64">
        <f>IF(H1139=0,0,AA1139/H1139)</f>
        <v/>
      </c>
      <c r="AP1139" s="76">
        <f>AO1139-AN1139</f>
        <v/>
      </c>
      <c r="AQ1139" s="75">
        <f>SUMIFS([1]инфо!$H$15:$H$28,[1]инфо!$A$15:$A$28,F1139)</f>
        <v/>
      </c>
      <c r="AR1139" s="64">
        <f>IF(H1138=0,0,AC1139/H1138)</f>
        <v/>
      </c>
      <c r="AS1139" s="76">
        <f>AR1139-AQ1139</f>
        <v/>
      </c>
      <c r="AT1139" s="75">
        <f>SUMIFS([1]инфо!$I$15:$I$28,[1]инфо!$A$15:$A$28,F1139)</f>
        <v/>
      </c>
      <c r="AU1139" s="62">
        <f>IF(H1139=0,0,AD1139/H1139)</f>
        <v/>
      </c>
      <c r="AV1139" s="76">
        <f>AU1139-AT1139</f>
        <v/>
      </c>
      <c r="AX1139" s="70">
        <f>SUMIFS([1]инфо!$C$15:$C$28,[1]инфо!$A$15:$A$28,F1139)*H1138</f>
        <v/>
      </c>
    </row>
    <row r="1140">
      <c r="A1140" s="71">
        <f>A1138+1</f>
        <v/>
      </c>
      <c r="B1140" s="90" t="n"/>
      <c r="C1140" s="52" t="n"/>
      <c r="D1140" s="53" t="n"/>
      <c r="E1140" s="91" t="n"/>
      <c r="F1140" s="67" t="n"/>
      <c r="G1140" s="58" t="n"/>
      <c r="H1140" s="55" t="n"/>
      <c r="I1140" s="55" t="n"/>
      <c r="J1140" s="55" t="n"/>
      <c r="K1140" s="55" t="n"/>
      <c r="L1140" s="55" t="n"/>
      <c r="M1140" s="55" t="n"/>
      <c r="N1140" s="55" t="n"/>
      <c r="O1140" s="58" t="n"/>
      <c r="P1140" s="58" t="n"/>
      <c r="Q1140" s="58" t="n"/>
      <c r="R1140" s="58" t="n"/>
      <c r="S1140" s="59">
        <f>SUM(O1140:R1140)</f>
        <v/>
      </c>
      <c r="T1140" s="52" t="n"/>
      <c r="U1140" s="53" t="n"/>
      <c r="V1140" s="58" t="n"/>
      <c r="W1140" s="58" t="n"/>
      <c r="X1140" s="58" t="n"/>
      <c r="Y1140" s="52" t="n"/>
      <c r="Z1140" s="58" t="n"/>
      <c r="AA1140" s="58" t="n"/>
      <c r="AB1140" s="58" t="n"/>
      <c r="AC1140" s="58" t="n"/>
      <c r="AD1140" s="53" t="n"/>
      <c r="AE1140" s="61">
        <f>SUMIFS([1]инфо!$D$15:$D$28,[1]инфо!$A$15:$A$28,F1140)</f>
        <v/>
      </c>
      <c r="AF1140" s="62">
        <f>IF(H1140=0,0,N1140/H1140)</f>
        <v/>
      </c>
      <c r="AG1140" s="63">
        <f>AF1140-AE1140</f>
        <v/>
      </c>
      <c r="AH1140" s="61">
        <f>SUMIFS([1]инфо!$E$15:$E$28,[1]инфо!$A$15:$A$28,F1140)</f>
        <v/>
      </c>
      <c r="AI1140" s="62">
        <f>IF(H1139=0,0,S1140/H1139)</f>
        <v/>
      </c>
      <c r="AJ1140" s="63">
        <f>AI1140-AH1140</f>
        <v/>
      </c>
      <c r="AK1140" s="61">
        <f>SUMIFS([1]инфо!$F$15:$F$28,[1]инфо!$A$15:$A$28,F1140)</f>
        <v/>
      </c>
      <c r="AL1140" s="64">
        <f>IF(H1140=0,0,Y1140/H1140)</f>
        <v/>
      </c>
      <c r="AM1140" s="63">
        <f>AL1140-AK1140</f>
        <v/>
      </c>
      <c r="AN1140" s="61">
        <f>SUMIFS([1]инфо!$G$15:$G$28,[1]инфо!$A$15:$A$28,F1140)</f>
        <v/>
      </c>
      <c r="AO1140" s="64">
        <f>IF(H1140=0,0,AA1140/H1140)</f>
        <v/>
      </c>
      <c r="AP1140" s="63">
        <f>AO1140-AN1140</f>
        <v/>
      </c>
      <c r="AQ1140" s="61">
        <f>SUMIFS([1]инфо!$H$15:$H$28,[1]инфо!$A$15:$A$28,F1140)</f>
        <v/>
      </c>
      <c r="AR1140" s="62">
        <f>IF(H1139=0,0,AC1140/H1139)</f>
        <v/>
      </c>
      <c r="AS1140" s="63">
        <f>AR1140-AQ1140</f>
        <v/>
      </c>
      <c r="AT1140" s="61">
        <f>SUMIFS([1]инфо!$I$15:$I$28,[1]инфо!$A$15:$A$28,F1140)</f>
        <v/>
      </c>
      <c r="AU1140" s="62">
        <f>IF(H1140=0,0,AD1140/H1140)</f>
        <v/>
      </c>
      <c r="AV1140" s="63">
        <f>AU1140-AT1140</f>
        <v/>
      </c>
      <c r="AX1140" s="59">
        <f>SUMIFS([1]инфо!$C$15:$C$28,[1]инфо!$A$15:$A$28,F1140)*H1139</f>
        <v/>
      </c>
    </row>
    <row r="1141">
      <c r="A1141" s="71">
        <f>A1139+1</f>
        <v/>
      </c>
      <c r="B1141" s="90" t="n"/>
      <c r="C1141" s="52" t="n"/>
      <c r="D1141" s="53" t="n"/>
      <c r="E1141" s="91" t="n"/>
      <c r="F1141" s="67" t="n"/>
      <c r="G1141" s="58" t="n"/>
      <c r="H1141" s="56" t="n"/>
      <c r="I1141" s="55" t="n"/>
      <c r="J1141" s="55" t="n"/>
      <c r="K1141" s="55" t="n"/>
      <c r="L1141" s="55" t="n"/>
      <c r="M1141" s="55" t="n"/>
      <c r="N1141" s="55" t="n"/>
      <c r="O1141" s="58" t="n"/>
      <c r="P1141" s="58" t="n"/>
      <c r="Q1141" s="58" t="n"/>
      <c r="R1141" s="58" t="n"/>
      <c r="S1141" s="59">
        <f>SUM(O1141:R1141)</f>
        <v/>
      </c>
      <c r="T1141" s="52" t="n"/>
      <c r="U1141" s="53" t="n"/>
      <c r="V1141" s="58" t="n"/>
      <c r="W1141" s="58" t="n"/>
      <c r="X1141" s="58" t="n"/>
      <c r="Y1141" s="52" t="n"/>
      <c r="Z1141" s="58" t="n"/>
      <c r="AA1141" s="58" t="n"/>
      <c r="AB1141" s="58" t="n"/>
      <c r="AC1141" s="58" t="n"/>
      <c r="AD1141" s="53" t="n"/>
      <c r="AE1141" s="61">
        <f>SUMIFS([1]инфо!$D$15:$D$28,[1]инфо!$A$15:$A$28,F1141)</f>
        <v/>
      </c>
      <c r="AF1141" s="62">
        <f>IF(H1141=0,0,N1141/H1141)</f>
        <v/>
      </c>
      <c r="AG1141" s="63">
        <f>AF1141-AE1141</f>
        <v/>
      </c>
      <c r="AH1141" s="61">
        <f>SUMIFS([1]инфо!$E$15:$E$28,[1]инфо!$A$15:$A$28,F1141)</f>
        <v/>
      </c>
      <c r="AI1141" s="62">
        <f>IF(H1140=0,0,S1141/H1140)</f>
        <v/>
      </c>
      <c r="AJ1141" s="63">
        <f>AI1141-AH1141</f>
        <v/>
      </c>
      <c r="AK1141" s="61">
        <f>SUMIFS([1]инфо!$F$15:$F$28,[1]инфо!$A$15:$A$28,F1141)</f>
        <v/>
      </c>
      <c r="AL1141" s="64">
        <f>IF(H1141=0,0,Y1141/H1141)</f>
        <v/>
      </c>
      <c r="AM1141" s="63">
        <f>AL1141-AK1141</f>
        <v/>
      </c>
      <c r="AN1141" s="61">
        <f>SUMIFS([1]инфо!$G$15:$G$28,[1]инфо!$A$15:$A$28,F1141)</f>
        <v/>
      </c>
      <c r="AO1141" s="64">
        <f>IF(H1141=0,0,AA1141/H1141)</f>
        <v/>
      </c>
      <c r="AP1141" s="63">
        <f>AO1141-AN1141</f>
        <v/>
      </c>
      <c r="AQ1141" s="61">
        <f>SUMIFS([1]инфо!$H$15:$H$28,[1]инфо!$A$15:$A$28,F1141)</f>
        <v/>
      </c>
      <c r="AR1141" s="62">
        <f>IF(H1140=0,0,AC1141/H1140)</f>
        <v/>
      </c>
      <c r="AS1141" s="63">
        <f>AR1141-AQ1141</f>
        <v/>
      </c>
      <c r="AT1141" s="61">
        <f>SUMIFS([1]инфо!$I$15:$I$28,[1]инфо!$A$15:$A$28,F1141)</f>
        <v/>
      </c>
      <c r="AU1141" s="62">
        <f>IF(H1141=0,0,AD1141/H1141)</f>
        <v/>
      </c>
      <c r="AV1141" s="63">
        <f>AU1141-AT1141</f>
        <v/>
      </c>
      <c r="AX1141" s="59">
        <f>SUMIFS([1]инфо!$C$15:$C$28,[1]инфо!$A$15:$A$28,F1141)*H1140</f>
        <v/>
      </c>
    </row>
    <row r="1142">
      <c r="A1142" s="71">
        <f>A1140+1</f>
        <v/>
      </c>
      <c r="B1142" s="88" t="n"/>
      <c r="C1142" s="77" t="n"/>
      <c r="D1142" s="78" t="n"/>
      <c r="E1142" s="91" t="n"/>
      <c r="F1142" s="67" t="n"/>
      <c r="G1142" s="79" t="n"/>
      <c r="H1142" s="67" t="n"/>
      <c r="I1142" s="55" t="n"/>
      <c r="J1142" s="55" t="n"/>
      <c r="K1142" s="55" t="n"/>
      <c r="L1142" s="55" t="n"/>
      <c r="M1142" s="55" t="n"/>
      <c r="N1142" s="56" t="n"/>
      <c r="O1142" s="79" t="n"/>
      <c r="P1142" s="79" t="n"/>
      <c r="Q1142" s="79" t="n"/>
      <c r="R1142" s="79" t="n"/>
      <c r="S1142" s="80">
        <f>SUM(O1142:R1142)</f>
        <v/>
      </c>
      <c r="T1142" s="77" t="n"/>
      <c r="U1142" s="78" t="n"/>
      <c r="V1142" s="79" t="n"/>
      <c r="W1142" s="79" t="n"/>
      <c r="X1142" s="79" t="n"/>
      <c r="Y1142" s="77" t="n"/>
      <c r="Z1142" s="79" t="n"/>
      <c r="AA1142" s="79" t="n"/>
      <c r="AB1142" s="79" t="n"/>
      <c r="AC1142" s="79" t="n"/>
      <c r="AD1142" s="78" t="n"/>
      <c r="AE1142" s="81">
        <f>SUMIFS([1]инфо!$D$15:$D$28,[1]инфо!$A$15:$A$28,F1142)</f>
        <v/>
      </c>
      <c r="AF1142" s="62">
        <f>IF(H1142=0,0,N1142/H1142)</f>
        <v/>
      </c>
      <c r="AG1142" s="82">
        <f>AF1142-AE1142</f>
        <v/>
      </c>
      <c r="AH1142" s="81">
        <f>SUMIFS([1]инфо!$E$15:$E$28,[1]инфо!$A$15:$A$28,F1142)</f>
        <v/>
      </c>
      <c r="AI1142" s="85">
        <f>IF(H1141=0,0,S1142/H1141)</f>
        <v/>
      </c>
      <c r="AJ1142" s="82">
        <f>AI1142-AH1142</f>
        <v/>
      </c>
      <c r="AK1142" s="81">
        <f>SUMIFS([1]инфо!$F$15:$F$28,[1]инфо!$A$15:$A$28,F1142)</f>
        <v/>
      </c>
      <c r="AL1142" s="64">
        <f>IF(H1142=0,0,Y1142/H1142)</f>
        <v/>
      </c>
      <c r="AM1142" s="82">
        <f>AL1142-AK1142</f>
        <v/>
      </c>
      <c r="AN1142" s="81">
        <f>SUMIFS([1]инфо!$G$15:$G$28,[1]инфо!$A$15:$A$28,F1142)</f>
        <v/>
      </c>
      <c r="AO1142" s="64">
        <f>IF(H1142=0,0,AA1142/H1142)</f>
        <v/>
      </c>
      <c r="AP1142" s="82">
        <f>AO1142-AN1142</f>
        <v/>
      </c>
      <c r="AQ1142" s="81">
        <f>SUMIFS([1]инфо!$H$15:$H$28,[1]инфо!$A$15:$A$28,F1142)</f>
        <v/>
      </c>
      <c r="AR1142" s="85">
        <f>IF(H1141=0,0,AC1142/H1141)</f>
        <v/>
      </c>
      <c r="AS1142" s="82">
        <f>AR1142-AQ1142</f>
        <v/>
      </c>
      <c r="AT1142" s="81">
        <f>SUMIFS([1]инфо!$I$15:$I$28,[1]инфо!$A$15:$A$28,F1142)</f>
        <v/>
      </c>
      <c r="AU1142" s="62">
        <f>IF(H1142=0,0,AD1142/H1142)</f>
        <v/>
      </c>
      <c r="AV1142" s="82">
        <f>AU1142-AT1142</f>
        <v/>
      </c>
      <c r="AX1142" s="80">
        <f>SUMIFS([1]инфо!$C$15:$C$28,[1]инфо!$A$15:$A$28,F1142)*H1141</f>
        <v/>
      </c>
    </row>
    <row r="1143">
      <c r="A1143" s="71">
        <f>A1141+1</f>
        <v/>
      </c>
      <c r="B1143" s="89" t="n"/>
      <c r="C1143" s="72" t="n"/>
      <c r="D1143" s="73" t="n"/>
      <c r="E1143" s="91" t="n"/>
      <c r="F1143" s="67" t="n"/>
      <c r="G1143" s="74" t="n"/>
      <c r="H1143" s="55" t="n"/>
      <c r="I1143" s="55" t="n"/>
      <c r="J1143" s="55" t="n"/>
      <c r="K1143" s="55" t="n"/>
      <c r="L1143" s="55" t="n"/>
      <c r="M1143" s="55" t="n"/>
      <c r="N1143" s="67" t="n"/>
      <c r="O1143" s="74" t="n"/>
      <c r="P1143" s="74" t="n"/>
      <c r="Q1143" s="74" t="n"/>
      <c r="R1143" s="74" t="n"/>
      <c r="S1143" s="70">
        <f>SUM(O1143:R1143)</f>
        <v/>
      </c>
      <c r="T1143" s="72" t="n"/>
      <c r="U1143" s="73" t="n"/>
      <c r="V1143" s="74" t="n"/>
      <c r="W1143" s="74" t="n"/>
      <c r="X1143" s="74" t="n"/>
      <c r="Y1143" s="72" t="n"/>
      <c r="Z1143" s="74" t="n"/>
      <c r="AA1143" s="74" t="n"/>
      <c r="AB1143" s="74" t="n"/>
      <c r="AC1143" s="74" t="n"/>
      <c r="AD1143" s="73" t="n"/>
      <c r="AE1143" s="75">
        <f>SUMIFS([1]инфо!$D$15:$D$28,[1]инфо!$A$15:$A$28,F1143)</f>
        <v/>
      </c>
      <c r="AF1143" s="62">
        <f>IF(H1143=0,0,N1143/H1143)</f>
        <v/>
      </c>
      <c r="AG1143" s="76">
        <f>AF1143-AE1143</f>
        <v/>
      </c>
      <c r="AH1143" s="75">
        <f>SUMIFS([1]инфо!$E$15:$E$28,[1]инфо!$A$15:$A$28,F1143)</f>
        <v/>
      </c>
      <c r="AI1143" s="64">
        <f>IF(H1142=0,0,S1143/H1142)</f>
        <v/>
      </c>
      <c r="AJ1143" s="76">
        <f>AI1143-AH1143</f>
        <v/>
      </c>
      <c r="AK1143" s="75">
        <f>SUMIFS([1]инфо!$F$15:$F$28,[1]инфо!$A$15:$A$28,F1143)</f>
        <v/>
      </c>
      <c r="AL1143" s="64">
        <f>IF(H1143=0,0,Y1143/H1143)</f>
        <v/>
      </c>
      <c r="AM1143" s="76">
        <f>AL1143-AK1143</f>
        <v/>
      </c>
      <c r="AN1143" s="75">
        <f>SUMIFS([1]инфо!$G$15:$G$28,[1]инфо!$A$15:$A$28,F1143)</f>
        <v/>
      </c>
      <c r="AO1143" s="64">
        <f>IF(H1143=0,0,AA1143/H1143)</f>
        <v/>
      </c>
      <c r="AP1143" s="76">
        <f>AO1143-AN1143</f>
        <v/>
      </c>
      <c r="AQ1143" s="75">
        <f>SUMIFS([1]инфо!$H$15:$H$28,[1]инфо!$A$15:$A$28,F1143)</f>
        <v/>
      </c>
      <c r="AR1143" s="64">
        <f>IF(H1142=0,0,AC1143/H1142)</f>
        <v/>
      </c>
      <c r="AS1143" s="76">
        <f>AR1143-AQ1143</f>
        <v/>
      </c>
      <c r="AT1143" s="75">
        <f>SUMIFS([1]инфо!$I$15:$I$28,[1]инфо!$A$15:$A$28,F1143)</f>
        <v/>
      </c>
      <c r="AU1143" s="62">
        <f>IF(H1143=0,0,AD1143/H1143)</f>
        <v/>
      </c>
      <c r="AV1143" s="76">
        <f>AU1143-AT1143</f>
        <v/>
      </c>
      <c r="AX1143" s="70">
        <f>SUMIFS([1]инфо!$C$15:$C$28,[1]инфо!$A$15:$A$28,F1143)*H1142</f>
        <v/>
      </c>
    </row>
    <row r="1144">
      <c r="A1144" s="71">
        <f>A1142+1</f>
        <v/>
      </c>
      <c r="B1144" s="90" t="n"/>
      <c r="C1144" s="52" t="n"/>
      <c r="D1144" s="53" t="n"/>
      <c r="E1144" s="91" t="n"/>
      <c r="F1144" s="67" t="n"/>
      <c r="G1144" s="58" t="n"/>
      <c r="H1144" s="55" t="n"/>
      <c r="I1144" s="55" t="n"/>
      <c r="J1144" s="55" t="n"/>
      <c r="K1144" s="55" t="n"/>
      <c r="L1144" s="55" t="n"/>
      <c r="M1144" s="55" t="n"/>
      <c r="N1144" s="55" t="n"/>
      <c r="O1144" s="58" t="n"/>
      <c r="P1144" s="58" t="n"/>
      <c r="Q1144" s="58" t="n"/>
      <c r="R1144" s="58" t="n"/>
      <c r="S1144" s="59">
        <f>SUM(O1144:R1144)</f>
        <v/>
      </c>
      <c r="T1144" s="52" t="n"/>
      <c r="U1144" s="53" t="n"/>
      <c r="V1144" s="58" t="n"/>
      <c r="W1144" s="58" t="n"/>
      <c r="X1144" s="58" t="n"/>
      <c r="Y1144" s="52" t="n"/>
      <c r="Z1144" s="58" t="n"/>
      <c r="AA1144" s="58" t="n"/>
      <c r="AB1144" s="58" t="n"/>
      <c r="AC1144" s="58" t="n"/>
      <c r="AD1144" s="53" t="n"/>
      <c r="AE1144" s="61">
        <f>SUMIFS([1]инфо!$D$15:$D$28,[1]инфо!$A$15:$A$28,F1144)</f>
        <v/>
      </c>
      <c r="AF1144" s="62">
        <f>IF(H1144=0,0,N1144/H1144)</f>
        <v/>
      </c>
      <c r="AG1144" s="63">
        <f>AF1144-AE1144</f>
        <v/>
      </c>
      <c r="AH1144" s="61">
        <f>SUMIFS([1]инфо!$E$15:$E$28,[1]инфо!$A$15:$A$28,F1144)</f>
        <v/>
      </c>
      <c r="AI1144" s="62">
        <f>IF(H1143=0,0,S1144/H1143)</f>
        <v/>
      </c>
      <c r="AJ1144" s="63">
        <f>AI1144-AH1144</f>
        <v/>
      </c>
      <c r="AK1144" s="61">
        <f>SUMIFS([1]инфо!$F$15:$F$28,[1]инфо!$A$15:$A$28,F1144)</f>
        <v/>
      </c>
      <c r="AL1144" s="64">
        <f>IF(H1144=0,0,Y1144/H1144)</f>
        <v/>
      </c>
      <c r="AM1144" s="63">
        <f>AL1144-AK1144</f>
        <v/>
      </c>
      <c r="AN1144" s="61">
        <f>SUMIFS([1]инфо!$G$15:$G$28,[1]инфо!$A$15:$A$28,F1144)</f>
        <v/>
      </c>
      <c r="AO1144" s="64">
        <f>IF(H1144=0,0,AA1144/H1144)</f>
        <v/>
      </c>
      <c r="AP1144" s="63">
        <f>AO1144-AN1144</f>
        <v/>
      </c>
      <c r="AQ1144" s="61">
        <f>SUMIFS([1]инфо!$H$15:$H$28,[1]инфо!$A$15:$A$28,F1144)</f>
        <v/>
      </c>
      <c r="AR1144" s="62">
        <f>IF(H1143=0,0,AC1144/H1143)</f>
        <v/>
      </c>
      <c r="AS1144" s="63">
        <f>AR1144-AQ1144</f>
        <v/>
      </c>
      <c r="AT1144" s="61">
        <f>SUMIFS([1]инфо!$I$15:$I$28,[1]инфо!$A$15:$A$28,F1144)</f>
        <v/>
      </c>
      <c r="AU1144" s="62">
        <f>IF(H1144=0,0,AD1144/H1144)</f>
        <v/>
      </c>
      <c r="AV1144" s="63">
        <f>AU1144-AT1144</f>
        <v/>
      </c>
      <c r="AX1144" s="59">
        <f>SUMIFS([1]инфо!$C$15:$C$28,[1]инфо!$A$15:$A$28,F1144)*H1143</f>
        <v/>
      </c>
    </row>
    <row r="1145">
      <c r="A1145" s="71">
        <f>A1143+1</f>
        <v/>
      </c>
      <c r="B1145" s="90" t="n"/>
      <c r="C1145" s="52" t="n"/>
      <c r="D1145" s="53" t="n"/>
      <c r="E1145" s="91" t="n"/>
      <c r="F1145" s="67" t="n"/>
      <c r="G1145" s="58" t="n"/>
      <c r="H1145" s="56" t="n"/>
      <c r="I1145" s="55" t="n"/>
      <c r="J1145" s="55" t="n"/>
      <c r="K1145" s="55" t="n"/>
      <c r="L1145" s="55" t="n"/>
      <c r="M1145" s="55" t="n"/>
      <c r="N1145" s="55" t="n"/>
      <c r="O1145" s="58" t="n"/>
      <c r="P1145" s="58" t="n"/>
      <c r="Q1145" s="58" t="n"/>
      <c r="R1145" s="58" t="n"/>
      <c r="S1145" s="59">
        <f>SUM(O1145:R1145)</f>
        <v/>
      </c>
      <c r="T1145" s="52" t="n"/>
      <c r="U1145" s="53" t="n"/>
      <c r="V1145" s="58" t="n"/>
      <c r="W1145" s="58" t="n"/>
      <c r="X1145" s="58" t="n"/>
      <c r="Y1145" s="52" t="n"/>
      <c r="Z1145" s="58" t="n"/>
      <c r="AA1145" s="58" t="n"/>
      <c r="AB1145" s="58" t="n"/>
      <c r="AC1145" s="58" t="n"/>
      <c r="AD1145" s="53" t="n"/>
      <c r="AE1145" s="61">
        <f>SUMIFS([1]инфо!$D$15:$D$28,[1]инфо!$A$15:$A$28,F1145)</f>
        <v/>
      </c>
      <c r="AF1145" s="62">
        <f>IF(H1145=0,0,N1145/H1145)</f>
        <v/>
      </c>
      <c r="AG1145" s="63">
        <f>AF1145-AE1145</f>
        <v/>
      </c>
      <c r="AH1145" s="61">
        <f>SUMIFS([1]инфо!$E$15:$E$28,[1]инфо!$A$15:$A$28,F1145)</f>
        <v/>
      </c>
      <c r="AI1145" s="62">
        <f>IF(H1144=0,0,S1145/H1144)</f>
        <v/>
      </c>
      <c r="AJ1145" s="63">
        <f>AI1145-AH1145</f>
        <v/>
      </c>
      <c r="AK1145" s="61">
        <f>SUMIFS([1]инфо!$F$15:$F$28,[1]инфо!$A$15:$A$28,F1145)</f>
        <v/>
      </c>
      <c r="AL1145" s="64">
        <f>IF(H1145=0,0,Y1145/H1145)</f>
        <v/>
      </c>
      <c r="AM1145" s="63">
        <f>AL1145-AK1145</f>
        <v/>
      </c>
      <c r="AN1145" s="61">
        <f>SUMIFS([1]инфо!$G$15:$G$28,[1]инфо!$A$15:$A$28,F1145)</f>
        <v/>
      </c>
      <c r="AO1145" s="64">
        <f>IF(H1145=0,0,AA1145/H1145)</f>
        <v/>
      </c>
      <c r="AP1145" s="63">
        <f>AO1145-AN1145</f>
        <v/>
      </c>
      <c r="AQ1145" s="61">
        <f>SUMIFS([1]инфо!$H$15:$H$28,[1]инфо!$A$15:$A$28,F1145)</f>
        <v/>
      </c>
      <c r="AR1145" s="62">
        <f>IF(H1144=0,0,AC1145/H1144)</f>
        <v/>
      </c>
      <c r="AS1145" s="63">
        <f>AR1145-AQ1145</f>
        <v/>
      </c>
      <c r="AT1145" s="61">
        <f>SUMIFS([1]инфо!$I$15:$I$28,[1]инфо!$A$15:$A$28,F1145)</f>
        <v/>
      </c>
      <c r="AU1145" s="62">
        <f>IF(H1145=0,0,AD1145/H1145)</f>
        <v/>
      </c>
      <c r="AV1145" s="63">
        <f>AU1145-AT1145</f>
        <v/>
      </c>
      <c r="AX1145" s="59">
        <f>SUMIFS([1]инфо!$C$15:$C$28,[1]инфо!$A$15:$A$28,F1145)*H1144</f>
        <v/>
      </c>
    </row>
    <row r="1146">
      <c r="A1146" s="71">
        <f>A1144+1</f>
        <v/>
      </c>
      <c r="B1146" s="88" t="n"/>
      <c r="C1146" s="77" t="n"/>
      <c r="D1146" s="78" t="n"/>
      <c r="E1146" s="91" t="n"/>
      <c r="F1146" s="67" t="n"/>
      <c r="G1146" s="79" t="n"/>
      <c r="H1146" s="67" t="n"/>
      <c r="I1146" s="55" t="n"/>
      <c r="J1146" s="55" t="n"/>
      <c r="K1146" s="55" t="n"/>
      <c r="L1146" s="55" t="n"/>
      <c r="M1146" s="55" t="n"/>
      <c r="N1146" s="56" t="n"/>
      <c r="O1146" s="79" t="n"/>
      <c r="P1146" s="79" t="n"/>
      <c r="Q1146" s="79" t="n"/>
      <c r="R1146" s="79" t="n"/>
      <c r="S1146" s="80">
        <f>SUM(O1146:R1146)</f>
        <v/>
      </c>
      <c r="T1146" s="77" t="n"/>
      <c r="U1146" s="78" t="n"/>
      <c r="V1146" s="79" t="n"/>
      <c r="W1146" s="79" t="n"/>
      <c r="X1146" s="79" t="n"/>
      <c r="Y1146" s="77" t="n"/>
      <c r="Z1146" s="79" t="n"/>
      <c r="AA1146" s="79" t="n"/>
      <c r="AB1146" s="79" t="n"/>
      <c r="AC1146" s="79" t="n"/>
      <c r="AD1146" s="78" t="n"/>
      <c r="AE1146" s="81">
        <f>SUMIFS([1]инфо!$D$15:$D$28,[1]инфо!$A$15:$A$28,F1146)</f>
        <v/>
      </c>
      <c r="AF1146" s="62">
        <f>IF(H1146=0,0,N1146/H1146)</f>
        <v/>
      </c>
      <c r="AG1146" s="82">
        <f>AF1146-AE1146</f>
        <v/>
      </c>
      <c r="AH1146" s="81">
        <f>SUMIFS([1]инфо!$E$15:$E$28,[1]инфо!$A$15:$A$28,F1146)</f>
        <v/>
      </c>
      <c r="AI1146" s="85">
        <f>IF(H1145=0,0,S1146/H1145)</f>
        <v/>
      </c>
      <c r="AJ1146" s="82">
        <f>AI1146-AH1146</f>
        <v/>
      </c>
      <c r="AK1146" s="81">
        <f>SUMIFS([1]инфо!$F$15:$F$28,[1]инфо!$A$15:$A$28,F1146)</f>
        <v/>
      </c>
      <c r="AL1146" s="64">
        <f>IF(H1146=0,0,Y1146/H1146)</f>
        <v/>
      </c>
      <c r="AM1146" s="82">
        <f>AL1146-AK1146</f>
        <v/>
      </c>
      <c r="AN1146" s="81">
        <f>SUMIFS([1]инфо!$G$15:$G$28,[1]инфо!$A$15:$A$28,F1146)</f>
        <v/>
      </c>
      <c r="AO1146" s="64">
        <f>IF(H1146=0,0,AA1146/H1146)</f>
        <v/>
      </c>
      <c r="AP1146" s="82">
        <f>AO1146-AN1146</f>
        <v/>
      </c>
      <c r="AQ1146" s="81">
        <f>SUMIFS([1]инфо!$H$15:$H$28,[1]инфо!$A$15:$A$28,F1146)</f>
        <v/>
      </c>
      <c r="AR1146" s="85">
        <f>IF(H1145=0,0,AC1146/H1145)</f>
        <v/>
      </c>
      <c r="AS1146" s="82">
        <f>AR1146-AQ1146</f>
        <v/>
      </c>
      <c r="AT1146" s="81">
        <f>SUMIFS([1]инфо!$I$15:$I$28,[1]инфо!$A$15:$A$28,F1146)</f>
        <v/>
      </c>
      <c r="AU1146" s="62">
        <f>IF(H1146=0,0,AD1146/H1146)</f>
        <v/>
      </c>
      <c r="AV1146" s="82">
        <f>AU1146-AT1146</f>
        <v/>
      </c>
      <c r="AX1146" s="80">
        <f>SUMIFS([1]инфо!$C$15:$C$28,[1]инфо!$A$15:$A$28,F1146)*H1145</f>
        <v/>
      </c>
    </row>
    <row r="1147">
      <c r="A1147" s="71">
        <f>A1145+1</f>
        <v/>
      </c>
      <c r="B1147" s="89" t="n"/>
      <c r="C1147" s="72" t="n"/>
      <c r="D1147" s="73" t="n"/>
      <c r="E1147" s="91" t="n"/>
      <c r="F1147" s="67" t="n"/>
      <c r="G1147" s="74" t="n"/>
      <c r="H1147" s="55" t="n"/>
      <c r="I1147" s="55" t="n"/>
      <c r="J1147" s="55" t="n"/>
      <c r="K1147" s="55" t="n"/>
      <c r="L1147" s="55" t="n"/>
      <c r="M1147" s="55" t="n"/>
      <c r="N1147" s="67" t="n"/>
      <c r="O1147" s="74" t="n"/>
      <c r="P1147" s="74" t="n"/>
      <c r="Q1147" s="74" t="n"/>
      <c r="R1147" s="74" t="n"/>
      <c r="S1147" s="70">
        <f>SUM(O1147:R1147)</f>
        <v/>
      </c>
      <c r="T1147" s="72" t="n"/>
      <c r="U1147" s="73" t="n"/>
      <c r="V1147" s="74" t="n"/>
      <c r="W1147" s="74" t="n"/>
      <c r="X1147" s="74" t="n"/>
      <c r="Y1147" s="72" t="n"/>
      <c r="Z1147" s="74" t="n"/>
      <c r="AA1147" s="74" t="n"/>
      <c r="AB1147" s="74" t="n"/>
      <c r="AC1147" s="74" t="n"/>
      <c r="AD1147" s="73" t="n"/>
      <c r="AE1147" s="75">
        <f>SUMIFS([1]инфо!$D$15:$D$28,[1]инфо!$A$15:$A$28,F1147)</f>
        <v/>
      </c>
      <c r="AF1147" s="62">
        <f>IF(H1147=0,0,N1147/H1147)</f>
        <v/>
      </c>
      <c r="AG1147" s="76">
        <f>AF1147-AE1147</f>
        <v/>
      </c>
      <c r="AH1147" s="75">
        <f>SUMIFS([1]инфо!$E$15:$E$28,[1]инфо!$A$15:$A$28,F1147)</f>
        <v/>
      </c>
      <c r="AI1147" s="64">
        <f>IF(H1146=0,0,S1147/H1146)</f>
        <v/>
      </c>
      <c r="AJ1147" s="76">
        <f>AI1147-AH1147</f>
        <v/>
      </c>
      <c r="AK1147" s="75">
        <f>SUMIFS([1]инфо!$F$15:$F$28,[1]инфо!$A$15:$A$28,F1147)</f>
        <v/>
      </c>
      <c r="AL1147" s="64">
        <f>IF(H1147=0,0,Y1147/H1147)</f>
        <v/>
      </c>
      <c r="AM1147" s="76">
        <f>AL1147-AK1147</f>
        <v/>
      </c>
      <c r="AN1147" s="75">
        <f>SUMIFS([1]инфо!$G$15:$G$28,[1]инфо!$A$15:$A$28,F1147)</f>
        <v/>
      </c>
      <c r="AO1147" s="64">
        <f>IF(H1147=0,0,AA1147/H1147)</f>
        <v/>
      </c>
      <c r="AP1147" s="76">
        <f>AO1147-AN1147</f>
        <v/>
      </c>
      <c r="AQ1147" s="75">
        <f>SUMIFS([1]инфо!$H$15:$H$28,[1]инфо!$A$15:$A$28,F1147)</f>
        <v/>
      </c>
      <c r="AR1147" s="64">
        <f>IF(H1146=0,0,AC1147/H1146)</f>
        <v/>
      </c>
      <c r="AS1147" s="76">
        <f>AR1147-AQ1147</f>
        <v/>
      </c>
      <c r="AT1147" s="75">
        <f>SUMIFS([1]инфо!$I$15:$I$28,[1]инфо!$A$15:$A$28,F1147)</f>
        <v/>
      </c>
      <c r="AU1147" s="62">
        <f>IF(H1147=0,0,AD1147/H1147)</f>
        <v/>
      </c>
      <c r="AV1147" s="76">
        <f>AU1147-AT1147</f>
        <v/>
      </c>
      <c r="AX1147" s="70">
        <f>SUMIFS([1]инфо!$C$15:$C$28,[1]инфо!$A$15:$A$28,F1147)*H1146</f>
        <v/>
      </c>
    </row>
    <row r="1148">
      <c r="A1148" s="71">
        <f>A1146+1</f>
        <v/>
      </c>
      <c r="B1148" s="90" t="n"/>
      <c r="C1148" s="52" t="n"/>
      <c r="D1148" s="53" t="n"/>
      <c r="E1148" s="91" t="n"/>
      <c r="F1148" s="67" t="n"/>
      <c r="G1148" s="58" t="n"/>
      <c r="H1148" s="55" t="n"/>
      <c r="I1148" s="55" t="n"/>
      <c r="J1148" s="55" t="n"/>
      <c r="K1148" s="55" t="n"/>
      <c r="L1148" s="55" t="n"/>
      <c r="M1148" s="55" t="n"/>
      <c r="N1148" s="55" t="n"/>
      <c r="O1148" s="58" t="n"/>
      <c r="P1148" s="58" t="n"/>
      <c r="Q1148" s="58" t="n"/>
      <c r="R1148" s="58" t="n"/>
      <c r="S1148" s="59">
        <f>SUM(O1148:R1148)</f>
        <v/>
      </c>
      <c r="T1148" s="52" t="n"/>
      <c r="U1148" s="53" t="n"/>
      <c r="V1148" s="58" t="n"/>
      <c r="W1148" s="58" t="n"/>
      <c r="X1148" s="58" t="n"/>
      <c r="Y1148" s="52" t="n"/>
      <c r="Z1148" s="58" t="n"/>
      <c r="AA1148" s="58" t="n"/>
      <c r="AB1148" s="58" t="n"/>
      <c r="AC1148" s="58" t="n"/>
      <c r="AD1148" s="53" t="n"/>
      <c r="AE1148" s="61">
        <f>SUMIFS([1]инфо!$D$15:$D$28,[1]инфо!$A$15:$A$28,F1148)</f>
        <v/>
      </c>
      <c r="AF1148" s="62">
        <f>IF(H1148=0,0,N1148/H1148)</f>
        <v/>
      </c>
      <c r="AG1148" s="63">
        <f>AF1148-AE1148</f>
        <v/>
      </c>
      <c r="AH1148" s="61">
        <f>SUMIFS([1]инфо!$E$15:$E$28,[1]инфо!$A$15:$A$28,F1148)</f>
        <v/>
      </c>
      <c r="AI1148" s="62">
        <f>IF(H1147=0,0,S1148/H1147)</f>
        <v/>
      </c>
      <c r="AJ1148" s="63">
        <f>AI1148-AH1148</f>
        <v/>
      </c>
      <c r="AK1148" s="61">
        <f>SUMIFS([1]инфо!$F$15:$F$28,[1]инфо!$A$15:$A$28,F1148)</f>
        <v/>
      </c>
      <c r="AL1148" s="64">
        <f>IF(H1148=0,0,Y1148/H1148)</f>
        <v/>
      </c>
      <c r="AM1148" s="63">
        <f>AL1148-AK1148</f>
        <v/>
      </c>
      <c r="AN1148" s="61">
        <f>SUMIFS([1]инфо!$G$15:$G$28,[1]инфо!$A$15:$A$28,F1148)</f>
        <v/>
      </c>
      <c r="AO1148" s="64">
        <f>IF(H1148=0,0,AA1148/H1148)</f>
        <v/>
      </c>
      <c r="AP1148" s="63">
        <f>AO1148-AN1148</f>
        <v/>
      </c>
      <c r="AQ1148" s="61">
        <f>SUMIFS([1]инфо!$H$15:$H$28,[1]инфо!$A$15:$A$28,F1148)</f>
        <v/>
      </c>
      <c r="AR1148" s="62">
        <f>IF(H1147=0,0,AC1148/H1147)</f>
        <v/>
      </c>
      <c r="AS1148" s="63">
        <f>AR1148-AQ1148</f>
        <v/>
      </c>
      <c r="AT1148" s="61">
        <f>SUMIFS([1]инфо!$I$15:$I$28,[1]инфо!$A$15:$A$28,F1148)</f>
        <v/>
      </c>
      <c r="AU1148" s="62">
        <f>IF(H1148=0,0,AD1148/H1148)</f>
        <v/>
      </c>
      <c r="AV1148" s="63">
        <f>AU1148-AT1148</f>
        <v/>
      </c>
      <c r="AX1148" s="59">
        <f>SUMIFS([1]инфо!$C$15:$C$28,[1]инфо!$A$15:$A$28,F1148)*H1147</f>
        <v/>
      </c>
    </row>
    <row r="1149">
      <c r="A1149" s="71">
        <f>A1147+1</f>
        <v/>
      </c>
      <c r="B1149" s="90" t="n"/>
      <c r="C1149" s="52" t="n"/>
      <c r="D1149" s="53" t="n"/>
      <c r="E1149" s="91" t="n"/>
      <c r="F1149" s="67" t="n"/>
      <c r="G1149" s="58" t="n"/>
      <c r="H1149" s="56" t="n"/>
      <c r="I1149" s="55" t="n"/>
      <c r="J1149" s="55" t="n"/>
      <c r="K1149" s="55" t="n"/>
      <c r="L1149" s="55" t="n"/>
      <c r="M1149" s="55" t="n"/>
      <c r="N1149" s="55" t="n"/>
      <c r="O1149" s="58" t="n"/>
      <c r="P1149" s="58" t="n"/>
      <c r="Q1149" s="58" t="n"/>
      <c r="R1149" s="58" t="n"/>
      <c r="S1149" s="59">
        <f>SUM(O1149:R1149)</f>
        <v/>
      </c>
      <c r="T1149" s="52" t="n"/>
      <c r="U1149" s="53" t="n"/>
      <c r="V1149" s="58" t="n"/>
      <c r="W1149" s="58" t="n"/>
      <c r="X1149" s="58" t="n"/>
      <c r="Y1149" s="52" t="n"/>
      <c r="Z1149" s="58" t="n"/>
      <c r="AA1149" s="58" t="n"/>
      <c r="AB1149" s="58" t="n"/>
      <c r="AC1149" s="58" t="n"/>
      <c r="AD1149" s="53" t="n"/>
      <c r="AE1149" s="61">
        <f>SUMIFS([1]инфо!$D$15:$D$28,[1]инфо!$A$15:$A$28,F1149)</f>
        <v/>
      </c>
      <c r="AF1149" s="62">
        <f>IF(H1149=0,0,N1149/H1149)</f>
        <v/>
      </c>
      <c r="AG1149" s="63">
        <f>AF1149-AE1149</f>
        <v/>
      </c>
      <c r="AH1149" s="61">
        <f>SUMIFS([1]инфо!$E$15:$E$28,[1]инфо!$A$15:$A$28,F1149)</f>
        <v/>
      </c>
      <c r="AI1149" s="62">
        <f>IF(H1148=0,0,S1149/H1148)</f>
        <v/>
      </c>
      <c r="AJ1149" s="63">
        <f>AI1149-AH1149</f>
        <v/>
      </c>
      <c r="AK1149" s="61">
        <f>SUMIFS([1]инфо!$F$15:$F$28,[1]инфо!$A$15:$A$28,F1149)</f>
        <v/>
      </c>
      <c r="AL1149" s="64">
        <f>IF(H1149=0,0,Y1149/H1149)</f>
        <v/>
      </c>
      <c r="AM1149" s="63">
        <f>AL1149-AK1149</f>
        <v/>
      </c>
      <c r="AN1149" s="61">
        <f>SUMIFS([1]инфо!$G$15:$G$28,[1]инфо!$A$15:$A$28,F1149)</f>
        <v/>
      </c>
      <c r="AO1149" s="64">
        <f>IF(H1149=0,0,AA1149/H1149)</f>
        <v/>
      </c>
      <c r="AP1149" s="63">
        <f>AO1149-AN1149</f>
        <v/>
      </c>
      <c r="AQ1149" s="61">
        <f>SUMIFS([1]инфо!$H$15:$H$28,[1]инфо!$A$15:$A$28,F1149)</f>
        <v/>
      </c>
      <c r="AR1149" s="62">
        <f>IF(H1148=0,0,AC1149/H1148)</f>
        <v/>
      </c>
      <c r="AS1149" s="63">
        <f>AR1149-AQ1149</f>
        <v/>
      </c>
      <c r="AT1149" s="61">
        <f>SUMIFS([1]инфо!$I$15:$I$28,[1]инфо!$A$15:$A$28,F1149)</f>
        <v/>
      </c>
      <c r="AU1149" s="62">
        <f>IF(H1149=0,0,AD1149/H1149)</f>
        <v/>
      </c>
      <c r="AV1149" s="63">
        <f>AU1149-AT1149</f>
        <v/>
      </c>
      <c r="AX1149" s="59">
        <f>SUMIFS([1]инфо!$C$15:$C$28,[1]инфо!$A$15:$A$28,F1149)*H1148</f>
        <v/>
      </c>
    </row>
    <row r="1150">
      <c r="A1150" s="71">
        <f>A1148+1</f>
        <v/>
      </c>
      <c r="B1150" s="88" t="n"/>
      <c r="C1150" s="77" t="n"/>
      <c r="D1150" s="78" t="n"/>
      <c r="E1150" s="91" t="n"/>
      <c r="F1150" s="67" t="n"/>
      <c r="G1150" s="79" t="n"/>
      <c r="H1150" s="67" t="n"/>
      <c r="I1150" s="55" t="n"/>
      <c r="J1150" s="55" t="n"/>
      <c r="K1150" s="55" t="n"/>
      <c r="L1150" s="55" t="n"/>
      <c r="M1150" s="55" t="n"/>
      <c r="N1150" s="56" t="n"/>
      <c r="O1150" s="79" t="n"/>
      <c r="P1150" s="79" t="n"/>
      <c r="Q1150" s="79" t="n"/>
      <c r="R1150" s="79" t="n"/>
      <c r="S1150" s="80">
        <f>SUM(O1150:R1150)</f>
        <v/>
      </c>
      <c r="T1150" s="77" t="n"/>
      <c r="U1150" s="78" t="n"/>
      <c r="V1150" s="79" t="n"/>
      <c r="W1150" s="79" t="n"/>
      <c r="X1150" s="79" t="n"/>
      <c r="Y1150" s="77" t="n"/>
      <c r="Z1150" s="79" t="n"/>
      <c r="AA1150" s="79" t="n"/>
      <c r="AB1150" s="79" t="n"/>
      <c r="AC1150" s="79" t="n"/>
      <c r="AD1150" s="78" t="n"/>
      <c r="AE1150" s="81">
        <f>SUMIFS([1]инфо!$D$15:$D$28,[1]инфо!$A$15:$A$28,F1150)</f>
        <v/>
      </c>
      <c r="AF1150" s="62">
        <f>IF(H1150=0,0,N1150/H1150)</f>
        <v/>
      </c>
      <c r="AG1150" s="82">
        <f>AF1150-AE1150</f>
        <v/>
      </c>
      <c r="AH1150" s="81">
        <f>SUMIFS([1]инфо!$E$15:$E$28,[1]инфо!$A$15:$A$28,F1150)</f>
        <v/>
      </c>
      <c r="AI1150" s="85">
        <f>IF(H1149=0,0,S1150/H1149)</f>
        <v/>
      </c>
      <c r="AJ1150" s="82">
        <f>AI1150-AH1150</f>
        <v/>
      </c>
      <c r="AK1150" s="81">
        <f>SUMIFS([1]инфо!$F$15:$F$28,[1]инфо!$A$15:$A$28,F1150)</f>
        <v/>
      </c>
      <c r="AL1150" s="64">
        <f>IF(H1150=0,0,Y1150/H1150)</f>
        <v/>
      </c>
      <c r="AM1150" s="82">
        <f>AL1150-AK1150</f>
        <v/>
      </c>
      <c r="AN1150" s="81">
        <f>SUMIFS([1]инфо!$G$15:$G$28,[1]инфо!$A$15:$A$28,F1150)</f>
        <v/>
      </c>
      <c r="AO1150" s="64">
        <f>IF(H1150=0,0,AA1150/H1150)</f>
        <v/>
      </c>
      <c r="AP1150" s="82">
        <f>AO1150-AN1150</f>
        <v/>
      </c>
      <c r="AQ1150" s="81">
        <f>SUMIFS([1]инфо!$H$15:$H$28,[1]инфо!$A$15:$A$28,F1150)</f>
        <v/>
      </c>
      <c r="AR1150" s="85">
        <f>IF(H1149=0,0,AC1150/H1149)</f>
        <v/>
      </c>
      <c r="AS1150" s="82">
        <f>AR1150-AQ1150</f>
        <v/>
      </c>
      <c r="AT1150" s="81">
        <f>SUMIFS([1]инфо!$I$15:$I$28,[1]инфо!$A$15:$A$28,F1150)</f>
        <v/>
      </c>
      <c r="AU1150" s="62">
        <f>IF(H1150=0,0,AD1150/H1150)</f>
        <v/>
      </c>
      <c r="AV1150" s="82">
        <f>AU1150-AT1150</f>
        <v/>
      </c>
      <c r="AX1150" s="80">
        <f>SUMIFS([1]инфо!$C$15:$C$28,[1]инфо!$A$15:$A$28,F1150)*H1149</f>
        <v/>
      </c>
    </row>
    <row r="1151">
      <c r="A1151" s="71">
        <f>A1149+1</f>
        <v/>
      </c>
      <c r="B1151" s="89" t="n"/>
      <c r="C1151" s="72" t="n"/>
      <c r="D1151" s="73" t="n"/>
      <c r="E1151" s="91" t="n"/>
      <c r="F1151" s="67" t="n"/>
      <c r="G1151" s="74" t="n"/>
      <c r="H1151" s="55" t="n"/>
      <c r="I1151" s="55" t="n"/>
      <c r="J1151" s="55" t="n"/>
      <c r="K1151" s="55" t="n"/>
      <c r="L1151" s="55" t="n"/>
      <c r="M1151" s="55" t="n"/>
      <c r="N1151" s="67" t="n"/>
      <c r="O1151" s="74" t="n"/>
      <c r="P1151" s="74" t="n"/>
      <c r="Q1151" s="74" t="n"/>
      <c r="R1151" s="74" t="n"/>
      <c r="S1151" s="70">
        <f>SUM(O1151:R1151)</f>
        <v/>
      </c>
      <c r="T1151" s="72" t="n"/>
      <c r="U1151" s="73" t="n"/>
      <c r="V1151" s="74" t="n"/>
      <c r="W1151" s="74" t="n"/>
      <c r="X1151" s="74" t="n"/>
      <c r="Y1151" s="72" t="n"/>
      <c r="Z1151" s="74" t="n"/>
      <c r="AA1151" s="74" t="n"/>
      <c r="AB1151" s="74" t="n"/>
      <c r="AC1151" s="74" t="n"/>
      <c r="AD1151" s="73" t="n"/>
      <c r="AE1151" s="75">
        <f>SUMIFS([1]инфо!$D$15:$D$28,[1]инфо!$A$15:$A$28,F1151)</f>
        <v/>
      </c>
      <c r="AF1151" s="62">
        <f>IF(H1151=0,0,N1151/H1151)</f>
        <v/>
      </c>
      <c r="AG1151" s="76">
        <f>AF1151-AE1151</f>
        <v/>
      </c>
      <c r="AH1151" s="75">
        <f>SUMIFS([1]инфо!$E$15:$E$28,[1]инфо!$A$15:$A$28,F1151)</f>
        <v/>
      </c>
      <c r="AI1151" s="64">
        <f>IF(H1150=0,0,S1151/H1150)</f>
        <v/>
      </c>
      <c r="AJ1151" s="76">
        <f>AI1151-AH1151</f>
        <v/>
      </c>
      <c r="AK1151" s="75">
        <f>SUMIFS([1]инфо!$F$15:$F$28,[1]инфо!$A$15:$A$28,F1151)</f>
        <v/>
      </c>
      <c r="AL1151" s="64">
        <f>IF(H1151=0,0,Y1151/H1151)</f>
        <v/>
      </c>
      <c r="AM1151" s="76">
        <f>AL1151-AK1151</f>
        <v/>
      </c>
      <c r="AN1151" s="75">
        <f>SUMIFS([1]инфо!$G$15:$G$28,[1]инфо!$A$15:$A$28,F1151)</f>
        <v/>
      </c>
      <c r="AO1151" s="64">
        <f>IF(H1151=0,0,AA1151/H1151)</f>
        <v/>
      </c>
      <c r="AP1151" s="76">
        <f>AO1151-AN1151</f>
        <v/>
      </c>
      <c r="AQ1151" s="75">
        <f>SUMIFS([1]инфо!$H$15:$H$28,[1]инфо!$A$15:$A$28,F1151)</f>
        <v/>
      </c>
      <c r="AR1151" s="64">
        <f>IF(H1150=0,0,AC1151/H1150)</f>
        <v/>
      </c>
      <c r="AS1151" s="76">
        <f>AR1151-AQ1151</f>
        <v/>
      </c>
      <c r="AT1151" s="75">
        <f>SUMIFS([1]инфо!$I$15:$I$28,[1]инфо!$A$15:$A$28,F1151)</f>
        <v/>
      </c>
      <c r="AU1151" s="62">
        <f>IF(H1151=0,0,AD1151/H1151)</f>
        <v/>
      </c>
      <c r="AV1151" s="76">
        <f>AU1151-AT1151</f>
        <v/>
      </c>
      <c r="AX1151" s="70">
        <f>SUMIFS([1]инфо!$C$15:$C$28,[1]инфо!$A$15:$A$28,F1151)*H1150</f>
        <v/>
      </c>
    </row>
    <row r="1152">
      <c r="A1152" s="71">
        <f>A1150+1</f>
        <v/>
      </c>
      <c r="B1152" s="90" t="n"/>
      <c r="C1152" s="52" t="n"/>
      <c r="D1152" s="53" t="n"/>
      <c r="E1152" s="91" t="n"/>
      <c r="F1152" s="67" t="n"/>
      <c r="G1152" s="58" t="n"/>
      <c r="H1152" s="55" t="n"/>
      <c r="I1152" s="55" t="n"/>
      <c r="J1152" s="55" t="n"/>
      <c r="K1152" s="55" t="n"/>
      <c r="L1152" s="55" t="n"/>
      <c r="M1152" s="55" t="n"/>
      <c r="N1152" s="55" t="n"/>
      <c r="O1152" s="58" t="n"/>
      <c r="P1152" s="58" t="n"/>
      <c r="Q1152" s="58" t="n"/>
      <c r="R1152" s="58" t="n"/>
      <c r="S1152" s="59">
        <f>SUM(O1152:R1152)</f>
        <v/>
      </c>
      <c r="T1152" s="52" t="n"/>
      <c r="U1152" s="53" t="n"/>
      <c r="V1152" s="58" t="n"/>
      <c r="W1152" s="58" t="n"/>
      <c r="X1152" s="58" t="n"/>
      <c r="Y1152" s="52" t="n"/>
      <c r="Z1152" s="58" t="n"/>
      <c r="AA1152" s="58" t="n"/>
      <c r="AB1152" s="58" t="n"/>
      <c r="AC1152" s="58" t="n"/>
      <c r="AD1152" s="53" t="n"/>
      <c r="AE1152" s="61">
        <f>SUMIFS([1]инфо!$D$15:$D$28,[1]инфо!$A$15:$A$28,F1152)</f>
        <v/>
      </c>
      <c r="AF1152" s="62">
        <f>IF(H1152=0,0,N1152/H1152)</f>
        <v/>
      </c>
      <c r="AG1152" s="63">
        <f>AF1152-AE1152</f>
        <v/>
      </c>
      <c r="AH1152" s="61">
        <f>SUMIFS([1]инфо!$E$15:$E$28,[1]инфо!$A$15:$A$28,F1152)</f>
        <v/>
      </c>
      <c r="AI1152" s="62">
        <f>IF(H1151=0,0,S1152/H1151)</f>
        <v/>
      </c>
      <c r="AJ1152" s="63">
        <f>AI1152-AH1152</f>
        <v/>
      </c>
      <c r="AK1152" s="61">
        <f>SUMIFS([1]инфо!$F$15:$F$28,[1]инфо!$A$15:$A$28,F1152)</f>
        <v/>
      </c>
      <c r="AL1152" s="64">
        <f>IF(H1152=0,0,Y1152/H1152)</f>
        <v/>
      </c>
      <c r="AM1152" s="63">
        <f>AL1152-AK1152</f>
        <v/>
      </c>
      <c r="AN1152" s="61">
        <f>SUMIFS([1]инфо!$G$15:$G$28,[1]инфо!$A$15:$A$28,F1152)</f>
        <v/>
      </c>
      <c r="AO1152" s="64">
        <f>IF(H1152=0,0,AA1152/H1152)</f>
        <v/>
      </c>
      <c r="AP1152" s="63">
        <f>AO1152-AN1152</f>
        <v/>
      </c>
      <c r="AQ1152" s="61">
        <f>SUMIFS([1]инфо!$H$15:$H$28,[1]инфо!$A$15:$A$28,F1152)</f>
        <v/>
      </c>
      <c r="AR1152" s="62">
        <f>IF(H1151=0,0,AC1152/H1151)</f>
        <v/>
      </c>
      <c r="AS1152" s="63">
        <f>AR1152-AQ1152</f>
        <v/>
      </c>
      <c r="AT1152" s="61">
        <f>SUMIFS([1]инфо!$I$15:$I$28,[1]инфо!$A$15:$A$28,F1152)</f>
        <v/>
      </c>
      <c r="AU1152" s="62">
        <f>IF(H1152=0,0,AD1152/H1152)</f>
        <v/>
      </c>
      <c r="AV1152" s="63">
        <f>AU1152-AT1152</f>
        <v/>
      </c>
      <c r="AX1152" s="59">
        <f>SUMIFS([1]инфо!$C$15:$C$28,[1]инфо!$A$15:$A$28,F1152)*H1151</f>
        <v/>
      </c>
    </row>
    <row r="1153">
      <c r="A1153" s="71">
        <f>A1151+1</f>
        <v/>
      </c>
      <c r="B1153" s="90" t="n"/>
      <c r="C1153" s="52" t="n"/>
      <c r="D1153" s="53" t="n"/>
      <c r="E1153" s="91" t="n"/>
      <c r="F1153" s="67" t="n"/>
      <c r="G1153" s="58" t="n"/>
      <c r="H1153" s="56" t="n"/>
      <c r="I1153" s="55" t="n"/>
      <c r="J1153" s="55" t="n"/>
      <c r="K1153" s="55" t="n"/>
      <c r="L1153" s="55" t="n"/>
      <c r="M1153" s="55" t="n"/>
      <c r="N1153" s="55" t="n"/>
      <c r="O1153" s="58" t="n"/>
      <c r="P1153" s="58" t="n"/>
      <c r="Q1153" s="58" t="n"/>
      <c r="R1153" s="58" t="n"/>
      <c r="S1153" s="59">
        <f>SUM(O1153:R1153)</f>
        <v/>
      </c>
      <c r="T1153" s="52" t="n"/>
      <c r="U1153" s="53" t="n"/>
      <c r="V1153" s="58" t="n"/>
      <c r="W1153" s="58" t="n"/>
      <c r="X1153" s="58" t="n"/>
      <c r="Y1153" s="52" t="n"/>
      <c r="Z1153" s="58" t="n"/>
      <c r="AA1153" s="58" t="n"/>
      <c r="AB1153" s="58" t="n"/>
      <c r="AC1153" s="58" t="n"/>
      <c r="AD1153" s="53" t="n"/>
      <c r="AE1153" s="61">
        <f>SUMIFS([1]инфо!$D$15:$D$28,[1]инфо!$A$15:$A$28,F1153)</f>
        <v/>
      </c>
      <c r="AF1153" s="62">
        <f>IF(H1153=0,0,N1153/H1153)</f>
        <v/>
      </c>
      <c r="AG1153" s="63">
        <f>AF1153-AE1153</f>
        <v/>
      </c>
      <c r="AH1153" s="61">
        <f>SUMIFS([1]инфо!$E$15:$E$28,[1]инфо!$A$15:$A$28,F1153)</f>
        <v/>
      </c>
      <c r="AI1153" s="62">
        <f>IF(H1152=0,0,S1153/H1152)</f>
        <v/>
      </c>
      <c r="AJ1153" s="63">
        <f>AI1153-AH1153</f>
        <v/>
      </c>
      <c r="AK1153" s="61">
        <f>SUMIFS([1]инфо!$F$15:$F$28,[1]инфо!$A$15:$A$28,F1153)</f>
        <v/>
      </c>
      <c r="AL1153" s="64">
        <f>IF(H1153=0,0,Y1153/H1153)</f>
        <v/>
      </c>
      <c r="AM1153" s="63">
        <f>AL1153-AK1153</f>
        <v/>
      </c>
      <c r="AN1153" s="61">
        <f>SUMIFS([1]инфо!$G$15:$G$28,[1]инфо!$A$15:$A$28,F1153)</f>
        <v/>
      </c>
      <c r="AO1153" s="64">
        <f>IF(H1153=0,0,AA1153/H1153)</f>
        <v/>
      </c>
      <c r="AP1153" s="63">
        <f>AO1153-AN1153</f>
        <v/>
      </c>
      <c r="AQ1153" s="61">
        <f>SUMIFS([1]инфо!$H$15:$H$28,[1]инфо!$A$15:$A$28,F1153)</f>
        <v/>
      </c>
      <c r="AR1153" s="62">
        <f>IF(H1152=0,0,AC1153/H1152)</f>
        <v/>
      </c>
      <c r="AS1153" s="63">
        <f>AR1153-AQ1153</f>
        <v/>
      </c>
      <c r="AT1153" s="61">
        <f>SUMIFS([1]инфо!$I$15:$I$28,[1]инфо!$A$15:$A$28,F1153)</f>
        <v/>
      </c>
      <c r="AU1153" s="62">
        <f>IF(H1153=0,0,AD1153/H1153)</f>
        <v/>
      </c>
      <c r="AV1153" s="63">
        <f>AU1153-AT1153</f>
        <v/>
      </c>
      <c r="AX1153" s="59">
        <f>SUMIFS([1]инфо!$C$15:$C$28,[1]инфо!$A$15:$A$28,F1153)*H1152</f>
        <v/>
      </c>
    </row>
    <row r="1154">
      <c r="A1154" s="71">
        <f>A1152+1</f>
        <v/>
      </c>
      <c r="B1154" s="88" t="n"/>
      <c r="C1154" s="77" t="n"/>
      <c r="D1154" s="78" t="n"/>
      <c r="E1154" s="91" t="n"/>
      <c r="F1154" s="67" t="n"/>
      <c r="G1154" s="79" t="n"/>
      <c r="H1154" s="67" t="n"/>
      <c r="I1154" s="55" t="n"/>
      <c r="J1154" s="55" t="n"/>
      <c r="K1154" s="55" t="n"/>
      <c r="L1154" s="55" t="n"/>
      <c r="M1154" s="55" t="n"/>
      <c r="N1154" s="56" t="n"/>
      <c r="O1154" s="79" t="n"/>
      <c r="P1154" s="79" t="n"/>
      <c r="Q1154" s="79" t="n"/>
      <c r="R1154" s="79" t="n"/>
      <c r="S1154" s="80">
        <f>SUM(O1154:R1154)</f>
        <v/>
      </c>
      <c r="T1154" s="77" t="n"/>
      <c r="U1154" s="78" t="n"/>
      <c r="V1154" s="79" t="n"/>
      <c r="W1154" s="79" t="n"/>
      <c r="X1154" s="79" t="n"/>
      <c r="Y1154" s="77" t="n"/>
      <c r="Z1154" s="79" t="n"/>
      <c r="AA1154" s="79" t="n"/>
      <c r="AB1154" s="79" t="n"/>
      <c r="AC1154" s="79" t="n"/>
      <c r="AD1154" s="78" t="n"/>
      <c r="AE1154" s="81">
        <f>SUMIFS([1]инфо!$D$15:$D$28,[1]инфо!$A$15:$A$28,F1154)</f>
        <v/>
      </c>
      <c r="AF1154" s="62">
        <f>IF(H1154=0,0,N1154/H1154)</f>
        <v/>
      </c>
      <c r="AG1154" s="82">
        <f>AF1154-AE1154</f>
        <v/>
      </c>
      <c r="AH1154" s="81">
        <f>SUMIFS([1]инфо!$E$15:$E$28,[1]инфо!$A$15:$A$28,F1154)</f>
        <v/>
      </c>
      <c r="AI1154" s="85">
        <f>IF(H1153=0,0,S1154/H1153)</f>
        <v/>
      </c>
      <c r="AJ1154" s="82">
        <f>AI1154-AH1154</f>
        <v/>
      </c>
      <c r="AK1154" s="81">
        <f>SUMIFS([1]инфо!$F$15:$F$28,[1]инфо!$A$15:$A$28,F1154)</f>
        <v/>
      </c>
      <c r="AL1154" s="64">
        <f>IF(H1154=0,0,Y1154/H1154)</f>
        <v/>
      </c>
      <c r="AM1154" s="82">
        <f>AL1154-AK1154</f>
        <v/>
      </c>
      <c r="AN1154" s="81">
        <f>SUMIFS([1]инфо!$G$15:$G$28,[1]инфо!$A$15:$A$28,F1154)</f>
        <v/>
      </c>
      <c r="AO1154" s="64">
        <f>IF(H1154=0,0,AA1154/H1154)</f>
        <v/>
      </c>
      <c r="AP1154" s="82">
        <f>AO1154-AN1154</f>
        <v/>
      </c>
      <c r="AQ1154" s="81">
        <f>SUMIFS([1]инфо!$H$15:$H$28,[1]инфо!$A$15:$A$28,F1154)</f>
        <v/>
      </c>
      <c r="AR1154" s="85">
        <f>IF(H1153=0,0,AC1154/H1153)</f>
        <v/>
      </c>
      <c r="AS1154" s="82">
        <f>AR1154-AQ1154</f>
        <v/>
      </c>
      <c r="AT1154" s="81">
        <f>SUMIFS([1]инфо!$I$15:$I$28,[1]инфо!$A$15:$A$28,F1154)</f>
        <v/>
      </c>
      <c r="AU1154" s="62">
        <f>IF(H1154=0,0,AD1154/H1154)</f>
        <v/>
      </c>
      <c r="AV1154" s="82">
        <f>AU1154-AT1154</f>
        <v/>
      </c>
      <c r="AX1154" s="80">
        <f>SUMIFS([1]инфо!$C$15:$C$28,[1]инфо!$A$15:$A$28,F1154)*H1153</f>
        <v/>
      </c>
    </row>
    <row r="1155">
      <c r="A1155" s="71">
        <f>A1153+1</f>
        <v/>
      </c>
      <c r="B1155" s="89" t="n"/>
      <c r="C1155" s="72" t="n"/>
      <c r="D1155" s="73" t="n"/>
      <c r="E1155" s="91" t="n"/>
      <c r="F1155" s="67" t="n"/>
      <c r="G1155" s="74" t="n"/>
      <c r="H1155" s="55" t="n"/>
      <c r="I1155" s="55" t="n"/>
      <c r="J1155" s="55" t="n"/>
      <c r="K1155" s="55" t="n"/>
      <c r="L1155" s="55" t="n"/>
      <c r="M1155" s="55" t="n"/>
      <c r="N1155" s="67" t="n"/>
      <c r="O1155" s="74" t="n"/>
      <c r="P1155" s="74" t="n"/>
      <c r="Q1155" s="74" t="n"/>
      <c r="R1155" s="74" t="n"/>
      <c r="S1155" s="70">
        <f>SUM(O1155:R1155)</f>
        <v/>
      </c>
      <c r="T1155" s="72" t="n"/>
      <c r="U1155" s="73" t="n"/>
      <c r="V1155" s="74" t="n"/>
      <c r="W1155" s="74" t="n"/>
      <c r="X1155" s="74" t="n"/>
      <c r="Y1155" s="72" t="n"/>
      <c r="Z1155" s="74" t="n"/>
      <c r="AA1155" s="74" t="n"/>
      <c r="AB1155" s="74" t="n"/>
      <c r="AC1155" s="74" t="n"/>
      <c r="AD1155" s="73" t="n"/>
      <c r="AE1155" s="75">
        <f>SUMIFS([1]инфо!$D$15:$D$28,[1]инфо!$A$15:$A$28,F1155)</f>
        <v/>
      </c>
      <c r="AF1155" s="62">
        <f>IF(H1155=0,0,N1155/H1155)</f>
        <v/>
      </c>
      <c r="AG1155" s="76">
        <f>AF1155-AE1155</f>
        <v/>
      </c>
      <c r="AH1155" s="75">
        <f>SUMIFS([1]инфо!$E$15:$E$28,[1]инфо!$A$15:$A$28,F1155)</f>
        <v/>
      </c>
      <c r="AI1155" s="64">
        <f>IF(H1154=0,0,S1155/H1154)</f>
        <v/>
      </c>
      <c r="AJ1155" s="76">
        <f>AI1155-AH1155</f>
        <v/>
      </c>
      <c r="AK1155" s="75">
        <f>SUMIFS([1]инфо!$F$15:$F$28,[1]инфо!$A$15:$A$28,F1155)</f>
        <v/>
      </c>
      <c r="AL1155" s="64">
        <f>IF(H1155=0,0,Y1155/H1155)</f>
        <v/>
      </c>
      <c r="AM1155" s="76">
        <f>AL1155-AK1155</f>
        <v/>
      </c>
      <c r="AN1155" s="75">
        <f>SUMIFS([1]инфо!$G$15:$G$28,[1]инфо!$A$15:$A$28,F1155)</f>
        <v/>
      </c>
      <c r="AO1155" s="64">
        <f>IF(H1155=0,0,AA1155/H1155)</f>
        <v/>
      </c>
      <c r="AP1155" s="76">
        <f>AO1155-AN1155</f>
        <v/>
      </c>
      <c r="AQ1155" s="75">
        <f>SUMIFS([1]инфо!$H$15:$H$28,[1]инфо!$A$15:$A$28,F1155)</f>
        <v/>
      </c>
      <c r="AR1155" s="64">
        <f>IF(H1154=0,0,AC1155/H1154)</f>
        <v/>
      </c>
      <c r="AS1155" s="76">
        <f>AR1155-AQ1155</f>
        <v/>
      </c>
      <c r="AT1155" s="75">
        <f>SUMIFS([1]инфо!$I$15:$I$28,[1]инфо!$A$15:$A$28,F1155)</f>
        <v/>
      </c>
      <c r="AU1155" s="62">
        <f>IF(H1155=0,0,AD1155/H1155)</f>
        <v/>
      </c>
      <c r="AV1155" s="76">
        <f>AU1155-AT1155</f>
        <v/>
      </c>
      <c r="AX1155" s="70">
        <f>SUMIFS([1]инфо!$C$15:$C$28,[1]инфо!$A$15:$A$28,F1155)*H1154</f>
        <v/>
      </c>
    </row>
    <row r="1156">
      <c r="A1156" s="71">
        <f>A1154+1</f>
        <v/>
      </c>
      <c r="B1156" s="90" t="n"/>
      <c r="C1156" s="52" t="n"/>
      <c r="D1156" s="53" t="n"/>
      <c r="E1156" s="91" t="n"/>
      <c r="F1156" s="67" t="n"/>
      <c r="G1156" s="58" t="n"/>
      <c r="H1156" s="55" t="n"/>
      <c r="I1156" s="55" t="n"/>
      <c r="J1156" s="55" t="n"/>
      <c r="K1156" s="55" t="n"/>
      <c r="L1156" s="55" t="n"/>
      <c r="M1156" s="55" t="n"/>
      <c r="N1156" s="55" t="n"/>
      <c r="O1156" s="58" t="n"/>
      <c r="P1156" s="58" t="n"/>
      <c r="Q1156" s="58" t="n"/>
      <c r="R1156" s="58" t="n"/>
      <c r="S1156" s="59">
        <f>SUM(O1156:R1156)</f>
        <v/>
      </c>
      <c r="T1156" s="52" t="n"/>
      <c r="U1156" s="53" t="n"/>
      <c r="V1156" s="58" t="n"/>
      <c r="W1156" s="58" t="n"/>
      <c r="X1156" s="58" t="n"/>
      <c r="Y1156" s="52" t="n"/>
      <c r="Z1156" s="58" t="n"/>
      <c r="AA1156" s="58" t="n"/>
      <c r="AB1156" s="58" t="n"/>
      <c r="AC1156" s="58" t="n"/>
      <c r="AD1156" s="53" t="n"/>
      <c r="AE1156" s="61">
        <f>SUMIFS([1]инфо!$D$15:$D$28,[1]инфо!$A$15:$A$28,F1156)</f>
        <v/>
      </c>
      <c r="AF1156" s="62">
        <f>IF(H1156=0,0,N1156/H1156)</f>
        <v/>
      </c>
      <c r="AG1156" s="63">
        <f>AF1156-AE1156</f>
        <v/>
      </c>
      <c r="AH1156" s="61">
        <f>SUMIFS([1]инфо!$E$15:$E$28,[1]инфо!$A$15:$A$28,F1156)</f>
        <v/>
      </c>
      <c r="AI1156" s="62">
        <f>IF(H1155=0,0,S1156/H1155)</f>
        <v/>
      </c>
      <c r="AJ1156" s="63">
        <f>AI1156-AH1156</f>
        <v/>
      </c>
      <c r="AK1156" s="61">
        <f>SUMIFS([1]инфо!$F$15:$F$28,[1]инфо!$A$15:$A$28,F1156)</f>
        <v/>
      </c>
      <c r="AL1156" s="64">
        <f>IF(H1156=0,0,Y1156/H1156)</f>
        <v/>
      </c>
      <c r="AM1156" s="63">
        <f>AL1156-AK1156</f>
        <v/>
      </c>
      <c r="AN1156" s="61">
        <f>SUMIFS([1]инфо!$G$15:$G$28,[1]инфо!$A$15:$A$28,F1156)</f>
        <v/>
      </c>
      <c r="AO1156" s="64">
        <f>IF(H1156=0,0,AA1156/H1156)</f>
        <v/>
      </c>
      <c r="AP1156" s="63">
        <f>AO1156-AN1156</f>
        <v/>
      </c>
      <c r="AQ1156" s="61">
        <f>SUMIFS([1]инфо!$H$15:$H$28,[1]инфо!$A$15:$A$28,F1156)</f>
        <v/>
      </c>
      <c r="AR1156" s="62">
        <f>IF(H1155=0,0,AC1156/H1155)</f>
        <v/>
      </c>
      <c r="AS1156" s="63">
        <f>AR1156-AQ1156</f>
        <v/>
      </c>
      <c r="AT1156" s="61">
        <f>SUMIFS([1]инфо!$I$15:$I$28,[1]инфо!$A$15:$A$28,F1156)</f>
        <v/>
      </c>
      <c r="AU1156" s="62">
        <f>IF(H1156=0,0,AD1156/H1156)</f>
        <v/>
      </c>
      <c r="AV1156" s="63">
        <f>AU1156-AT1156</f>
        <v/>
      </c>
      <c r="AX1156" s="59">
        <f>SUMIFS([1]инфо!$C$15:$C$28,[1]инфо!$A$15:$A$28,F1156)*H1155</f>
        <v/>
      </c>
    </row>
    <row r="1157">
      <c r="A1157" s="71">
        <f>A1155+1</f>
        <v/>
      </c>
      <c r="B1157" s="90" t="n"/>
      <c r="C1157" s="52" t="n"/>
      <c r="D1157" s="53" t="n"/>
      <c r="E1157" s="91" t="n"/>
      <c r="F1157" s="67" t="n"/>
      <c r="G1157" s="58" t="n"/>
      <c r="H1157" s="56" t="n"/>
      <c r="I1157" s="55" t="n"/>
      <c r="J1157" s="55" t="n"/>
      <c r="K1157" s="55" t="n"/>
      <c r="L1157" s="55" t="n"/>
      <c r="M1157" s="55" t="n"/>
      <c r="N1157" s="55" t="n"/>
      <c r="O1157" s="58" t="n"/>
      <c r="P1157" s="58" t="n"/>
      <c r="Q1157" s="58" t="n"/>
      <c r="R1157" s="58" t="n"/>
      <c r="S1157" s="59">
        <f>SUM(O1157:R1157)</f>
        <v/>
      </c>
      <c r="T1157" s="52" t="n"/>
      <c r="U1157" s="53" t="n"/>
      <c r="V1157" s="58" t="n"/>
      <c r="W1157" s="58" t="n"/>
      <c r="X1157" s="58" t="n"/>
      <c r="Y1157" s="52" t="n"/>
      <c r="Z1157" s="58" t="n"/>
      <c r="AA1157" s="58" t="n"/>
      <c r="AB1157" s="58" t="n"/>
      <c r="AC1157" s="58" t="n"/>
      <c r="AD1157" s="53" t="n"/>
      <c r="AE1157" s="61">
        <f>SUMIFS([1]инфо!$D$15:$D$28,[1]инфо!$A$15:$A$28,F1157)</f>
        <v/>
      </c>
      <c r="AF1157" s="62">
        <f>IF(H1157=0,0,N1157/H1157)</f>
        <v/>
      </c>
      <c r="AG1157" s="63">
        <f>AF1157-AE1157</f>
        <v/>
      </c>
      <c r="AH1157" s="61">
        <f>SUMIFS([1]инфо!$E$15:$E$28,[1]инфо!$A$15:$A$28,F1157)</f>
        <v/>
      </c>
      <c r="AI1157" s="62">
        <f>IF(H1156=0,0,S1157/H1156)</f>
        <v/>
      </c>
      <c r="AJ1157" s="63">
        <f>AI1157-AH1157</f>
        <v/>
      </c>
      <c r="AK1157" s="61">
        <f>SUMIFS([1]инфо!$F$15:$F$28,[1]инфо!$A$15:$A$28,F1157)</f>
        <v/>
      </c>
      <c r="AL1157" s="64">
        <f>IF(H1157=0,0,Y1157/H1157)</f>
        <v/>
      </c>
      <c r="AM1157" s="63">
        <f>AL1157-AK1157</f>
        <v/>
      </c>
      <c r="AN1157" s="61">
        <f>SUMIFS([1]инфо!$G$15:$G$28,[1]инфо!$A$15:$A$28,F1157)</f>
        <v/>
      </c>
      <c r="AO1157" s="64">
        <f>IF(H1157=0,0,AA1157/H1157)</f>
        <v/>
      </c>
      <c r="AP1157" s="63">
        <f>AO1157-AN1157</f>
        <v/>
      </c>
      <c r="AQ1157" s="61">
        <f>SUMIFS([1]инфо!$H$15:$H$28,[1]инфо!$A$15:$A$28,F1157)</f>
        <v/>
      </c>
      <c r="AR1157" s="62">
        <f>IF(H1156=0,0,AC1157/H1156)</f>
        <v/>
      </c>
      <c r="AS1157" s="63">
        <f>AR1157-AQ1157</f>
        <v/>
      </c>
      <c r="AT1157" s="61">
        <f>SUMIFS([1]инфо!$I$15:$I$28,[1]инфо!$A$15:$A$28,F1157)</f>
        <v/>
      </c>
      <c r="AU1157" s="62">
        <f>IF(H1157=0,0,AD1157/H1157)</f>
        <v/>
      </c>
      <c r="AV1157" s="63">
        <f>AU1157-AT1157</f>
        <v/>
      </c>
      <c r="AX1157" s="59">
        <f>SUMIFS([1]инфо!$C$15:$C$28,[1]инфо!$A$15:$A$28,F1157)*H1156</f>
        <v/>
      </c>
    </row>
    <row r="1158">
      <c r="A1158" s="71">
        <f>A1156+1</f>
        <v/>
      </c>
      <c r="B1158" s="88" t="n"/>
      <c r="C1158" s="77" t="n"/>
      <c r="D1158" s="78" t="n"/>
      <c r="E1158" s="91" t="n"/>
      <c r="F1158" s="67" t="n"/>
      <c r="G1158" s="79" t="n"/>
      <c r="H1158" s="67" t="n"/>
      <c r="I1158" s="55" t="n"/>
      <c r="J1158" s="55" t="n"/>
      <c r="K1158" s="55" t="n"/>
      <c r="L1158" s="55" t="n"/>
      <c r="M1158" s="55" t="n"/>
      <c r="N1158" s="56" t="n"/>
      <c r="O1158" s="79" t="n"/>
      <c r="P1158" s="79" t="n"/>
      <c r="Q1158" s="79" t="n"/>
      <c r="R1158" s="79" t="n"/>
      <c r="S1158" s="80">
        <f>SUM(O1158:R1158)</f>
        <v/>
      </c>
      <c r="T1158" s="77" t="n"/>
      <c r="U1158" s="78" t="n"/>
      <c r="V1158" s="79" t="n"/>
      <c r="W1158" s="79" t="n"/>
      <c r="X1158" s="79" t="n"/>
      <c r="Y1158" s="77" t="n"/>
      <c r="Z1158" s="79" t="n"/>
      <c r="AA1158" s="79" t="n"/>
      <c r="AB1158" s="79" t="n"/>
      <c r="AC1158" s="79" t="n"/>
      <c r="AD1158" s="78" t="n"/>
      <c r="AE1158" s="81">
        <f>SUMIFS([1]инфо!$D$15:$D$28,[1]инфо!$A$15:$A$28,F1158)</f>
        <v/>
      </c>
      <c r="AF1158" s="62">
        <f>IF(H1158=0,0,N1158/H1158)</f>
        <v/>
      </c>
      <c r="AG1158" s="82">
        <f>AF1158-AE1158</f>
        <v/>
      </c>
      <c r="AH1158" s="81">
        <f>SUMIFS([1]инфо!$E$15:$E$28,[1]инфо!$A$15:$A$28,F1158)</f>
        <v/>
      </c>
      <c r="AI1158" s="85">
        <f>IF(H1157=0,0,S1158/H1157)</f>
        <v/>
      </c>
      <c r="AJ1158" s="82">
        <f>AI1158-AH1158</f>
        <v/>
      </c>
      <c r="AK1158" s="81">
        <f>SUMIFS([1]инфо!$F$15:$F$28,[1]инфо!$A$15:$A$28,F1158)</f>
        <v/>
      </c>
      <c r="AL1158" s="64">
        <f>IF(H1158=0,0,Y1158/H1158)</f>
        <v/>
      </c>
      <c r="AM1158" s="82">
        <f>AL1158-AK1158</f>
        <v/>
      </c>
      <c r="AN1158" s="81">
        <f>SUMIFS([1]инфо!$G$15:$G$28,[1]инфо!$A$15:$A$28,F1158)</f>
        <v/>
      </c>
      <c r="AO1158" s="64">
        <f>IF(H1158=0,0,AA1158/H1158)</f>
        <v/>
      </c>
      <c r="AP1158" s="82">
        <f>AO1158-AN1158</f>
        <v/>
      </c>
      <c r="AQ1158" s="81">
        <f>SUMIFS([1]инфо!$H$15:$H$28,[1]инфо!$A$15:$A$28,F1158)</f>
        <v/>
      </c>
      <c r="AR1158" s="85">
        <f>IF(H1157=0,0,AC1158/H1157)</f>
        <v/>
      </c>
      <c r="AS1158" s="82">
        <f>AR1158-AQ1158</f>
        <v/>
      </c>
      <c r="AT1158" s="81">
        <f>SUMIFS([1]инфо!$I$15:$I$28,[1]инфо!$A$15:$A$28,F1158)</f>
        <v/>
      </c>
      <c r="AU1158" s="62">
        <f>IF(H1158=0,0,AD1158/H1158)</f>
        <v/>
      </c>
      <c r="AV1158" s="82">
        <f>AU1158-AT1158</f>
        <v/>
      </c>
      <c r="AX1158" s="80">
        <f>SUMIFS([1]инфо!$C$15:$C$28,[1]инфо!$A$15:$A$28,F1158)*H1157</f>
        <v/>
      </c>
    </row>
    <row r="1159">
      <c r="A1159" s="71">
        <f>A1157+1</f>
        <v/>
      </c>
      <c r="B1159" s="89" t="n"/>
      <c r="C1159" s="72" t="n"/>
      <c r="D1159" s="73" t="n"/>
      <c r="E1159" s="91" t="n"/>
      <c r="F1159" s="67" t="n"/>
      <c r="G1159" s="74" t="n"/>
      <c r="H1159" s="55" t="n"/>
      <c r="I1159" s="55" t="n"/>
      <c r="J1159" s="55" t="n"/>
      <c r="K1159" s="55" t="n"/>
      <c r="L1159" s="55" t="n"/>
      <c r="M1159" s="55" t="n"/>
      <c r="N1159" s="67" t="n"/>
      <c r="O1159" s="74" t="n"/>
      <c r="P1159" s="74" t="n"/>
      <c r="Q1159" s="74" t="n"/>
      <c r="R1159" s="74" t="n"/>
      <c r="S1159" s="70">
        <f>SUM(O1159:R1159)</f>
        <v/>
      </c>
      <c r="T1159" s="72" t="n"/>
      <c r="U1159" s="73" t="n"/>
      <c r="V1159" s="74" t="n"/>
      <c r="W1159" s="74" t="n"/>
      <c r="X1159" s="74" t="n"/>
      <c r="Y1159" s="72" t="n"/>
      <c r="Z1159" s="74" t="n"/>
      <c r="AA1159" s="74" t="n"/>
      <c r="AB1159" s="74" t="n"/>
      <c r="AC1159" s="74" t="n"/>
      <c r="AD1159" s="73" t="n"/>
      <c r="AE1159" s="75">
        <f>SUMIFS([1]инфо!$D$15:$D$28,[1]инфо!$A$15:$A$28,F1159)</f>
        <v/>
      </c>
      <c r="AF1159" s="62">
        <f>IF(H1159=0,0,N1159/H1159)</f>
        <v/>
      </c>
      <c r="AG1159" s="76">
        <f>AF1159-AE1159</f>
        <v/>
      </c>
      <c r="AH1159" s="75">
        <f>SUMIFS([1]инфо!$E$15:$E$28,[1]инфо!$A$15:$A$28,F1159)</f>
        <v/>
      </c>
      <c r="AI1159" s="64">
        <f>IF(H1158=0,0,S1159/H1158)</f>
        <v/>
      </c>
      <c r="AJ1159" s="76">
        <f>AI1159-AH1159</f>
        <v/>
      </c>
      <c r="AK1159" s="75">
        <f>SUMIFS([1]инфо!$F$15:$F$28,[1]инфо!$A$15:$A$28,F1159)</f>
        <v/>
      </c>
      <c r="AL1159" s="64">
        <f>IF(H1159=0,0,Y1159/H1159)</f>
        <v/>
      </c>
      <c r="AM1159" s="76">
        <f>AL1159-AK1159</f>
        <v/>
      </c>
      <c r="AN1159" s="75">
        <f>SUMIFS([1]инфо!$G$15:$G$28,[1]инфо!$A$15:$A$28,F1159)</f>
        <v/>
      </c>
      <c r="AO1159" s="64">
        <f>IF(H1159=0,0,AA1159/H1159)</f>
        <v/>
      </c>
      <c r="AP1159" s="76">
        <f>AO1159-AN1159</f>
        <v/>
      </c>
      <c r="AQ1159" s="75">
        <f>SUMIFS([1]инфо!$H$15:$H$28,[1]инфо!$A$15:$A$28,F1159)</f>
        <v/>
      </c>
      <c r="AR1159" s="64">
        <f>IF(H1158=0,0,AC1159/H1158)</f>
        <v/>
      </c>
      <c r="AS1159" s="76">
        <f>AR1159-AQ1159</f>
        <v/>
      </c>
      <c r="AT1159" s="75">
        <f>SUMIFS([1]инфо!$I$15:$I$28,[1]инфо!$A$15:$A$28,F1159)</f>
        <v/>
      </c>
      <c r="AU1159" s="62">
        <f>IF(H1159=0,0,AD1159/H1159)</f>
        <v/>
      </c>
      <c r="AV1159" s="76">
        <f>AU1159-AT1159</f>
        <v/>
      </c>
      <c r="AX1159" s="70">
        <f>SUMIFS([1]инфо!$C$15:$C$28,[1]инфо!$A$15:$A$28,F1159)*H1158</f>
        <v/>
      </c>
    </row>
    <row r="1160">
      <c r="A1160" s="71">
        <f>A1158+1</f>
        <v/>
      </c>
      <c r="B1160" s="90" t="n"/>
      <c r="C1160" s="52" t="n"/>
      <c r="D1160" s="53" t="n"/>
      <c r="E1160" s="91" t="n"/>
      <c r="F1160" s="67" t="n"/>
      <c r="G1160" s="58" t="n"/>
      <c r="H1160" s="55" t="n"/>
      <c r="I1160" s="55" t="n"/>
      <c r="J1160" s="55" t="n"/>
      <c r="K1160" s="55" t="n"/>
      <c r="L1160" s="55" t="n"/>
      <c r="M1160" s="55" t="n"/>
      <c r="N1160" s="55" t="n"/>
      <c r="O1160" s="58" t="n"/>
      <c r="P1160" s="58" t="n"/>
      <c r="Q1160" s="58" t="n"/>
      <c r="R1160" s="58" t="n"/>
      <c r="S1160" s="59">
        <f>SUM(O1160:R1160)</f>
        <v/>
      </c>
      <c r="T1160" s="52" t="n"/>
      <c r="U1160" s="53" t="n"/>
      <c r="V1160" s="58" t="n"/>
      <c r="W1160" s="58" t="n"/>
      <c r="X1160" s="58" t="n"/>
      <c r="Y1160" s="52" t="n"/>
      <c r="Z1160" s="58" t="n"/>
      <c r="AA1160" s="58" t="n"/>
      <c r="AB1160" s="58" t="n"/>
      <c r="AC1160" s="58" t="n"/>
      <c r="AD1160" s="53" t="n"/>
      <c r="AE1160" s="61">
        <f>SUMIFS([1]инфо!$D$15:$D$28,[1]инфо!$A$15:$A$28,F1160)</f>
        <v/>
      </c>
      <c r="AF1160" s="62">
        <f>IF(H1160=0,0,N1160/H1160)</f>
        <v/>
      </c>
      <c r="AG1160" s="63">
        <f>AF1160-AE1160</f>
        <v/>
      </c>
      <c r="AH1160" s="61">
        <f>SUMIFS([1]инфо!$E$15:$E$28,[1]инфо!$A$15:$A$28,F1160)</f>
        <v/>
      </c>
      <c r="AI1160" s="62">
        <f>IF(H1159=0,0,S1160/H1159)</f>
        <v/>
      </c>
      <c r="AJ1160" s="63">
        <f>AI1160-AH1160</f>
        <v/>
      </c>
      <c r="AK1160" s="61">
        <f>SUMIFS([1]инфо!$F$15:$F$28,[1]инфо!$A$15:$A$28,F1160)</f>
        <v/>
      </c>
      <c r="AL1160" s="64">
        <f>IF(H1160=0,0,Y1160/H1160)</f>
        <v/>
      </c>
      <c r="AM1160" s="63">
        <f>AL1160-AK1160</f>
        <v/>
      </c>
      <c r="AN1160" s="61">
        <f>SUMIFS([1]инфо!$G$15:$G$28,[1]инфо!$A$15:$A$28,F1160)</f>
        <v/>
      </c>
      <c r="AO1160" s="64">
        <f>IF(H1160=0,0,AA1160/H1160)</f>
        <v/>
      </c>
      <c r="AP1160" s="63">
        <f>AO1160-AN1160</f>
        <v/>
      </c>
      <c r="AQ1160" s="61">
        <f>SUMIFS([1]инфо!$H$15:$H$28,[1]инфо!$A$15:$A$28,F1160)</f>
        <v/>
      </c>
      <c r="AR1160" s="62">
        <f>IF(H1159=0,0,AC1160/H1159)</f>
        <v/>
      </c>
      <c r="AS1160" s="63">
        <f>AR1160-AQ1160</f>
        <v/>
      </c>
      <c r="AT1160" s="61">
        <f>SUMIFS([1]инфо!$I$15:$I$28,[1]инфо!$A$15:$A$28,F1160)</f>
        <v/>
      </c>
      <c r="AU1160" s="62">
        <f>IF(H1160=0,0,AD1160/H1160)</f>
        <v/>
      </c>
      <c r="AV1160" s="63">
        <f>AU1160-AT1160</f>
        <v/>
      </c>
      <c r="AX1160" s="59">
        <f>SUMIFS([1]инфо!$C$15:$C$28,[1]инфо!$A$15:$A$28,F1160)*H1159</f>
        <v/>
      </c>
    </row>
    <row r="1161">
      <c r="A1161" s="71">
        <f>A1159+1</f>
        <v/>
      </c>
      <c r="B1161" s="90" t="n"/>
      <c r="C1161" s="52" t="n"/>
      <c r="D1161" s="53" t="n"/>
      <c r="E1161" s="91" t="n"/>
      <c r="F1161" s="67" t="n"/>
      <c r="G1161" s="58" t="n"/>
      <c r="H1161" s="56" t="n"/>
      <c r="I1161" s="55" t="n"/>
      <c r="J1161" s="55" t="n"/>
      <c r="K1161" s="55" t="n"/>
      <c r="L1161" s="55" t="n"/>
      <c r="M1161" s="55" t="n"/>
      <c r="N1161" s="55" t="n"/>
      <c r="O1161" s="58" t="n"/>
      <c r="P1161" s="58" t="n"/>
      <c r="Q1161" s="58" t="n"/>
      <c r="R1161" s="58" t="n"/>
      <c r="S1161" s="59">
        <f>SUM(O1161:R1161)</f>
        <v/>
      </c>
      <c r="T1161" s="52" t="n"/>
      <c r="U1161" s="53" t="n"/>
      <c r="V1161" s="58" t="n"/>
      <c r="W1161" s="58" t="n"/>
      <c r="X1161" s="58" t="n"/>
      <c r="Y1161" s="52" t="n"/>
      <c r="Z1161" s="58" t="n"/>
      <c r="AA1161" s="58" t="n"/>
      <c r="AB1161" s="58" t="n"/>
      <c r="AC1161" s="58" t="n"/>
      <c r="AD1161" s="53" t="n"/>
      <c r="AE1161" s="61">
        <f>SUMIFS([1]инфо!$D$15:$D$28,[1]инфо!$A$15:$A$28,F1161)</f>
        <v/>
      </c>
      <c r="AF1161" s="62">
        <f>IF(H1161=0,0,N1161/H1161)</f>
        <v/>
      </c>
      <c r="AG1161" s="63">
        <f>AF1161-AE1161</f>
        <v/>
      </c>
      <c r="AH1161" s="61">
        <f>SUMIFS([1]инфо!$E$15:$E$28,[1]инфо!$A$15:$A$28,F1161)</f>
        <v/>
      </c>
      <c r="AI1161" s="62">
        <f>IF(H1160=0,0,S1161/H1160)</f>
        <v/>
      </c>
      <c r="AJ1161" s="63">
        <f>AI1161-AH1161</f>
        <v/>
      </c>
      <c r="AK1161" s="61">
        <f>SUMIFS([1]инфо!$F$15:$F$28,[1]инфо!$A$15:$A$28,F1161)</f>
        <v/>
      </c>
      <c r="AL1161" s="64">
        <f>IF(H1161=0,0,Y1161/H1161)</f>
        <v/>
      </c>
      <c r="AM1161" s="63">
        <f>AL1161-AK1161</f>
        <v/>
      </c>
      <c r="AN1161" s="61">
        <f>SUMIFS([1]инфо!$G$15:$G$28,[1]инфо!$A$15:$A$28,F1161)</f>
        <v/>
      </c>
      <c r="AO1161" s="64">
        <f>IF(H1161=0,0,AA1161/H1161)</f>
        <v/>
      </c>
      <c r="AP1161" s="63">
        <f>AO1161-AN1161</f>
        <v/>
      </c>
      <c r="AQ1161" s="61">
        <f>SUMIFS([1]инфо!$H$15:$H$28,[1]инфо!$A$15:$A$28,F1161)</f>
        <v/>
      </c>
      <c r="AR1161" s="62">
        <f>IF(H1160=0,0,AC1161/H1160)</f>
        <v/>
      </c>
      <c r="AS1161" s="63">
        <f>AR1161-AQ1161</f>
        <v/>
      </c>
      <c r="AT1161" s="61">
        <f>SUMIFS([1]инфо!$I$15:$I$28,[1]инфо!$A$15:$A$28,F1161)</f>
        <v/>
      </c>
      <c r="AU1161" s="62">
        <f>IF(H1161=0,0,AD1161/H1161)</f>
        <v/>
      </c>
      <c r="AV1161" s="63">
        <f>AU1161-AT1161</f>
        <v/>
      </c>
      <c r="AX1161" s="59">
        <f>SUMIFS([1]инфо!$C$15:$C$28,[1]инфо!$A$15:$A$28,F1161)*H1160</f>
        <v/>
      </c>
    </row>
    <row r="1162">
      <c r="A1162" s="71">
        <f>A1160+1</f>
        <v/>
      </c>
      <c r="B1162" s="88" t="n"/>
      <c r="C1162" s="77" t="n"/>
      <c r="D1162" s="78" t="n"/>
      <c r="E1162" s="91" t="n"/>
      <c r="F1162" s="67" t="n"/>
      <c r="G1162" s="79" t="n"/>
      <c r="H1162" s="67" t="n"/>
      <c r="I1162" s="55" t="n"/>
      <c r="J1162" s="55" t="n"/>
      <c r="K1162" s="55" t="n"/>
      <c r="L1162" s="55" t="n"/>
      <c r="M1162" s="55" t="n"/>
      <c r="N1162" s="56" t="n"/>
      <c r="O1162" s="79" t="n"/>
      <c r="P1162" s="79" t="n"/>
      <c r="Q1162" s="79" t="n"/>
      <c r="R1162" s="79" t="n"/>
      <c r="S1162" s="80">
        <f>SUM(O1162:R1162)</f>
        <v/>
      </c>
      <c r="T1162" s="77" t="n"/>
      <c r="U1162" s="78" t="n"/>
      <c r="V1162" s="79" t="n"/>
      <c r="W1162" s="79" t="n"/>
      <c r="X1162" s="79" t="n"/>
      <c r="Y1162" s="77" t="n"/>
      <c r="Z1162" s="79" t="n"/>
      <c r="AA1162" s="79" t="n"/>
      <c r="AB1162" s="79" t="n"/>
      <c r="AC1162" s="79" t="n"/>
      <c r="AD1162" s="78" t="n"/>
      <c r="AE1162" s="81">
        <f>SUMIFS([1]инфо!$D$15:$D$28,[1]инфо!$A$15:$A$28,F1162)</f>
        <v/>
      </c>
      <c r="AF1162" s="62">
        <f>IF(H1162=0,0,N1162/H1162)</f>
        <v/>
      </c>
      <c r="AG1162" s="82">
        <f>AF1162-AE1162</f>
        <v/>
      </c>
      <c r="AH1162" s="81">
        <f>SUMIFS([1]инфо!$E$15:$E$28,[1]инфо!$A$15:$A$28,F1162)</f>
        <v/>
      </c>
      <c r="AI1162" s="85">
        <f>IF(H1161=0,0,S1162/H1161)</f>
        <v/>
      </c>
      <c r="AJ1162" s="82">
        <f>AI1162-AH1162</f>
        <v/>
      </c>
      <c r="AK1162" s="81">
        <f>SUMIFS([1]инфо!$F$15:$F$28,[1]инфо!$A$15:$A$28,F1162)</f>
        <v/>
      </c>
      <c r="AL1162" s="64">
        <f>IF(H1162=0,0,Y1162/H1162)</f>
        <v/>
      </c>
      <c r="AM1162" s="82">
        <f>AL1162-AK1162</f>
        <v/>
      </c>
      <c r="AN1162" s="81">
        <f>SUMIFS([1]инфо!$G$15:$G$28,[1]инфо!$A$15:$A$28,F1162)</f>
        <v/>
      </c>
      <c r="AO1162" s="64">
        <f>IF(H1162=0,0,AA1162/H1162)</f>
        <v/>
      </c>
      <c r="AP1162" s="82">
        <f>AO1162-AN1162</f>
        <v/>
      </c>
      <c r="AQ1162" s="81">
        <f>SUMIFS([1]инфо!$H$15:$H$28,[1]инфо!$A$15:$A$28,F1162)</f>
        <v/>
      </c>
      <c r="AR1162" s="85">
        <f>IF(H1161=0,0,AC1162/H1161)</f>
        <v/>
      </c>
      <c r="AS1162" s="82">
        <f>AR1162-AQ1162</f>
        <v/>
      </c>
      <c r="AT1162" s="81">
        <f>SUMIFS([1]инфо!$I$15:$I$28,[1]инфо!$A$15:$A$28,F1162)</f>
        <v/>
      </c>
      <c r="AU1162" s="62">
        <f>IF(H1162=0,0,AD1162/H1162)</f>
        <v/>
      </c>
      <c r="AV1162" s="82">
        <f>AU1162-AT1162</f>
        <v/>
      </c>
      <c r="AX1162" s="80">
        <f>SUMIFS([1]инфо!$C$15:$C$28,[1]инфо!$A$15:$A$28,F1162)*H1161</f>
        <v/>
      </c>
    </row>
    <row r="1163">
      <c r="A1163" s="71">
        <f>A1161+1</f>
        <v/>
      </c>
      <c r="B1163" s="89" t="n"/>
      <c r="C1163" s="72" t="n"/>
      <c r="D1163" s="73" t="n"/>
      <c r="E1163" s="91" t="n"/>
      <c r="F1163" s="67" t="n"/>
      <c r="G1163" s="74" t="n"/>
      <c r="H1163" s="55" t="n"/>
      <c r="I1163" s="55" t="n"/>
      <c r="J1163" s="55" t="n"/>
      <c r="K1163" s="55" t="n"/>
      <c r="L1163" s="55" t="n"/>
      <c r="M1163" s="55" t="n"/>
      <c r="N1163" s="67" t="n"/>
      <c r="O1163" s="74" t="n"/>
      <c r="P1163" s="74" t="n"/>
      <c r="Q1163" s="74" t="n"/>
      <c r="R1163" s="74" t="n"/>
      <c r="S1163" s="70">
        <f>SUM(O1163:R1163)</f>
        <v/>
      </c>
      <c r="T1163" s="72" t="n"/>
      <c r="U1163" s="73" t="n"/>
      <c r="V1163" s="74" t="n"/>
      <c r="W1163" s="74" t="n"/>
      <c r="X1163" s="74" t="n"/>
      <c r="Y1163" s="72" t="n"/>
      <c r="Z1163" s="74" t="n"/>
      <c r="AA1163" s="74" t="n"/>
      <c r="AB1163" s="74" t="n"/>
      <c r="AC1163" s="74" t="n"/>
      <c r="AD1163" s="73" t="n"/>
      <c r="AE1163" s="75">
        <f>SUMIFS([1]инфо!$D$15:$D$28,[1]инфо!$A$15:$A$28,F1163)</f>
        <v/>
      </c>
      <c r="AF1163" s="62">
        <f>IF(H1163=0,0,N1163/H1163)</f>
        <v/>
      </c>
      <c r="AG1163" s="76">
        <f>AF1163-AE1163</f>
        <v/>
      </c>
      <c r="AH1163" s="75">
        <f>SUMIFS([1]инфо!$E$15:$E$28,[1]инфо!$A$15:$A$28,F1163)</f>
        <v/>
      </c>
      <c r="AI1163" s="64">
        <f>IF(H1162=0,0,S1163/H1162)</f>
        <v/>
      </c>
      <c r="AJ1163" s="76">
        <f>AI1163-AH1163</f>
        <v/>
      </c>
      <c r="AK1163" s="75">
        <f>SUMIFS([1]инфо!$F$15:$F$28,[1]инфо!$A$15:$A$28,F1163)</f>
        <v/>
      </c>
      <c r="AL1163" s="64">
        <f>IF(H1163=0,0,Y1163/H1163)</f>
        <v/>
      </c>
      <c r="AM1163" s="76">
        <f>AL1163-AK1163</f>
        <v/>
      </c>
      <c r="AN1163" s="75">
        <f>SUMIFS([1]инфо!$G$15:$G$28,[1]инфо!$A$15:$A$28,F1163)</f>
        <v/>
      </c>
      <c r="AO1163" s="64">
        <f>IF(H1163=0,0,AA1163/H1163)</f>
        <v/>
      </c>
      <c r="AP1163" s="76">
        <f>AO1163-AN1163</f>
        <v/>
      </c>
      <c r="AQ1163" s="75">
        <f>SUMIFS([1]инфо!$H$15:$H$28,[1]инфо!$A$15:$A$28,F1163)</f>
        <v/>
      </c>
      <c r="AR1163" s="64">
        <f>IF(H1162=0,0,AC1163/H1162)</f>
        <v/>
      </c>
      <c r="AS1163" s="76">
        <f>AR1163-AQ1163</f>
        <v/>
      </c>
      <c r="AT1163" s="75">
        <f>SUMIFS([1]инфо!$I$15:$I$28,[1]инфо!$A$15:$A$28,F1163)</f>
        <v/>
      </c>
      <c r="AU1163" s="62">
        <f>IF(H1163=0,0,AD1163/H1163)</f>
        <v/>
      </c>
      <c r="AV1163" s="76">
        <f>AU1163-AT1163</f>
        <v/>
      </c>
      <c r="AX1163" s="70">
        <f>SUMIFS([1]инфо!$C$15:$C$28,[1]инфо!$A$15:$A$28,F1163)*H1162</f>
        <v/>
      </c>
    </row>
    <row r="1164">
      <c r="A1164" s="71">
        <f>A1162+1</f>
        <v/>
      </c>
      <c r="B1164" s="90" t="n"/>
      <c r="C1164" s="52" t="n"/>
      <c r="D1164" s="53" t="n"/>
      <c r="E1164" s="91" t="n"/>
      <c r="F1164" s="67" t="n"/>
      <c r="G1164" s="58" t="n"/>
      <c r="H1164" s="55" t="n"/>
      <c r="I1164" s="55" t="n"/>
      <c r="J1164" s="55" t="n"/>
      <c r="K1164" s="55" t="n"/>
      <c r="L1164" s="55" t="n"/>
      <c r="M1164" s="55" t="n"/>
      <c r="N1164" s="55" t="n"/>
      <c r="O1164" s="58" t="n"/>
      <c r="P1164" s="58" t="n"/>
      <c r="Q1164" s="58" t="n"/>
      <c r="R1164" s="58" t="n"/>
      <c r="S1164" s="59">
        <f>SUM(O1164:R1164)</f>
        <v/>
      </c>
      <c r="T1164" s="52" t="n"/>
      <c r="U1164" s="53" t="n"/>
      <c r="V1164" s="58" t="n"/>
      <c r="W1164" s="58" t="n"/>
      <c r="X1164" s="58" t="n"/>
      <c r="Y1164" s="52" t="n"/>
      <c r="Z1164" s="58" t="n"/>
      <c r="AA1164" s="58" t="n"/>
      <c r="AB1164" s="58" t="n"/>
      <c r="AC1164" s="58" t="n"/>
      <c r="AD1164" s="53" t="n"/>
      <c r="AE1164" s="61">
        <f>SUMIFS([1]инфо!$D$15:$D$28,[1]инфо!$A$15:$A$28,F1164)</f>
        <v/>
      </c>
      <c r="AF1164" s="62">
        <f>IF(H1164=0,0,N1164/H1164)</f>
        <v/>
      </c>
      <c r="AG1164" s="63">
        <f>AF1164-AE1164</f>
        <v/>
      </c>
      <c r="AH1164" s="61">
        <f>SUMIFS([1]инфо!$E$15:$E$28,[1]инфо!$A$15:$A$28,F1164)</f>
        <v/>
      </c>
      <c r="AI1164" s="62">
        <f>IF(H1163=0,0,S1164/H1163)</f>
        <v/>
      </c>
      <c r="AJ1164" s="63">
        <f>AI1164-AH1164</f>
        <v/>
      </c>
      <c r="AK1164" s="61">
        <f>SUMIFS([1]инфо!$F$15:$F$28,[1]инфо!$A$15:$A$28,F1164)</f>
        <v/>
      </c>
      <c r="AL1164" s="64">
        <f>IF(H1164=0,0,Y1164/H1164)</f>
        <v/>
      </c>
      <c r="AM1164" s="63">
        <f>AL1164-AK1164</f>
        <v/>
      </c>
      <c r="AN1164" s="61">
        <f>SUMIFS([1]инфо!$G$15:$G$28,[1]инфо!$A$15:$A$28,F1164)</f>
        <v/>
      </c>
      <c r="AO1164" s="64">
        <f>IF(H1164=0,0,AA1164/H1164)</f>
        <v/>
      </c>
      <c r="AP1164" s="63">
        <f>AO1164-AN1164</f>
        <v/>
      </c>
      <c r="AQ1164" s="61">
        <f>SUMIFS([1]инфо!$H$15:$H$28,[1]инфо!$A$15:$A$28,F1164)</f>
        <v/>
      </c>
      <c r="AR1164" s="62">
        <f>IF(H1163=0,0,AC1164/H1163)</f>
        <v/>
      </c>
      <c r="AS1164" s="63">
        <f>AR1164-AQ1164</f>
        <v/>
      </c>
      <c r="AT1164" s="61">
        <f>SUMIFS([1]инфо!$I$15:$I$28,[1]инфо!$A$15:$A$28,F1164)</f>
        <v/>
      </c>
      <c r="AU1164" s="62">
        <f>IF(H1164=0,0,AD1164/H1164)</f>
        <v/>
      </c>
      <c r="AV1164" s="63">
        <f>AU1164-AT1164</f>
        <v/>
      </c>
      <c r="AX1164" s="59">
        <f>SUMIFS([1]инфо!$C$15:$C$28,[1]инфо!$A$15:$A$28,F1164)*H1163</f>
        <v/>
      </c>
    </row>
    <row r="1165">
      <c r="A1165" s="71">
        <f>A1163+1</f>
        <v/>
      </c>
      <c r="B1165" s="90" t="n"/>
      <c r="C1165" s="52" t="n"/>
      <c r="D1165" s="53" t="n"/>
      <c r="E1165" s="91" t="n"/>
      <c r="F1165" s="67" t="n"/>
      <c r="G1165" s="58" t="n"/>
      <c r="H1165" s="56" t="n"/>
      <c r="I1165" s="55" t="n"/>
      <c r="J1165" s="55" t="n"/>
      <c r="K1165" s="55" t="n"/>
      <c r="L1165" s="55" t="n"/>
      <c r="M1165" s="55" t="n"/>
      <c r="N1165" s="55" t="n"/>
      <c r="O1165" s="58" t="n"/>
      <c r="P1165" s="58" t="n"/>
      <c r="Q1165" s="58" t="n"/>
      <c r="R1165" s="58" t="n"/>
      <c r="S1165" s="59">
        <f>SUM(O1165:R1165)</f>
        <v/>
      </c>
      <c r="T1165" s="52" t="n"/>
      <c r="U1165" s="53" t="n"/>
      <c r="V1165" s="58" t="n"/>
      <c r="W1165" s="58" t="n"/>
      <c r="X1165" s="58" t="n"/>
      <c r="Y1165" s="52" t="n"/>
      <c r="Z1165" s="58" t="n"/>
      <c r="AA1165" s="58" t="n"/>
      <c r="AB1165" s="58" t="n"/>
      <c r="AC1165" s="58" t="n"/>
      <c r="AD1165" s="53" t="n"/>
      <c r="AE1165" s="61">
        <f>SUMIFS([1]инфо!$D$15:$D$28,[1]инфо!$A$15:$A$28,F1165)</f>
        <v/>
      </c>
      <c r="AF1165" s="62">
        <f>IF(H1165=0,0,N1165/H1165)</f>
        <v/>
      </c>
      <c r="AG1165" s="63">
        <f>AF1165-AE1165</f>
        <v/>
      </c>
      <c r="AH1165" s="61">
        <f>SUMIFS([1]инфо!$E$15:$E$28,[1]инфо!$A$15:$A$28,F1165)</f>
        <v/>
      </c>
      <c r="AI1165" s="62">
        <f>IF(H1164=0,0,S1165/H1164)</f>
        <v/>
      </c>
      <c r="AJ1165" s="63">
        <f>AI1165-AH1165</f>
        <v/>
      </c>
      <c r="AK1165" s="61">
        <f>SUMIFS([1]инфо!$F$15:$F$28,[1]инфо!$A$15:$A$28,F1165)</f>
        <v/>
      </c>
      <c r="AL1165" s="64">
        <f>IF(H1165=0,0,Y1165/H1165)</f>
        <v/>
      </c>
      <c r="AM1165" s="63">
        <f>AL1165-AK1165</f>
        <v/>
      </c>
      <c r="AN1165" s="61">
        <f>SUMIFS([1]инфо!$G$15:$G$28,[1]инфо!$A$15:$A$28,F1165)</f>
        <v/>
      </c>
      <c r="AO1165" s="64">
        <f>IF(H1165=0,0,AA1165/H1165)</f>
        <v/>
      </c>
      <c r="AP1165" s="63">
        <f>AO1165-AN1165</f>
        <v/>
      </c>
      <c r="AQ1165" s="61">
        <f>SUMIFS([1]инфо!$H$15:$H$28,[1]инфо!$A$15:$A$28,F1165)</f>
        <v/>
      </c>
      <c r="AR1165" s="62">
        <f>IF(H1164=0,0,AC1165/H1164)</f>
        <v/>
      </c>
      <c r="AS1165" s="63">
        <f>AR1165-AQ1165</f>
        <v/>
      </c>
      <c r="AT1165" s="61">
        <f>SUMIFS([1]инфо!$I$15:$I$28,[1]инфо!$A$15:$A$28,F1165)</f>
        <v/>
      </c>
      <c r="AU1165" s="62">
        <f>IF(H1165=0,0,AD1165/H1165)</f>
        <v/>
      </c>
      <c r="AV1165" s="63">
        <f>AU1165-AT1165</f>
        <v/>
      </c>
      <c r="AX1165" s="59">
        <f>SUMIFS([1]инфо!$C$15:$C$28,[1]инфо!$A$15:$A$28,F1165)*H1164</f>
        <v/>
      </c>
    </row>
    <row r="1166">
      <c r="A1166" s="71">
        <f>A1164+1</f>
        <v/>
      </c>
      <c r="B1166" s="88" t="n"/>
      <c r="C1166" s="77" t="n"/>
      <c r="D1166" s="78" t="n"/>
      <c r="E1166" s="91" t="n"/>
      <c r="F1166" s="67" t="n"/>
      <c r="G1166" s="79" t="n"/>
      <c r="H1166" s="67" t="n"/>
      <c r="I1166" s="55" t="n"/>
      <c r="J1166" s="55" t="n"/>
      <c r="K1166" s="55" t="n"/>
      <c r="L1166" s="55" t="n"/>
      <c r="M1166" s="55" t="n"/>
      <c r="N1166" s="56" t="n"/>
      <c r="O1166" s="79" t="n"/>
      <c r="P1166" s="79" t="n"/>
      <c r="Q1166" s="79" t="n"/>
      <c r="R1166" s="79" t="n"/>
      <c r="S1166" s="80">
        <f>SUM(O1166:R1166)</f>
        <v/>
      </c>
      <c r="T1166" s="77" t="n"/>
      <c r="U1166" s="78" t="n"/>
      <c r="V1166" s="79" t="n"/>
      <c r="W1166" s="79" t="n"/>
      <c r="X1166" s="79" t="n"/>
      <c r="Y1166" s="77" t="n"/>
      <c r="Z1166" s="79" t="n"/>
      <c r="AA1166" s="79" t="n"/>
      <c r="AB1166" s="79" t="n"/>
      <c r="AC1166" s="79" t="n"/>
      <c r="AD1166" s="78" t="n"/>
      <c r="AE1166" s="81">
        <f>SUMIFS([1]инфо!$D$15:$D$28,[1]инфо!$A$15:$A$28,F1166)</f>
        <v/>
      </c>
      <c r="AF1166" s="62">
        <f>IF(H1166=0,0,N1166/H1166)</f>
        <v/>
      </c>
      <c r="AG1166" s="82">
        <f>AF1166-AE1166</f>
        <v/>
      </c>
      <c r="AH1166" s="81">
        <f>SUMIFS([1]инфо!$E$15:$E$28,[1]инфо!$A$15:$A$28,F1166)</f>
        <v/>
      </c>
      <c r="AI1166" s="85">
        <f>IF(H1165=0,0,S1166/H1165)</f>
        <v/>
      </c>
      <c r="AJ1166" s="82">
        <f>AI1166-AH1166</f>
        <v/>
      </c>
      <c r="AK1166" s="81">
        <f>SUMIFS([1]инфо!$F$15:$F$28,[1]инфо!$A$15:$A$28,F1166)</f>
        <v/>
      </c>
      <c r="AL1166" s="64">
        <f>IF(H1166=0,0,Y1166/H1166)</f>
        <v/>
      </c>
      <c r="AM1166" s="82">
        <f>AL1166-AK1166</f>
        <v/>
      </c>
      <c r="AN1166" s="81">
        <f>SUMIFS([1]инфо!$G$15:$G$28,[1]инфо!$A$15:$A$28,F1166)</f>
        <v/>
      </c>
      <c r="AO1166" s="64">
        <f>IF(H1166=0,0,AA1166/H1166)</f>
        <v/>
      </c>
      <c r="AP1166" s="82">
        <f>AO1166-AN1166</f>
        <v/>
      </c>
      <c r="AQ1166" s="81">
        <f>SUMIFS([1]инфо!$H$15:$H$28,[1]инфо!$A$15:$A$28,F1166)</f>
        <v/>
      </c>
      <c r="AR1166" s="85">
        <f>IF(H1165=0,0,AC1166/H1165)</f>
        <v/>
      </c>
      <c r="AS1166" s="82">
        <f>AR1166-AQ1166</f>
        <v/>
      </c>
      <c r="AT1166" s="81">
        <f>SUMIFS([1]инфо!$I$15:$I$28,[1]инфо!$A$15:$A$28,F1166)</f>
        <v/>
      </c>
      <c r="AU1166" s="62">
        <f>IF(H1166=0,0,AD1166/H1166)</f>
        <v/>
      </c>
      <c r="AV1166" s="82">
        <f>AU1166-AT1166</f>
        <v/>
      </c>
      <c r="AX1166" s="80">
        <f>SUMIFS([1]инфо!$C$15:$C$28,[1]инфо!$A$15:$A$28,F1166)*H1165</f>
        <v/>
      </c>
    </row>
    <row r="1167">
      <c r="A1167" s="71">
        <f>A1165+1</f>
        <v/>
      </c>
      <c r="B1167" s="89" t="n"/>
      <c r="C1167" s="72" t="n"/>
      <c r="D1167" s="73" t="n"/>
      <c r="E1167" s="91" t="n"/>
      <c r="F1167" s="67" t="n"/>
      <c r="G1167" s="74" t="n"/>
      <c r="H1167" s="55" t="n"/>
      <c r="I1167" s="55" t="n"/>
      <c r="J1167" s="55" t="n"/>
      <c r="K1167" s="55" t="n"/>
      <c r="L1167" s="55" t="n"/>
      <c r="M1167" s="55" t="n"/>
      <c r="N1167" s="67" t="n"/>
      <c r="O1167" s="74" t="n"/>
      <c r="P1167" s="74" t="n"/>
      <c r="Q1167" s="74" t="n"/>
      <c r="R1167" s="74" t="n"/>
      <c r="S1167" s="70">
        <f>SUM(O1167:R1167)</f>
        <v/>
      </c>
      <c r="T1167" s="72" t="n"/>
      <c r="U1167" s="73" t="n"/>
      <c r="V1167" s="74" t="n"/>
      <c r="W1167" s="74" t="n"/>
      <c r="X1167" s="74" t="n"/>
      <c r="Y1167" s="72" t="n"/>
      <c r="Z1167" s="74" t="n"/>
      <c r="AA1167" s="74" t="n"/>
      <c r="AB1167" s="74" t="n"/>
      <c r="AC1167" s="74" t="n"/>
      <c r="AD1167" s="73" t="n"/>
      <c r="AE1167" s="75">
        <f>SUMIFS([1]инфо!$D$15:$D$28,[1]инфо!$A$15:$A$28,F1167)</f>
        <v/>
      </c>
      <c r="AF1167" s="62">
        <f>IF(H1167=0,0,N1167/H1167)</f>
        <v/>
      </c>
      <c r="AG1167" s="76">
        <f>AF1167-AE1167</f>
        <v/>
      </c>
      <c r="AH1167" s="75">
        <f>SUMIFS([1]инфо!$E$15:$E$28,[1]инфо!$A$15:$A$28,F1167)</f>
        <v/>
      </c>
      <c r="AI1167" s="64">
        <f>IF(H1166=0,0,S1167/H1166)</f>
        <v/>
      </c>
      <c r="AJ1167" s="76">
        <f>AI1167-AH1167</f>
        <v/>
      </c>
      <c r="AK1167" s="75">
        <f>SUMIFS([1]инфо!$F$15:$F$28,[1]инфо!$A$15:$A$28,F1167)</f>
        <v/>
      </c>
      <c r="AL1167" s="64">
        <f>IF(H1167=0,0,Y1167/H1167)</f>
        <v/>
      </c>
      <c r="AM1167" s="76">
        <f>AL1167-AK1167</f>
        <v/>
      </c>
      <c r="AN1167" s="75">
        <f>SUMIFS([1]инфо!$G$15:$G$28,[1]инфо!$A$15:$A$28,F1167)</f>
        <v/>
      </c>
      <c r="AO1167" s="64">
        <f>IF(H1167=0,0,AA1167/H1167)</f>
        <v/>
      </c>
      <c r="AP1167" s="76">
        <f>AO1167-AN1167</f>
        <v/>
      </c>
      <c r="AQ1167" s="75">
        <f>SUMIFS([1]инфо!$H$15:$H$28,[1]инфо!$A$15:$A$28,F1167)</f>
        <v/>
      </c>
      <c r="AR1167" s="64">
        <f>IF(H1166=0,0,AC1167/H1166)</f>
        <v/>
      </c>
      <c r="AS1167" s="76">
        <f>AR1167-AQ1167</f>
        <v/>
      </c>
      <c r="AT1167" s="75">
        <f>SUMIFS([1]инфо!$I$15:$I$28,[1]инфо!$A$15:$A$28,F1167)</f>
        <v/>
      </c>
      <c r="AU1167" s="62">
        <f>IF(H1167=0,0,AD1167/H1167)</f>
        <v/>
      </c>
      <c r="AV1167" s="76">
        <f>AU1167-AT1167</f>
        <v/>
      </c>
      <c r="AX1167" s="70">
        <f>SUMIFS([1]инфо!$C$15:$C$28,[1]инфо!$A$15:$A$28,F1167)*H1166</f>
        <v/>
      </c>
    </row>
    <row r="1168">
      <c r="A1168" s="71">
        <f>A1166+1</f>
        <v/>
      </c>
      <c r="B1168" s="90" t="n"/>
      <c r="C1168" s="52" t="n"/>
      <c r="D1168" s="53" t="n"/>
      <c r="E1168" s="91" t="n"/>
      <c r="F1168" s="67" t="n"/>
      <c r="G1168" s="58" t="n"/>
      <c r="H1168" s="55" t="n"/>
      <c r="I1168" s="55" t="n"/>
      <c r="J1168" s="55" t="n"/>
      <c r="K1168" s="55" t="n"/>
      <c r="L1168" s="55" t="n"/>
      <c r="M1168" s="55" t="n"/>
      <c r="N1168" s="55" t="n"/>
      <c r="O1168" s="58" t="n"/>
      <c r="P1168" s="58" t="n"/>
      <c r="Q1168" s="58" t="n"/>
      <c r="R1168" s="58" t="n"/>
      <c r="S1168" s="59">
        <f>SUM(O1168:R1168)</f>
        <v/>
      </c>
      <c r="T1168" s="52" t="n"/>
      <c r="U1168" s="53" t="n"/>
      <c r="V1168" s="58" t="n"/>
      <c r="W1168" s="58" t="n"/>
      <c r="X1168" s="58" t="n"/>
      <c r="Y1168" s="52" t="n"/>
      <c r="Z1168" s="58" t="n"/>
      <c r="AA1168" s="58" t="n"/>
      <c r="AB1168" s="58" t="n"/>
      <c r="AC1168" s="58" t="n"/>
      <c r="AD1168" s="53" t="n"/>
      <c r="AE1168" s="61">
        <f>SUMIFS([1]инфо!$D$15:$D$28,[1]инфо!$A$15:$A$28,F1168)</f>
        <v/>
      </c>
      <c r="AF1168" s="62">
        <f>IF(H1168=0,0,N1168/H1168)</f>
        <v/>
      </c>
      <c r="AG1168" s="63">
        <f>AF1168-AE1168</f>
        <v/>
      </c>
      <c r="AH1168" s="61">
        <f>SUMIFS([1]инфо!$E$15:$E$28,[1]инфо!$A$15:$A$28,F1168)</f>
        <v/>
      </c>
      <c r="AI1168" s="62">
        <f>IF(H1167=0,0,S1168/H1167)</f>
        <v/>
      </c>
      <c r="AJ1168" s="63">
        <f>AI1168-AH1168</f>
        <v/>
      </c>
      <c r="AK1168" s="61">
        <f>SUMIFS([1]инфо!$F$15:$F$28,[1]инфо!$A$15:$A$28,F1168)</f>
        <v/>
      </c>
      <c r="AL1168" s="64">
        <f>IF(H1168=0,0,Y1168/H1168)</f>
        <v/>
      </c>
      <c r="AM1168" s="63">
        <f>AL1168-AK1168</f>
        <v/>
      </c>
      <c r="AN1168" s="61">
        <f>SUMIFS([1]инфо!$G$15:$G$28,[1]инфо!$A$15:$A$28,F1168)</f>
        <v/>
      </c>
      <c r="AO1168" s="64">
        <f>IF(H1168=0,0,AA1168/H1168)</f>
        <v/>
      </c>
      <c r="AP1168" s="63">
        <f>AO1168-AN1168</f>
        <v/>
      </c>
      <c r="AQ1168" s="61">
        <f>SUMIFS([1]инфо!$H$15:$H$28,[1]инфо!$A$15:$A$28,F1168)</f>
        <v/>
      </c>
      <c r="AR1168" s="62">
        <f>IF(H1167=0,0,AC1168/H1167)</f>
        <v/>
      </c>
      <c r="AS1168" s="63">
        <f>AR1168-AQ1168</f>
        <v/>
      </c>
      <c r="AT1168" s="61">
        <f>SUMIFS([1]инфо!$I$15:$I$28,[1]инфо!$A$15:$A$28,F1168)</f>
        <v/>
      </c>
      <c r="AU1168" s="62">
        <f>IF(H1168=0,0,AD1168/H1168)</f>
        <v/>
      </c>
      <c r="AV1168" s="63">
        <f>AU1168-AT1168</f>
        <v/>
      </c>
      <c r="AX1168" s="59">
        <f>SUMIFS([1]инфо!$C$15:$C$28,[1]инфо!$A$15:$A$28,F1168)*H1167</f>
        <v/>
      </c>
    </row>
    <row r="1169">
      <c r="A1169" s="71">
        <f>A1167+1</f>
        <v/>
      </c>
      <c r="B1169" s="90" t="n"/>
      <c r="C1169" s="52" t="n"/>
      <c r="D1169" s="53" t="n"/>
      <c r="E1169" s="91" t="n"/>
      <c r="F1169" s="67" t="n"/>
      <c r="G1169" s="58" t="n"/>
      <c r="H1169" s="56" t="n"/>
      <c r="I1169" s="55" t="n"/>
      <c r="J1169" s="55" t="n"/>
      <c r="K1169" s="55" t="n"/>
      <c r="L1169" s="55" t="n"/>
      <c r="M1169" s="55" t="n"/>
      <c r="N1169" s="55" t="n"/>
      <c r="O1169" s="58" t="n"/>
      <c r="P1169" s="58" t="n"/>
      <c r="Q1169" s="58" t="n"/>
      <c r="R1169" s="58" t="n"/>
      <c r="S1169" s="59">
        <f>SUM(O1169:R1169)</f>
        <v/>
      </c>
      <c r="T1169" s="52" t="n"/>
      <c r="U1169" s="53" t="n"/>
      <c r="V1169" s="58" t="n"/>
      <c r="W1169" s="58" t="n"/>
      <c r="X1169" s="58" t="n"/>
      <c r="Y1169" s="52" t="n"/>
      <c r="Z1169" s="58" t="n"/>
      <c r="AA1169" s="58" t="n"/>
      <c r="AB1169" s="58" t="n"/>
      <c r="AC1169" s="58" t="n"/>
      <c r="AD1169" s="53" t="n"/>
      <c r="AE1169" s="61">
        <f>SUMIFS([1]инфо!$D$15:$D$28,[1]инфо!$A$15:$A$28,F1169)</f>
        <v/>
      </c>
      <c r="AF1169" s="62">
        <f>IF(H1169=0,0,N1169/H1169)</f>
        <v/>
      </c>
      <c r="AG1169" s="63">
        <f>AF1169-AE1169</f>
        <v/>
      </c>
      <c r="AH1169" s="61">
        <f>SUMIFS([1]инфо!$E$15:$E$28,[1]инфо!$A$15:$A$28,F1169)</f>
        <v/>
      </c>
      <c r="AI1169" s="62">
        <f>IF(H1168=0,0,S1169/H1168)</f>
        <v/>
      </c>
      <c r="AJ1169" s="63">
        <f>AI1169-AH1169</f>
        <v/>
      </c>
      <c r="AK1169" s="61">
        <f>SUMIFS([1]инфо!$F$15:$F$28,[1]инфо!$A$15:$A$28,F1169)</f>
        <v/>
      </c>
      <c r="AL1169" s="64">
        <f>IF(H1169=0,0,Y1169/H1169)</f>
        <v/>
      </c>
      <c r="AM1169" s="63">
        <f>AL1169-AK1169</f>
        <v/>
      </c>
      <c r="AN1169" s="61">
        <f>SUMIFS([1]инфо!$G$15:$G$28,[1]инфо!$A$15:$A$28,F1169)</f>
        <v/>
      </c>
      <c r="AO1169" s="64">
        <f>IF(H1169=0,0,AA1169/H1169)</f>
        <v/>
      </c>
      <c r="AP1169" s="63">
        <f>AO1169-AN1169</f>
        <v/>
      </c>
      <c r="AQ1169" s="61">
        <f>SUMIFS([1]инфо!$H$15:$H$28,[1]инфо!$A$15:$A$28,F1169)</f>
        <v/>
      </c>
      <c r="AR1169" s="62">
        <f>IF(H1168=0,0,AC1169/H1168)</f>
        <v/>
      </c>
      <c r="AS1169" s="63">
        <f>AR1169-AQ1169</f>
        <v/>
      </c>
      <c r="AT1169" s="61">
        <f>SUMIFS([1]инфо!$I$15:$I$28,[1]инфо!$A$15:$A$28,F1169)</f>
        <v/>
      </c>
      <c r="AU1169" s="62">
        <f>IF(H1169=0,0,AD1169/H1169)</f>
        <v/>
      </c>
      <c r="AV1169" s="63">
        <f>AU1169-AT1169</f>
        <v/>
      </c>
      <c r="AX1169" s="59">
        <f>SUMIFS([1]инфо!$C$15:$C$28,[1]инфо!$A$15:$A$28,F1169)*H1168</f>
        <v/>
      </c>
    </row>
    <row r="1170">
      <c r="A1170" s="71">
        <f>A1168+1</f>
        <v/>
      </c>
      <c r="B1170" s="88" t="n"/>
      <c r="C1170" s="77" t="n"/>
      <c r="D1170" s="78" t="n"/>
      <c r="E1170" s="91" t="n"/>
      <c r="F1170" s="67" t="n"/>
      <c r="G1170" s="79" t="n"/>
      <c r="H1170" s="67" t="n"/>
      <c r="I1170" s="55" t="n"/>
      <c r="J1170" s="55" t="n"/>
      <c r="K1170" s="55" t="n"/>
      <c r="L1170" s="55" t="n"/>
      <c r="M1170" s="55" t="n"/>
      <c r="N1170" s="56" t="n"/>
      <c r="O1170" s="79" t="n"/>
      <c r="P1170" s="79" t="n"/>
      <c r="Q1170" s="79" t="n"/>
      <c r="R1170" s="79" t="n"/>
      <c r="S1170" s="80">
        <f>SUM(O1170:R1170)</f>
        <v/>
      </c>
      <c r="T1170" s="77" t="n"/>
      <c r="U1170" s="78" t="n"/>
      <c r="V1170" s="79" t="n"/>
      <c r="W1170" s="79" t="n"/>
      <c r="X1170" s="79" t="n"/>
      <c r="Y1170" s="77" t="n"/>
      <c r="Z1170" s="79" t="n"/>
      <c r="AA1170" s="79" t="n"/>
      <c r="AB1170" s="79" t="n"/>
      <c r="AC1170" s="79" t="n"/>
      <c r="AD1170" s="78" t="n"/>
      <c r="AE1170" s="81">
        <f>SUMIFS([1]инфо!$D$15:$D$28,[1]инфо!$A$15:$A$28,F1170)</f>
        <v/>
      </c>
      <c r="AF1170" s="62">
        <f>IF(H1170=0,0,N1170/H1170)</f>
        <v/>
      </c>
      <c r="AG1170" s="82">
        <f>AF1170-AE1170</f>
        <v/>
      </c>
      <c r="AH1170" s="81">
        <f>SUMIFS([1]инфо!$E$15:$E$28,[1]инфо!$A$15:$A$28,F1170)</f>
        <v/>
      </c>
      <c r="AI1170" s="85">
        <f>IF(H1169=0,0,S1170/H1169)</f>
        <v/>
      </c>
      <c r="AJ1170" s="82">
        <f>AI1170-AH1170</f>
        <v/>
      </c>
      <c r="AK1170" s="81">
        <f>SUMIFS([1]инфо!$F$15:$F$28,[1]инфо!$A$15:$A$28,F1170)</f>
        <v/>
      </c>
      <c r="AL1170" s="64">
        <f>IF(H1170=0,0,Y1170/H1170)</f>
        <v/>
      </c>
      <c r="AM1170" s="82">
        <f>AL1170-AK1170</f>
        <v/>
      </c>
      <c r="AN1170" s="81">
        <f>SUMIFS([1]инфо!$G$15:$G$28,[1]инфо!$A$15:$A$28,F1170)</f>
        <v/>
      </c>
      <c r="AO1170" s="64">
        <f>IF(H1170=0,0,AA1170/H1170)</f>
        <v/>
      </c>
      <c r="AP1170" s="82">
        <f>AO1170-AN1170</f>
        <v/>
      </c>
      <c r="AQ1170" s="81">
        <f>SUMIFS([1]инфо!$H$15:$H$28,[1]инфо!$A$15:$A$28,F1170)</f>
        <v/>
      </c>
      <c r="AR1170" s="85">
        <f>IF(H1169=0,0,AC1170/H1169)</f>
        <v/>
      </c>
      <c r="AS1170" s="82">
        <f>AR1170-AQ1170</f>
        <v/>
      </c>
      <c r="AT1170" s="81">
        <f>SUMIFS([1]инфо!$I$15:$I$28,[1]инфо!$A$15:$A$28,F1170)</f>
        <v/>
      </c>
      <c r="AU1170" s="62">
        <f>IF(H1170=0,0,AD1170/H1170)</f>
        <v/>
      </c>
      <c r="AV1170" s="82">
        <f>AU1170-AT1170</f>
        <v/>
      </c>
      <c r="AX1170" s="80">
        <f>SUMIFS([1]инфо!$C$15:$C$28,[1]инфо!$A$15:$A$28,F1170)*H1169</f>
        <v/>
      </c>
    </row>
    <row r="1171">
      <c r="A1171" s="71">
        <f>A1169+1</f>
        <v/>
      </c>
      <c r="B1171" s="89" t="n"/>
      <c r="C1171" s="72" t="n"/>
      <c r="D1171" s="73" t="n"/>
      <c r="E1171" s="91" t="n"/>
      <c r="F1171" s="67" t="n"/>
      <c r="G1171" s="74" t="n"/>
      <c r="H1171" s="55" t="n"/>
      <c r="I1171" s="55" t="n"/>
      <c r="J1171" s="55" t="n"/>
      <c r="K1171" s="55" t="n"/>
      <c r="L1171" s="55" t="n"/>
      <c r="M1171" s="55" t="n"/>
      <c r="N1171" s="67" t="n"/>
      <c r="O1171" s="74" t="n"/>
      <c r="P1171" s="74" t="n"/>
      <c r="Q1171" s="74" t="n"/>
      <c r="R1171" s="74" t="n"/>
      <c r="S1171" s="70">
        <f>SUM(O1171:R1171)</f>
        <v/>
      </c>
      <c r="T1171" s="72" t="n"/>
      <c r="U1171" s="73" t="n"/>
      <c r="V1171" s="74" t="n"/>
      <c r="W1171" s="74" t="n"/>
      <c r="X1171" s="74" t="n"/>
      <c r="Y1171" s="72" t="n"/>
      <c r="Z1171" s="74" t="n"/>
      <c r="AA1171" s="74" t="n"/>
      <c r="AB1171" s="74" t="n"/>
      <c r="AC1171" s="74" t="n"/>
      <c r="AD1171" s="73" t="n"/>
      <c r="AE1171" s="75">
        <f>SUMIFS([1]инфо!$D$15:$D$28,[1]инфо!$A$15:$A$28,F1171)</f>
        <v/>
      </c>
      <c r="AF1171" s="62">
        <f>IF(H1171=0,0,N1171/H1171)</f>
        <v/>
      </c>
      <c r="AG1171" s="76">
        <f>AF1171-AE1171</f>
        <v/>
      </c>
      <c r="AH1171" s="75">
        <f>SUMIFS([1]инфо!$E$15:$E$28,[1]инфо!$A$15:$A$28,F1171)</f>
        <v/>
      </c>
      <c r="AI1171" s="64">
        <f>IF(H1170=0,0,S1171/H1170)</f>
        <v/>
      </c>
      <c r="AJ1171" s="76">
        <f>AI1171-AH1171</f>
        <v/>
      </c>
      <c r="AK1171" s="75">
        <f>SUMIFS([1]инфо!$F$15:$F$28,[1]инфо!$A$15:$A$28,F1171)</f>
        <v/>
      </c>
      <c r="AL1171" s="64">
        <f>IF(H1171=0,0,Y1171/H1171)</f>
        <v/>
      </c>
      <c r="AM1171" s="76">
        <f>AL1171-AK1171</f>
        <v/>
      </c>
      <c r="AN1171" s="75">
        <f>SUMIFS([1]инфо!$G$15:$G$28,[1]инфо!$A$15:$A$28,F1171)</f>
        <v/>
      </c>
      <c r="AO1171" s="64">
        <f>IF(H1171=0,0,AA1171/H1171)</f>
        <v/>
      </c>
      <c r="AP1171" s="76">
        <f>AO1171-AN1171</f>
        <v/>
      </c>
      <c r="AQ1171" s="75">
        <f>SUMIFS([1]инфо!$H$15:$H$28,[1]инфо!$A$15:$A$28,F1171)</f>
        <v/>
      </c>
      <c r="AR1171" s="64">
        <f>IF(H1170=0,0,AC1171/H1170)</f>
        <v/>
      </c>
      <c r="AS1171" s="76">
        <f>AR1171-AQ1171</f>
        <v/>
      </c>
      <c r="AT1171" s="75">
        <f>SUMIFS([1]инфо!$I$15:$I$28,[1]инфо!$A$15:$A$28,F1171)</f>
        <v/>
      </c>
      <c r="AU1171" s="62">
        <f>IF(H1171=0,0,AD1171/H1171)</f>
        <v/>
      </c>
      <c r="AV1171" s="76">
        <f>AU1171-AT1171</f>
        <v/>
      </c>
      <c r="AX1171" s="70">
        <f>SUMIFS([1]инфо!$C$15:$C$28,[1]инфо!$A$15:$A$28,F1171)*H1170</f>
        <v/>
      </c>
    </row>
    <row r="1172">
      <c r="A1172" s="71">
        <f>A1170+1</f>
        <v/>
      </c>
      <c r="B1172" s="90" t="n"/>
      <c r="C1172" s="52" t="n"/>
      <c r="D1172" s="53" t="n"/>
      <c r="E1172" s="91" t="n"/>
      <c r="F1172" s="67" t="n"/>
      <c r="G1172" s="58" t="n"/>
      <c r="H1172" s="55" t="n"/>
      <c r="I1172" s="55" t="n"/>
      <c r="J1172" s="55" t="n"/>
      <c r="K1172" s="55" t="n"/>
      <c r="L1172" s="55" t="n"/>
      <c r="M1172" s="55" t="n"/>
      <c r="N1172" s="55" t="n"/>
      <c r="O1172" s="58" t="n"/>
      <c r="P1172" s="58" t="n"/>
      <c r="Q1172" s="58" t="n"/>
      <c r="R1172" s="58" t="n"/>
      <c r="S1172" s="59">
        <f>SUM(O1172:R1172)</f>
        <v/>
      </c>
      <c r="T1172" s="52" t="n"/>
      <c r="U1172" s="53" t="n"/>
      <c r="V1172" s="58" t="n"/>
      <c r="W1172" s="58" t="n"/>
      <c r="X1172" s="58" t="n"/>
      <c r="Y1172" s="52" t="n"/>
      <c r="Z1172" s="58" t="n"/>
      <c r="AA1172" s="58" t="n"/>
      <c r="AB1172" s="58" t="n"/>
      <c r="AC1172" s="58" t="n"/>
      <c r="AD1172" s="53" t="n"/>
      <c r="AE1172" s="61">
        <f>SUMIFS([1]инфо!$D$15:$D$28,[1]инфо!$A$15:$A$28,F1172)</f>
        <v/>
      </c>
      <c r="AF1172" s="62">
        <f>IF(H1172=0,0,N1172/H1172)</f>
        <v/>
      </c>
      <c r="AG1172" s="63">
        <f>AF1172-AE1172</f>
        <v/>
      </c>
      <c r="AH1172" s="61">
        <f>SUMIFS([1]инфо!$E$15:$E$28,[1]инфо!$A$15:$A$28,F1172)</f>
        <v/>
      </c>
      <c r="AI1172" s="62">
        <f>IF(H1171=0,0,S1172/H1171)</f>
        <v/>
      </c>
      <c r="AJ1172" s="63">
        <f>AI1172-AH1172</f>
        <v/>
      </c>
      <c r="AK1172" s="61">
        <f>SUMIFS([1]инфо!$F$15:$F$28,[1]инфо!$A$15:$A$28,F1172)</f>
        <v/>
      </c>
      <c r="AL1172" s="64">
        <f>IF(H1172=0,0,Y1172/H1172)</f>
        <v/>
      </c>
      <c r="AM1172" s="63">
        <f>AL1172-AK1172</f>
        <v/>
      </c>
      <c r="AN1172" s="61">
        <f>SUMIFS([1]инфо!$G$15:$G$28,[1]инфо!$A$15:$A$28,F1172)</f>
        <v/>
      </c>
      <c r="AO1172" s="64">
        <f>IF(H1172=0,0,AA1172/H1172)</f>
        <v/>
      </c>
      <c r="AP1172" s="63">
        <f>AO1172-AN1172</f>
        <v/>
      </c>
      <c r="AQ1172" s="61">
        <f>SUMIFS([1]инфо!$H$15:$H$28,[1]инфо!$A$15:$A$28,F1172)</f>
        <v/>
      </c>
      <c r="AR1172" s="62">
        <f>IF(H1171=0,0,AC1172/H1171)</f>
        <v/>
      </c>
      <c r="AS1172" s="63">
        <f>AR1172-AQ1172</f>
        <v/>
      </c>
      <c r="AT1172" s="61">
        <f>SUMIFS([1]инфо!$I$15:$I$28,[1]инфо!$A$15:$A$28,F1172)</f>
        <v/>
      </c>
      <c r="AU1172" s="62">
        <f>IF(H1172=0,0,AD1172/H1172)</f>
        <v/>
      </c>
      <c r="AV1172" s="63">
        <f>AU1172-AT1172</f>
        <v/>
      </c>
      <c r="AX1172" s="59">
        <f>SUMIFS([1]инфо!$C$15:$C$28,[1]инфо!$A$15:$A$28,F1172)*H1171</f>
        <v/>
      </c>
    </row>
    <row r="1173">
      <c r="A1173" s="71">
        <f>A1171+1</f>
        <v/>
      </c>
      <c r="B1173" s="90" t="n"/>
      <c r="C1173" s="52" t="n"/>
      <c r="D1173" s="53" t="n"/>
      <c r="E1173" s="91" t="n"/>
      <c r="F1173" s="67" t="n"/>
      <c r="G1173" s="58" t="n"/>
      <c r="H1173" s="56" t="n"/>
      <c r="I1173" s="55" t="n"/>
      <c r="J1173" s="55" t="n"/>
      <c r="K1173" s="55" t="n"/>
      <c r="L1173" s="55" t="n"/>
      <c r="M1173" s="55" t="n"/>
      <c r="N1173" s="55" t="n"/>
      <c r="O1173" s="58" t="n"/>
      <c r="P1173" s="58" t="n"/>
      <c r="Q1173" s="58" t="n"/>
      <c r="R1173" s="58" t="n"/>
      <c r="S1173" s="59">
        <f>SUM(O1173:R1173)</f>
        <v/>
      </c>
      <c r="T1173" s="52" t="n"/>
      <c r="U1173" s="53" t="n"/>
      <c r="V1173" s="58" t="n"/>
      <c r="W1173" s="58" t="n"/>
      <c r="X1173" s="58" t="n"/>
      <c r="Y1173" s="52" t="n"/>
      <c r="Z1173" s="58" t="n"/>
      <c r="AA1173" s="58" t="n"/>
      <c r="AB1173" s="58" t="n"/>
      <c r="AC1173" s="58" t="n"/>
      <c r="AD1173" s="53" t="n"/>
      <c r="AE1173" s="61">
        <f>SUMIFS([1]инфо!$D$15:$D$28,[1]инфо!$A$15:$A$28,F1173)</f>
        <v/>
      </c>
      <c r="AF1173" s="62">
        <f>IF(H1173=0,0,N1173/H1173)</f>
        <v/>
      </c>
      <c r="AG1173" s="63">
        <f>AF1173-AE1173</f>
        <v/>
      </c>
      <c r="AH1173" s="61">
        <f>SUMIFS([1]инфо!$E$15:$E$28,[1]инфо!$A$15:$A$28,F1173)</f>
        <v/>
      </c>
      <c r="AI1173" s="62">
        <f>IF(H1172=0,0,S1173/H1172)</f>
        <v/>
      </c>
      <c r="AJ1173" s="63">
        <f>AI1173-AH1173</f>
        <v/>
      </c>
      <c r="AK1173" s="61">
        <f>SUMIFS([1]инфо!$F$15:$F$28,[1]инфо!$A$15:$A$28,F1173)</f>
        <v/>
      </c>
      <c r="AL1173" s="64">
        <f>IF(H1173=0,0,Y1173/H1173)</f>
        <v/>
      </c>
      <c r="AM1173" s="63">
        <f>AL1173-AK1173</f>
        <v/>
      </c>
      <c r="AN1173" s="61">
        <f>SUMIFS([1]инфо!$G$15:$G$28,[1]инфо!$A$15:$A$28,F1173)</f>
        <v/>
      </c>
      <c r="AO1173" s="64">
        <f>IF(H1173=0,0,AA1173/H1173)</f>
        <v/>
      </c>
      <c r="AP1173" s="63">
        <f>AO1173-AN1173</f>
        <v/>
      </c>
      <c r="AQ1173" s="61">
        <f>SUMIFS([1]инфо!$H$15:$H$28,[1]инфо!$A$15:$A$28,F1173)</f>
        <v/>
      </c>
      <c r="AR1173" s="62">
        <f>IF(H1172=0,0,AC1173/H1172)</f>
        <v/>
      </c>
      <c r="AS1173" s="63">
        <f>AR1173-AQ1173</f>
        <v/>
      </c>
      <c r="AT1173" s="61">
        <f>SUMIFS([1]инфо!$I$15:$I$28,[1]инфо!$A$15:$A$28,F1173)</f>
        <v/>
      </c>
      <c r="AU1173" s="62">
        <f>IF(H1173=0,0,AD1173/H1173)</f>
        <v/>
      </c>
      <c r="AV1173" s="63">
        <f>AU1173-AT1173</f>
        <v/>
      </c>
      <c r="AX1173" s="59">
        <f>SUMIFS([1]инфо!$C$15:$C$28,[1]инфо!$A$15:$A$28,F1173)*H1172</f>
        <v/>
      </c>
    </row>
    <row r="1174">
      <c r="A1174" s="71">
        <f>A1172+1</f>
        <v/>
      </c>
      <c r="B1174" s="88" t="n"/>
      <c r="C1174" s="77" t="n"/>
      <c r="D1174" s="78" t="n"/>
      <c r="E1174" s="91" t="n"/>
      <c r="F1174" s="67" t="n"/>
      <c r="G1174" s="79" t="n"/>
      <c r="H1174" s="67" t="n"/>
      <c r="I1174" s="55" t="n"/>
      <c r="J1174" s="55" t="n"/>
      <c r="K1174" s="55" t="n"/>
      <c r="L1174" s="55" t="n"/>
      <c r="M1174" s="55" t="n"/>
      <c r="N1174" s="56" t="n"/>
      <c r="O1174" s="79" t="n"/>
      <c r="P1174" s="79" t="n"/>
      <c r="Q1174" s="79" t="n"/>
      <c r="R1174" s="79" t="n"/>
      <c r="S1174" s="80">
        <f>SUM(O1174:R1174)</f>
        <v/>
      </c>
      <c r="T1174" s="77" t="n"/>
      <c r="U1174" s="78" t="n"/>
      <c r="V1174" s="79" t="n"/>
      <c r="W1174" s="79" t="n"/>
      <c r="X1174" s="79" t="n"/>
      <c r="Y1174" s="77" t="n"/>
      <c r="Z1174" s="79" t="n"/>
      <c r="AA1174" s="79" t="n"/>
      <c r="AB1174" s="79" t="n"/>
      <c r="AC1174" s="79" t="n"/>
      <c r="AD1174" s="78" t="n"/>
      <c r="AE1174" s="81">
        <f>SUMIFS([1]инфо!$D$15:$D$28,[1]инфо!$A$15:$A$28,F1174)</f>
        <v/>
      </c>
      <c r="AF1174" s="62">
        <f>IF(H1174=0,0,N1174/H1174)</f>
        <v/>
      </c>
      <c r="AG1174" s="82">
        <f>AF1174-AE1174</f>
        <v/>
      </c>
      <c r="AH1174" s="81">
        <f>SUMIFS([1]инфо!$E$15:$E$28,[1]инфо!$A$15:$A$28,F1174)</f>
        <v/>
      </c>
      <c r="AI1174" s="85">
        <f>IF(H1173=0,0,S1174/H1173)</f>
        <v/>
      </c>
      <c r="AJ1174" s="82">
        <f>AI1174-AH1174</f>
        <v/>
      </c>
      <c r="AK1174" s="81">
        <f>SUMIFS([1]инфо!$F$15:$F$28,[1]инфо!$A$15:$A$28,F1174)</f>
        <v/>
      </c>
      <c r="AL1174" s="64">
        <f>IF(H1174=0,0,Y1174/H1174)</f>
        <v/>
      </c>
      <c r="AM1174" s="82">
        <f>AL1174-AK1174</f>
        <v/>
      </c>
      <c r="AN1174" s="81">
        <f>SUMIFS([1]инфо!$G$15:$G$28,[1]инфо!$A$15:$A$28,F1174)</f>
        <v/>
      </c>
      <c r="AO1174" s="64">
        <f>IF(H1174=0,0,AA1174/H1174)</f>
        <v/>
      </c>
      <c r="AP1174" s="82">
        <f>AO1174-AN1174</f>
        <v/>
      </c>
      <c r="AQ1174" s="81">
        <f>SUMIFS([1]инфо!$H$15:$H$28,[1]инфо!$A$15:$A$28,F1174)</f>
        <v/>
      </c>
      <c r="AR1174" s="85">
        <f>IF(H1173=0,0,AC1174/H1173)</f>
        <v/>
      </c>
      <c r="AS1174" s="82">
        <f>AR1174-AQ1174</f>
        <v/>
      </c>
      <c r="AT1174" s="81">
        <f>SUMIFS([1]инфо!$I$15:$I$28,[1]инфо!$A$15:$A$28,F1174)</f>
        <v/>
      </c>
      <c r="AU1174" s="62">
        <f>IF(H1174=0,0,AD1174/H1174)</f>
        <v/>
      </c>
      <c r="AV1174" s="82">
        <f>AU1174-AT1174</f>
        <v/>
      </c>
      <c r="AX1174" s="80">
        <f>SUMIFS([1]инфо!$C$15:$C$28,[1]инфо!$A$15:$A$28,F1174)*H1173</f>
        <v/>
      </c>
    </row>
    <row r="1175">
      <c r="A1175" s="71">
        <f>A1173+1</f>
        <v/>
      </c>
      <c r="B1175" s="89" t="n"/>
      <c r="C1175" s="72" t="n"/>
      <c r="D1175" s="73" t="n"/>
      <c r="E1175" s="91" t="n"/>
      <c r="F1175" s="67" t="n"/>
      <c r="G1175" s="74" t="n"/>
      <c r="H1175" s="55" t="n"/>
      <c r="I1175" s="55" t="n"/>
      <c r="J1175" s="55" t="n"/>
      <c r="K1175" s="55" t="n"/>
      <c r="L1175" s="55" t="n"/>
      <c r="M1175" s="55" t="n"/>
      <c r="N1175" s="67" t="n"/>
      <c r="O1175" s="74" t="n"/>
      <c r="P1175" s="74" t="n"/>
      <c r="Q1175" s="74" t="n"/>
      <c r="R1175" s="74" t="n"/>
      <c r="S1175" s="70">
        <f>SUM(O1175:R1175)</f>
        <v/>
      </c>
      <c r="T1175" s="72" t="n"/>
      <c r="U1175" s="73" t="n"/>
      <c r="V1175" s="74" t="n"/>
      <c r="W1175" s="74" t="n"/>
      <c r="X1175" s="74" t="n"/>
      <c r="Y1175" s="72" t="n"/>
      <c r="Z1175" s="74" t="n"/>
      <c r="AA1175" s="74" t="n"/>
      <c r="AB1175" s="74" t="n"/>
      <c r="AC1175" s="74" t="n"/>
      <c r="AD1175" s="73" t="n"/>
      <c r="AE1175" s="75">
        <f>SUMIFS([1]инфо!$D$15:$D$28,[1]инфо!$A$15:$A$28,F1175)</f>
        <v/>
      </c>
      <c r="AF1175" s="62">
        <f>IF(H1175=0,0,N1175/H1175)</f>
        <v/>
      </c>
      <c r="AG1175" s="76">
        <f>AF1175-AE1175</f>
        <v/>
      </c>
      <c r="AH1175" s="75">
        <f>SUMIFS([1]инфо!$E$15:$E$28,[1]инфо!$A$15:$A$28,F1175)</f>
        <v/>
      </c>
      <c r="AI1175" s="64">
        <f>IF(H1174=0,0,S1175/H1174)</f>
        <v/>
      </c>
      <c r="AJ1175" s="76">
        <f>AI1175-AH1175</f>
        <v/>
      </c>
      <c r="AK1175" s="75">
        <f>SUMIFS([1]инфо!$F$15:$F$28,[1]инфо!$A$15:$A$28,F1175)</f>
        <v/>
      </c>
      <c r="AL1175" s="64">
        <f>IF(H1175=0,0,Y1175/H1175)</f>
        <v/>
      </c>
      <c r="AM1175" s="76">
        <f>AL1175-AK1175</f>
        <v/>
      </c>
      <c r="AN1175" s="75">
        <f>SUMIFS([1]инфо!$G$15:$G$28,[1]инфо!$A$15:$A$28,F1175)</f>
        <v/>
      </c>
      <c r="AO1175" s="64">
        <f>IF(H1175=0,0,AA1175/H1175)</f>
        <v/>
      </c>
      <c r="AP1175" s="76">
        <f>AO1175-AN1175</f>
        <v/>
      </c>
      <c r="AQ1175" s="75">
        <f>SUMIFS([1]инфо!$H$15:$H$28,[1]инфо!$A$15:$A$28,F1175)</f>
        <v/>
      </c>
      <c r="AR1175" s="64">
        <f>IF(H1174=0,0,AC1175/H1174)</f>
        <v/>
      </c>
      <c r="AS1175" s="76">
        <f>AR1175-AQ1175</f>
        <v/>
      </c>
      <c r="AT1175" s="75">
        <f>SUMIFS([1]инфо!$I$15:$I$28,[1]инфо!$A$15:$A$28,F1175)</f>
        <v/>
      </c>
      <c r="AU1175" s="62">
        <f>IF(H1175=0,0,AD1175/H1175)</f>
        <v/>
      </c>
      <c r="AV1175" s="76">
        <f>AU1175-AT1175</f>
        <v/>
      </c>
      <c r="AX1175" s="70">
        <f>SUMIFS([1]инфо!$C$15:$C$28,[1]инфо!$A$15:$A$28,F1175)*H1174</f>
        <v/>
      </c>
    </row>
    <row r="1176">
      <c r="A1176" s="71">
        <f>A1174+1</f>
        <v/>
      </c>
      <c r="B1176" s="90" t="n"/>
      <c r="C1176" s="52" t="n"/>
      <c r="D1176" s="53" t="n"/>
      <c r="E1176" s="91" t="n"/>
      <c r="F1176" s="67" t="n"/>
      <c r="G1176" s="58" t="n"/>
      <c r="H1176" s="55" t="n"/>
      <c r="I1176" s="55" t="n"/>
      <c r="J1176" s="55" t="n"/>
      <c r="K1176" s="55" t="n"/>
      <c r="L1176" s="55" t="n"/>
      <c r="M1176" s="55" t="n"/>
      <c r="N1176" s="55" t="n"/>
      <c r="O1176" s="58" t="n"/>
      <c r="P1176" s="58" t="n"/>
      <c r="Q1176" s="58" t="n"/>
      <c r="R1176" s="58" t="n"/>
      <c r="S1176" s="59">
        <f>SUM(O1176:R1176)</f>
        <v/>
      </c>
      <c r="T1176" s="52" t="n"/>
      <c r="U1176" s="53" t="n"/>
      <c r="V1176" s="58" t="n"/>
      <c r="W1176" s="58" t="n"/>
      <c r="X1176" s="58" t="n"/>
      <c r="Y1176" s="52" t="n"/>
      <c r="Z1176" s="58" t="n"/>
      <c r="AA1176" s="58" t="n"/>
      <c r="AB1176" s="58" t="n"/>
      <c r="AC1176" s="58" t="n"/>
      <c r="AD1176" s="53" t="n"/>
      <c r="AE1176" s="61">
        <f>SUMIFS([1]инфо!$D$15:$D$28,[1]инфо!$A$15:$A$28,F1176)</f>
        <v/>
      </c>
      <c r="AF1176" s="62">
        <f>IF(H1176=0,0,N1176/H1176)</f>
        <v/>
      </c>
      <c r="AG1176" s="63">
        <f>AF1176-AE1176</f>
        <v/>
      </c>
      <c r="AH1176" s="61">
        <f>SUMIFS([1]инфо!$E$15:$E$28,[1]инфо!$A$15:$A$28,F1176)</f>
        <v/>
      </c>
      <c r="AI1176" s="62">
        <f>IF(H1175=0,0,S1176/H1175)</f>
        <v/>
      </c>
      <c r="AJ1176" s="63">
        <f>AI1176-AH1176</f>
        <v/>
      </c>
      <c r="AK1176" s="61">
        <f>SUMIFS([1]инфо!$F$15:$F$28,[1]инфо!$A$15:$A$28,F1176)</f>
        <v/>
      </c>
      <c r="AL1176" s="64">
        <f>IF(H1176=0,0,Y1176/H1176)</f>
        <v/>
      </c>
      <c r="AM1176" s="63">
        <f>AL1176-AK1176</f>
        <v/>
      </c>
      <c r="AN1176" s="61">
        <f>SUMIFS([1]инфо!$G$15:$G$28,[1]инфо!$A$15:$A$28,F1176)</f>
        <v/>
      </c>
      <c r="AO1176" s="64">
        <f>IF(H1176=0,0,AA1176/H1176)</f>
        <v/>
      </c>
      <c r="AP1176" s="63">
        <f>AO1176-AN1176</f>
        <v/>
      </c>
      <c r="AQ1176" s="61">
        <f>SUMIFS([1]инфо!$H$15:$H$28,[1]инфо!$A$15:$A$28,F1176)</f>
        <v/>
      </c>
      <c r="AR1176" s="62">
        <f>IF(H1175=0,0,AC1176/H1175)</f>
        <v/>
      </c>
      <c r="AS1176" s="63">
        <f>AR1176-AQ1176</f>
        <v/>
      </c>
      <c r="AT1176" s="61">
        <f>SUMIFS([1]инфо!$I$15:$I$28,[1]инфо!$A$15:$A$28,F1176)</f>
        <v/>
      </c>
      <c r="AU1176" s="62">
        <f>IF(H1176=0,0,AD1176/H1176)</f>
        <v/>
      </c>
      <c r="AV1176" s="63">
        <f>AU1176-AT1176</f>
        <v/>
      </c>
      <c r="AX1176" s="59">
        <f>SUMIFS([1]инфо!$C$15:$C$28,[1]инфо!$A$15:$A$28,F1176)*H1175</f>
        <v/>
      </c>
    </row>
    <row r="1177">
      <c r="A1177" s="71">
        <f>A1175+1</f>
        <v/>
      </c>
      <c r="B1177" s="90" t="n"/>
      <c r="C1177" s="52" t="n"/>
      <c r="D1177" s="53" t="n"/>
      <c r="E1177" s="91" t="n"/>
      <c r="F1177" s="67" t="n"/>
      <c r="G1177" s="58" t="n"/>
      <c r="H1177" s="56" t="n"/>
      <c r="I1177" s="55" t="n"/>
      <c r="J1177" s="55" t="n"/>
      <c r="K1177" s="55" t="n"/>
      <c r="L1177" s="55" t="n"/>
      <c r="M1177" s="55" t="n"/>
      <c r="N1177" s="55" t="n"/>
      <c r="O1177" s="58" t="n"/>
      <c r="P1177" s="58" t="n"/>
      <c r="Q1177" s="58" t="n"/>
      <c r="R1177" s="58" t="n"/>
      <c r="S1177" s="59">
        <f>SUM(O1177:R1177)</f>
        <v/>
      </c>
      <c r="T1177" s="52" t="n"/>
      <c r="U1177" s="53" t="n"/>
      <c r="V1177" s="58" t="n"/>
      <c r="W1177" s="58" t="n"/>
      <c r="X1177" s="58" t="n"/>
      <c r="Y1177" s="52" t="n"/>
      <c r="Z1177" s="58" t="n"/>
      <c r="AA1177" s="58" t="n"/>
      <c r="AB1177" s="58" t="n"/>
      <c r="AC1177" s="58" t="n"/>
      <c r="AD1177" s="53" t="n"/>
      <c r="AE1177" s="61">
        <f>SUMIFS([1]инфо!$D$15:$D$28,[1]инфо!$A$15:$A$28,F1177)</f>
        <v/>
      </c>
      <c r="AF1177" s="62">
        <f>IF(H1177=0,0,N1177/H1177)</f>
        <v/>
      </c>
      <c r="AG1177" s="63">
        <f>AF1177-AE1177</f>
        <v/>
      </c>
      <c r="AH1177" s="61">
        <f>SUMIFS([1]инфо!$E$15:$E$28,[1]инфо!$A$15:$A$28,F1177)</f>
        <v/>
      </c>
      <c r="AI1177" s="62">
        <f>IF(H1176=0,0,S1177/H1176)</f>
        <v/>
      </c>
      <c r="AJ1177" s="63">
        <f>AI1177-AH1177</f>
        <v/>
      </c>
      <c r="AK1177" s="61">
        <f>SUMIFS([1]инфо!$F$15:$F$28,[1]инфо!$A$15:$A$28,F1177)</f>
        <v/>
      </c>
      <c r="AL1177" s="64">
        <f>IF(H1177=0,0,Y1177/H1177)</f>
        <v/>
      </c>
      <c r="AM1177" s="63">
        <f>AL1177-AK1177</f>
        <v/>
      </c>
      <c r="AN1177" s="61">
        <f>SUMIFS([1]инфо!$G$15:$G$28,[1]инфо!$A$15:$A$28,F1177)</f>
        <v/>
      </c>
      <c r="AO1177" s="64">
        <f>IF(H1177=0,0,AA1177/H1177)</f>
        <v/>
      </c>
      <c r="AP1177" s="63">
        <f>AO1177-AN1177</f>
        <v/>
      </c>
      <c r="AQ1177" s="61">
        <f>SUMIFS([1]инфо!$H$15:$H$28,[1]инфо!$A$15:$A$28,F1177)</f>
        <v/>
      </c>
      <c r="AR1177" s="62">
        <f>IF(H1176=0,0,AC1177/H1176)</f>
        <v/>
      </c>
      <c r="AS1177" s="63">
        <f>AR1177-AQ1177</f>
        <v/>
      </c>
      <c r="AT1177" s="61">
        <f>SUMIFS([1]инфо!$I$15:$I$28,[1]инфо!$A$15:$A$28,F1177)</f>
        <v/>
      </c>
      <c r="AU1177" s="62">
        <f>IF(H1177=0,0,AD1177/H1177)</f>
        <v/>
      </c>
      <c r="AV1177" s="63">
        <f>AU1177-AT1177</f>
        <v/>
      </c>
      <c r="AX1177" s="59">
        <f>SUMIFS([1]инфо!$C$15:$C$28,[1]инфо!$A$15:$A$28,F1177)*H1176</f>
        <v/>
      </c>
    </row>
    <row r="1178">
      <c r="A1178" s="71">
        <f>A1176+1</f>
        <v/>
      </c>
      <c r="B1178" s="88" t="n"/>
      <c r="C1178" s="77" t="n"/>
      <c r="D1178" s="78" t="n"/>
      <c r="E1178" s="91" t="n"/>
      <c r="F1178" s="67" t="n"/>
      <c r="G1178" s="79" t="n"/>
      <c r="H1178" s="67" t="n"/>
      <c r="I1178" s="55" t="n"/>
      <c r="J1178" s="55" t="n"/>
      <c r="K1178" s="55" t="n"/>
      <c r="L1178" s="55" t="n"/>
      <c r="M1178" s="55" t="n"/>
      <c r="N1178" s="56" t="n"/>
      <c r="O1178" s="79" t="n"/>
      <c r="P1178" s="79" t="n"/>
      <c r="Q1178" s="79" t="n"/>
      <c r="R1178" s="79" t="n"/>
      <c r="S1178" s="80">
        <f>SUM(O1178:R1178)</f>
        <v/>
      </c>
      <c r="T1178" s="77" t="n"/>
      <c r="U1178" s="78" t="n"/>
      <c r="V1178" s="79" t="n"/>
      <c r="W1178" s="79" t="n"/>
      <c r="X1178" s="79" t="n"/>
      <c r="Y1178" s="77" t="n"/>
      <c r="Z1178" s="79" t="n"/>
      <c r="AA1178" s="79" t="n"/>
      <c r="AB1178" s="79" t="n"/>
      <c r="AC1178" s="79" t="n"/>
      <c r="AD1178" s="78" t="n"/>
      <c r="AE1178" s="81">
        <f>SUMIFS([1]инфо!$D$15:$D$28,[1]инфо!$A$15:$A$28,F1178)</f>
        <v/>
      </c>
      <c r="AF1178" s="62">
        <f>IF(H1178=0,0,N1178/H1178)</f>
        <v/>
      </c>
      <c r="AG1178" s="82">
        <f>AF1178-AE1178</f>
        <v/>
      </c>
      <c r="AH1178" s="81">
        <f>SUMIFS([1]инфо!$E$15:$E$28,[1]инфо!$A$15:$A$28,F1178)</f>
        <v/>
      </c>
      <c r="AI1178" s="85">
        <f>IF(H1177=0,0,S1178/H1177)</f>
        <v/>
      </c>
      <c r="AJ1178" s="82">
        <f>AI1178-AH1178</f>
        <v/>
      </c>
      <c r="AK1178" s="81">
        <f>SUMIFS([1]инфо!$F$15:$F$28,[1]инфо!$A$15:$A$28,F1178)</f>
        <v/>
      </c>
      <c r="AL1178" s="64">
        <f>IF(H1178=0,0,Y1178/H1178)</f>
        <v/>
      </c>
      <c r="AM1178" s="82">
        <f>AL1178-AK1178</f>
        <v/>
      </c>
      <c r="AN1178" s="81">
        <f>SUMIFS([1]инфо!$G$15:$G$28,[1]инфо!$A$15:$A$28,F1178)</f>
        <v/>
      </c>
      <c r="AO1178" s="64">
        <f>IF(H1178=0,0,AA1178/H1178)</f>
        <v/>
      </c>
      <c r="AP1178" s="82">
        <f>AO1178-AN1178</f>
        <v/>
      </c>
      <c r="AQ1178" s="81">
        <f>SUMIFS([1]инфо!$H$15:$H$28,[1]инфо!$A$15:$A$28,F1178)</f>
        <v/>
      </c>
      <c r="AR1178" s="85">
        <f>IF(H1177=0,0,AC1178/H1177)</f>
        <v/>
      </c>
      <c r="AS1178" s="82">
        <f>AR1178-AQ1178</f>
        <v/>
      </c>
      <c r="AT1178" s="81">
        <f>SUMIFS([1]инфо!$I$15:$I$28,[1]инфо!$A$15:$A$28,F1178)</f>
        <v/>
      </c>
      <c r="AU1178" s="62">
        <f>IF(H1178=0,0,AD1178/H1178)</f>
        <v/>
      </c>
      <c r="AV1178" s="82">
        <f>AU1178-AT1178</f>
        <v/>
      </c>
      <c r="AX1178" s="80">
        <f>SUMIFS([1]инфо!$C$15:$C$28,[1]инфо!$A$15:$A$28,F1178)*H1177</f>
        <v/>
      </c>
    </row>
    <row r="1179">
      <c r="A1179" s="71">
        <f>A1177+1</f>
        <v/>
      </c>
      <c r="B1179" s="89" t="n"/>
      <c r="C1179" s="72" t="n"/>
      <c r="D1179" s="73" t="n"/>
      <c r="E1179" s="91" t="n"/>
      <c r="F1179" s="67" t="n"/>
      <c r="G1179" s="74" t="n"/>
      <c r="H1179" s="55" t="n"/>
      <c r="I1179" s="55" t="n"/>
      <c r="J1179" s="55" t="n"/>
      <c r="K1179" s="55" t="n"/>
      <c r="L1179" s="55" t="n"/>
      <c r="M1179" s="55" t="n"/>
      <c r="N1179" s="67" t="n"/>
      <c r="O1179" s="74" t="n"/>
      <c r="P1179" s="74" t="n"/>
      <c r="Q1179" s="74" t="n"/>
      <c r="R1179" s="74" t="n"/>
      <c r="S1179" s="70">
        <f>SUM(O1179:R1179)</f>
        <v/>
      </c>
      <c r="T1179" s="72" t="n"/>
      <c r="U1179" s="73" t="n"/>
      <c r="V1179" s="74" t="n"/>
      <c r="W1179" s="74" t="n"/>
      <c r="X1179" s="74" t="n"/>
      <c r="Y1179" s="72" t="n"/>
      <c r="Z1179" s="74" t="n"/>
      <c r="AA1179" s="74" t="n"/>
      <c r="AB1179" s="74" t="n"/>
      <c r="AC1179" s="74" t="n"/>
      <c r="AD1179" s="73" t="n"/>
      <c r="AE1179" s="75">
        <f>SUMIFS([1]инфо!$D$15:$D$28,[1]инфо!$A$15:$A$28,F1179)</f>
        <v/>
      </c>
      <c r="AF1179" s="62">
        <f>IF(H1179=0,0,N1179/H1179)</f>
        <v/>
      </c>
      <c r="AG1179" s="76">
        <f>AF1179-AE1179</f>
        <v/>
      </c>
      <c r="AH1179" s="75">
        <f>SUMIFS([1]инфо!$E$15:$E$28,[1]инфо!$A$15:$A$28,F1179)</f>
        <v/>
      </c>
      <c r="AI1179" s="64">
        <f>IF(H1178=0,0,S1179/H1178)</f>
        <v/>
      </c>
      <c r="AJ1179" s="76">
        <f>AI1179-AH1179</f>
        <v/>
      </c>
      <c r="AK1179" s="75">
        <f>SUMIFS([1]инфо!$F$15:$F$28,[1]инфо!$A$15:$A$28,F1179)</f>
        <v/>
      </c>
      <c r="AL1179" s="64">
        <f>IF(H1179=0,0,Y1179/H1179)</f>
        <v/>
      </c>
      <c r="AM1179" s="76">
        <f>AL1179-AK1179</f>
        <v/>
      </c>
      <c r="AN1179" s="75">
        <f>SUMIFS([1]инфо!$G$15:$G$28,[1]инфо!$A$15:$A$28,F1179)</f>
        <v/>
      </c>
      <c r="AO1179" s="64">
        <f>IF(H1179=0,0,AA1179/H1179)</f>
        <v/>
      </c>
      <c r="AP1179" s="76">
        <f>AO1179-AN1179</f>
        <v/>
      </c>
      <c r="AQ1179" s="75">
        <f>SUMIFS([1]инфо!$H$15:$H$28,[1]инфо!$A$15:$A$28,F1179)</f>
        <v/>
      </c>
      <c r="AR1179" s="64">
        <f>IF(H1178=0,0,AC1179/H1178)</f>
        <v/>
      </c>
      <c r="AS1179" s="76">
        <f>AR1179-AQ1179</f>
        <v/>
      </c>
      <c r="AT1179" s="75">
        <f>SUMIFS([1]инфо!$I$15:$I$28,[1]инфо!$A$15:$A$28,F1179)</f>
        <v/>
      </c>
      <c r="AU1179" s="62">
        <f>IF(H1179=0,0,AD1179/H1179)</f>
        <v/>
      </c>
      <c r="AV1179" s="76">
        <f>AU1179-AT1179</f>
        <v/>
      </c>
      <c r="AX1179" s="70">
        <f>SUMIFS([1]инфо!$C$15:$C$28,[1]инфо!$A$15:$A$28,F1179)*H1178</f>
        <v/>
      </c>
    </row>
    <row r="1180">
      <c r="A1180" s="71">
        <f>A1178+1</f>
        <v/>
      </c>
      <c r="B1180" s="90" t="n"/>
      <c r="C1180" s="52" t="n"/>
      <c r="D1180" s="53" t="n"/>
      <c r="E1180" s="91" t="n"/>
      <c r="F1180" s="67" t="n"/>
      <c r="G1180" s="58" t="n"/>
      <c r="H1180" s="55" t="n"/>
      <c r="I1180" s="55" t="n"/>
      <c r="J1180" s="55" t="n"/>
      <c r="K1180" s="55" t="n"/>
      <c r="L1180" s="55" t="n"/>
      <c r="M1180" s="55" t="n"/>
      <c r="N1180" s="55" t="n"/>
      <c r="O1180" s="58" t="n"/>
      <c r="P1180" s="58" t="n"/>
      <c r="Q1180" s="58" t="n"/>
      <c r="R1180" s="58" t="n"/>
      <c r="S1180" s="59">
        <f>SUM(O1180:R1180)</f>
        <v/>
      </c>
      <c r="T1180" s="52" t="n"/>
      <c r="U1180" s="53" t="n"/>
      <c r="V1180" s="58" t="n"/>
      <c r="W1180" s="58" t="n"/>
      <c r="X1180" s="58" t="n"/>
      <c r="Y1180" s="52" t="n"/>
      <c r="Z1180" s="58" t="n"/>
      <c r="AA1180" s="58" t="n"/>
      <c r="AB1180" s="58" t="n"/>
      <c r="AC1180" s="58" t="n"/>
      <c r="AD1180" s="53" t="n"/>
      <c r="AE1180" s="61">
        <f>SUMIFS([1]инфо!$D$15:$D$28,[1]инфо!$A$15:$A$28,F1180)</f>
        <v/>
      </c>
      <c r="AF1180" s="62">
        <f>IF(H1180=0,0,N1180/H1180)</f>
        <v/>
      </c>
      <c r="AG1180" s="63">
        <f>AF1180-AE1180</f>
        <v/>
      </c>
      <c r="AH1180" s="61">
        <f>SUMIFS([1]инфо!$E$15:$E$28,[1]инфо!$A$15:$A$28,F1180)</f>
        <v/>
      </c>
      <c r="AI1180" s="62">
        <f>IF(H1179=0,0,S1180/H1179)</f>
        <v/>
      </c>
      <c r="AJ1180" s="63">
        <f>AI1180-AH1180</f>
        <v/>
      </c>
      <c r="AK1180" s="61">
        <f>SUMIFS([1]инфо!$F$15:$F$28,[1]инфо!$A$15:$A$28,F1180)</f>
        <v/>
      </c>
      <c r="AL1180" s="64">
        <f>IF(H1180=0,0,Y1180/H1180)</f>
        <v/>
      </c>
      <c r="AM1180" s="63">
        <f>AL1180-AK1180</f>
        <v/>
      </c>
      <c r="AN1180" s="61">
        <f>SUMIFS([1]инфо!$G$15:$G$28,[1]инфо!$A$15:$A$28,F1180)</f>
        <v/>
      </c>
      <c r="AO1180" s="64">
        <f>IF(H1180=0,0,AA1180/H1180)</f>
        <v/>
      </c>
      <c r="AP1180" s="63">
        <f>AO1180-AN1180</f>
        <v/>
      </c>
      <c r="AQ1180" s="61">
        <f>SUMIFS([1]инфо!$H$15:$H$28,[1]инфо!$A$15:$A$28,F1180)</f>
        <v/>
      </c>
      <c r="AR1180" s="62">
        <f>IF(H1179=0,0,AC1180/H1179)</f>
        <v/>
      </c>
      <c r="AS1180" s="63">
        <f>AR1180-AQ1180</f>
        <v/>
      </c>
      <c r="AT1180" s="61">
        <f>SUMIFS([1]инфо!$I$15:$I$28,[1]инфо!$A$15:$A$28,F1180)</f>
        <v/>
      </c>
      <c r="AU1180" s="62">
        <f>IF(H1180=0,0,AD1180/H1180)</f>
        <v/>
      </c>
      <c r="AV1180" s="63">
        <f>AU1180-AT1180</f>
        <v/>
      </c>
      <c r="AX1180" s="59">
        <f>SUMIFS([1]инфо!$C$15:$C$28,[1]инфо!$A$15:$A$28,F1180)*H1179</f>
        <v/>
      </c>
    </row>
    <row r="1181">
      <c r="A1181" s="71">
        <f>A1179+1</f>
        <v/>
      </c>
      <c r="B1181" s="90" t="n"/>
      <c r="C1181" s="52" t="n"/>
      <c r="D1181" s="53" t="n"/>
      <c r="E1181" s="91" t="n"/>
      <c r="F1181" s="67" t="n"/>
      <c r="G1181" s="58" t="n"/>
      <c r="H1181" s="56" t="n"/>
      <c r="I1181" s="55" t="n"/>
      <c r="J1181" s="55" t="n"/>
      <c r="K1181" s="55" t="n"/>
      <c r="L1181" s="55" t="n"/>
      <c r="M1181" s="55" t="n"/>
      <c r="N1181" s="55" t="n"/>
      <c r="O1181" s="58" t="n"/>
      <c r="P1181" s="58" t="n"/>
      <c r="Q1181" s="58" t="n"/>
      <c r="R1181" s="58" t="n"/>
      <c r="S1181" s="59">
        <f>SUM(O1181:R1181)</f>
        <v/>
      </c>
      <c r="T1181" s="52" t="n"/>
      <c r="U1181" s="53" t="n"/>
      <c r="V1181" s="58" t="n"/>
      <c r="W1181" s="58" t="n"/>
      <c r="X1181" s="58" t="n"/>
      <c r="Y1181" s="52" t="n"/>
      <c r="Z1181" s="58" t="n"/>
      <c r="AA1181" s="58" t="n"/>
      <c r="AB1181" s="58" t="n"/>
      <c r="AC1181" s="58" t="n"/>
      <c r="AD1181" s="53" t="n"/>
      <c r="AE1181" s="61">
        <f>SUMIFS([1]инфо!$D$15:$D$28,[1]инфо!$A$15:$A$28,F1181)</f>
        <v/>
      </c>
      <c r="AF1181" s="62">
        <f>IF(H1181=0,0,N1181/H1181)</f>
        <v/>
      </c>
      <c r="AG1181" s="63">
        <f>AF1181-AE1181</f>
        <v/>
      </c>
      <c r="AH1181" s="61">
        <f>SUMIFS([1]инфо!$E$15:$E$28,[1]инфо!$A$15:$A$28,F1181)</f>
        <v/>
      </c>
      <c r="AI1181" s="62">
        <f>IF(H1180=0,0,S1181/H1180)</f>
        <v/>
      </c>
      <c r="AJ1181" s="63">
        <f>AI1181-AH1181</f>
        <v/>
      </c>
      <c r="AK1181" s="61">
        <f>SUMIFS([1]инфо!$F$15:$F$28,[1]инфо!$A$15:$A$28,F1181)</f>
        <v/>
      </c>
      <c r="AL1181" s="64">
        <f>IF(H1181=0,0,Y1181/H1181)</f>
        <v/>
      </c>
      <c r="AM1181" s="63">
        <f>AL1181-AK1181</f>
        <v/>
      </c>
      <c r="AN1181" s="61">
        <f>SUMIFS([1]инфо!$G$15:$G$28,[1]инфо!$A$15:$A$28,F1181)</f>
        <v/>
      </c>
      <c r="AO1181" s="64">
        <f>IF(H1181=0,0,AA1181/H1181)</f>
        <v/>
      </c>
      <c r="AP1181" s="63">
        <f>AO1181-AN1181</f>
        <v/>
      </c>
      <c r="AQ1181" s="61">
        <f>SUMIFS([1]инфо!$H$15:$H$28,[1]инфо!$A$15:$A$28,F1181)</f>
        <v/>
      </c>
      <c r="AR1181" s="62">
        <f>IF(H1180=0,0,AC1181/H1180)</f>
        <v/>
      </c>
      <c r="AS1181" s="63">
        <f>AR1181-AQ1181</f>
        <v/>
      </c>
      <c r="AT1181" s="61">
        <f>SUMIFS([1]инфо!$I$15:$I$28,[1]инфо!$A$15:$A$28,F1181)</f>
        <v/>
      </c>
      <c r="AU1181" s="62">
        <f>IF(H1181=0,0,AD1181/H1181)</f>
        <v/>
      </c>
      <c r="AV1181" s="63">
        <f>AU1181-AT1181</f>
        <v/>
      </c>
      <c r="AX1181" s="59">
        <f>SUMIFS([1]инфо!$C$15:$C$28,[1]инфо!$A$15:$A$28,F1181)*H1180</f>
        <v/>
      </c>
    </row>
    <row r="1182">
      <c r="A1182" s="71">
        <f>A1180+1</f>
        <v/>
      </c>
      <c r="B1182" s="88" t="n"/>
      <c r="C1182" s="77" t="n"/>
      <c r="D1182" s="78" t="n"/>
      <c r="E1182" s="91" t="n"/>
      <c r="F1182" s="67" t="n"/>
      <c r="G1182" s="79" t="n"/>
      <c r="H1182" s="67" t="n"/>
      <c r="I1182" s="55" t="n"/>
      <c r="J1182" s="55" t="n"/>
      <c r="K1182" s="55" t="n"/>
      <c r="L1182" s="55" t="n"/>
      <c r="M1182" s="55" t="n"/>
      <c r="N1182" s="56" t="n"/>
      <c r="O1182" s="79" t="n"/>
      <c r="P1182" s="79" t="n"/>
      <c r="Q1182" s="79" t="n"/>
      <c r="R1182" s="79" t="n"/>
      <c r="S1182" s="80">
        <f>SUM(O1182:R1182)</f>
        <v/>
      </c>
      <c r="T1182" s="77" t="n"/>
      <c r="U1182" s="78" t="n"/>
      <c r="V1182" s="79" t="n"/>
      <c r="W1182" s="79" t="n"/>
      <c r="X1182" s="79" t="n"/>
      <c r="Y1182" s="77" t="n"/>
      <c r="Z1182" s="79" t="n"/>
      <c r="AA1182" s="79" t="n"/>
      <c r="AB1182" s="79" t="n"/>
      <c r="AC1182" s="79" t="n"/>
      <c r="AD1182" s="78" t="n"/>
      <c r="AE1182" s="81">
        <f>SUMIFS([1]инфо!$D$15:$D$28,[1]инфо!$A$15:$A$28,F1182)</f>
        <v/>
      </c>
      <c r="AF1182" s="62">
        <f>IF(H1182=0,0,N1182/H1182)</f>
        <v/>
      </c>
      <c r="AG1182" s="82">
        <f>AF1182-AE1182</f>
        <v/>
      </c>
      <c r="AH1182" s="81">
        <f>SUMIFS([1]инфо!$E$15:$E$28,[1]инфо!$A$15:$A$28,F1182)</f>
        <v/>
      </c>
      <c r="AI1182" s="85">
        <f>IF(H1181=0,0,S1182/H1181)</f>
        <v/>
      </c>
      <c r="AJ1182" s="82">
        <f>AI1182-AH1182</f>
        <v/>
      </c>
      <c r="AK1182" s="81">
        <f>SUMIFS([1]инфо!$F$15:$F$28,[1]инфо!$A$15:$A$28,F1182)</f>
        <v/>
      </c>
      <c r="AL1182" s="64">
        <f>IF(H1182=0,0,Y1182/H1182)</f>
        <v/>
      </c>
      <c r="AM1182" s="82">
        <f>AL1182-AK1182</f>
        <v/>
      </c>
      <c r="AN1182" s="81">
        <f>SUMIFS([1]инфо!$G$15:$G$28,[1]инфо!$A$15:$A$28,F1182)</f>
        <v/>
      </c>
      <c r="AO1182" s="64">
        <f>IF(H1182=0,0,AA1182/H1182)</f>
        <v/>
      </c>
      <c r="AP1182" s="82">
        <f>AO1182-AN1182</f>
        <v/>
      </c>
      <c r="AQ1182" s="81">
        <f>SUMIFS([1]инфо!$H$15:$H$28,[1]инфо!$A$15:$A$28,F1182)</f>
        <v/>
      </c>
      <c r="AR1182" s="85">
        <f>IF(H1181=0,0,AC1182/H1181)</f>
        <v/>
      </c>
      <c r="AS1182" s="82">
        <f>AR1182-AQ1182</f>
        <v/>
      </c>
      <c r="AT1182" s="81">
        <f>SUMIFS([1]инфо!$I$15:$I$28,[1]инфо!$A$15:$A$28,F1182)</f>
        <v/>
      </c>
      <c r="AU1182" s="62">
        <f>IF(H1182=0,0,AD1182/H1182)</f>
        <v/>
      </c>
      <c r="AV1182" s="82">
        <f>AU1182-AT1182</f>
        <v/>
      </c>
      <c r="AX1182" s="80">
        <f>SUMIFS([1]инфо!$C$15:$C$28,[1]инфо!$A$15:$A$28,F1182)*H1181</f>
        <v/>
      </c>
    </row>
    <row r="1183">
      <c r="A1183" s="71">
        <f>A1181+1</f>
        <v/>
      </c>
      <c r="B1183" s="89" t="n"/>
      <c r="C1183" s="72" t="n"/>
      <c r="D1183" s="73" t="n"/>
      <c r="E1183" s="91" t="n"/>
      <c r="F1183" s="67" t="n"/>
      <c r="G1183" s="74" t="n"/>
      <c r="H1183" s="55" t="n"/>
      <c r="I1183" s="55" t="n"/>
      <c r="J1183" s="55" t="n"/>
      <c r="K1183" s="55" t="n"/>
      <c r="L1183" s="55" t="n"/>
      <c r="M1183" s="55" t="n"/>
      <c r="N1183" s="67" t="n"/>
      <c r="O1183" s="74" t="n"/>
      <c r="P1183" s="74" t="n"/>
      <c r="Q1183" s="74" t="n"/>
      <c r="R1183" s="74" t="n"/>
      <c r="S1183" s="70">
        <f>SUM(O1183:R1183)</f>
        <v/>
      </c>
      <c r="T1183" s="72" t="n"/>
      <c r="U1183" s="73" t="n"/>
      <c r="V1183" s="74" t="n"/>
      <c r="W1183" s="74" t="n"/>
      <c r="X1183" s="74" t="n"/>
      <c r="Y1183" s="72" t="n"/>
      <c r="Z1183" s="74" t="n"/>
      <c r="AA1183" s="74" t="n"/>
      <c r="AB1183" s="74" t="n"/>
      <c r="AC1183" s="74" t="n"/>
      <c r="AD1183" s="73" t="n"/>
      <c r="AE1183" s="75">
        <f>SUMIFS([1]инфо!$D$15:$D$28,[1]инфо!$A$15:$A$28,F1183)</f>
        <v/>
      </c>
      <c r="AF1183" s="62">
        <f>IF(H1183=0,0,N1183/H1183)</f>
        <v/>
      </c>
      <c r="AG1183" s="76">
        <f>AF1183-AE1183</f>
        <v/>
      </c>
      <c r="AH1183" s="75">
        <f>SUMIFS([1]инфо!$E$15:$E$28,[1]инфо!$A$15:$A$28,F1183)</f>
        <v/>
      </c>
      <c r="AI1183" s="64">
        <f>IF(H1182=0,0,S1183/H1182)</f>
        <v/>
      </c>
      <c r="AJ1183" s="76">
        <f>AI1183-AH1183</f>
        <v/>
      </c>
      <c r="AK1183" s="75">
        <f>SUMIFS([1]инфо!$F$15:$F$28,[1]инфо!$A$15:$A$28,F1183)</f>
        <v/>
      </c>
      <c r="AL1183" s="64">
        <f>IF(H1183=0,0,Y1183/H1183)</f>
        <v/>
      </c>
      <c r="AM1183" s="76">
        <f>AL1183-AK1183</f>
        <v/>
      </c>
      <c r="AN1183" s="75">
        <f>SUMIFS([1]инфо!$G$15:$G$28,[1]инфо!$A$15:$A$28,F1183)</f>
        <v/>
      </c>
      <c r="AO1183" s="64">
        <f>IF(H1183=0,0,AA1183/H1183)</f>
        <v/>
      </c>
      <c r="AP1183" s="76">
        <f>AO1183-AN1183</f>
        <v/>
      </c>
      <c r="AQ1183" s="75">
        <f>SUMIFS([1]инфо!$H$15:$H$28,[1]инфо!$A$15:$A$28,F1183)</f>
        <v/>
      </c>
      <c r="AR1183" s="64">
        <f>IF(H1182=0,0,AC1183/H1182)</f>
        <v/>
      </c>
      <c r="AS1183" s="76">
        <f>AR1183-AQ1183</f>
        <v/>
      </c>
      <c r="AT1183" s="75">
        <f>SUMIFS([1]инфо!$I$15:$I$28,[1]инфо!$A$15:$A$28,F1183)</f>
        <v/>
      </c>
      <c r="AU1183" s="62">
        <f>IF(H1183=0,0,AD1183/H1183)</f>
        <v/>
      </c>
      <c r="AV1183" s="76">
        <f>AU1183-AT1183</f>
        <v/>
      </c>
      <c r="AX1183" s="70">
        <f>SUMIFS([1]инфо!$C$15:$C$28,[1]инфо!$A$15:$A$28,F1183)*H1182</f>
        <v/>
      </c>
    </row>
    <row r="1184">
      <c r="A1184" s="71">
        <f>A1182+1</f>
        <v/>
      </c>
      <c r="B1184" s="90" t="n"/>
      <c r="C1184" s="52" t="n"/>
      <c r="D1184" s="53" t="n"/>
      <c r="E1184" s="91" t="n"/>
      <c r="F1184" s="67" t="n"/>
      <c r="G1184" s="58" t="n"/>
      <c r="H1184" s="55" t="n"/>
      <c r="I1184" s="55" t="n"/>
      <c r="J1184" s="55" t="n"/>
      <c r="K1184" s="55" t="n"/>
      <c r="L1184" s="55" t="n"/>
      <c r="M1184" s="55" t="n"/>
      <c r="N1184" s="55" t="n"/>
      <c r="O1184" s="58" t="n"/>
      <c r="P1184" s="58" t="n"/>
      <c r="Q1184" s="58" t="n"/>
      <c r="R1184" s="58" t="n"/>
      <c r="S1184" s="59">
        <f>SUM(O1184:R1184)</f>
        <v/>
      </c>
      <c r="T1184" s="52" t="n"/>
      <c r="U1184" s="53" t="n"/>
      <c r="V1184" s="58" t="n"/>
      <c r="W1184" s="58" t="n"/>
      <c r="X1184" s="58" t="n"/>
      <c r="Y1184" s="52" t="n"/>
      <c r="Z1184" s="58" t="n"/>
      <c r="AA1184" s="58" t="n"/>
      <c r="AB1184" s="58" t="n"/>
      <c r="AC1184" s="58" t="n"/>
      <c r="AD1184" s="53" t="n"/>
      <c r="AE1184" s="61">
        <f>SUMIFS([1]инфо!$D$15:$D$28,[1]инфо!$A$15:$A$28,F1184)</f>
        <v/>
      </c>
      <c r="AF1184" s="62">
        <f>IF(H1184=0,0,N1184/H1184)</f>
        <v/>
      </c>
      <c r="AG1184" s="63">
        <f>AF1184-AE1184</f>
        <v/>
      </c>
      <c r="AH1184" s="61">
        <f>SUMIFS([1]инфо!$E$15:$E$28,[1]инфо!$A$15:$A$28,F1184)</f>
        <v/>
      </c>
      <c r="AI1184" s="62">
        <f>IF(H1183=0,0,S1184/H1183)</f>
        <v/>
      </c>
      <c r="AJ1184" s="63">
        <f>AI1184-AH1184</f>
        <v/>
      </c>
      <c r="AK1184" s="61">
        <f>SUMIFS([1]инфо!$F$15:$F$28,[1]инфо!$A$15:$A$28,F1184)</f>
        <v/>
      </c>
      <c r="AL1184" s="64">
        <f>IF(H1184=0,0,Y1184/H1184)</f>
        <v/>
      </c>
      <c r="AM1184" s="63">
        <f>AL1184-AK1184</f>
        <v/>
      </c>
      <c r="AN1184" s="61">
        <f>SUMIFS([1]инфо!$G$15:$G$28,[1]инфо!$A$15:$A$28,F1184)</f>
        <v/>
      </c>
      <c r="AO1184" s="64">
        <f>IF(H1184=0,0,AA1184/H1184)</f>
        <v/>
      </c>
      <c r="AP1184" s="63">
        <f>AO1184-AN1184</f>
        <v/>
      </c>
      <c r="AQ1184" s="61">
        <f>SUMIFS([1]инфо!$H$15:$H$28,[1]инфо!$A$15:$A$28,F1184)</f>
        <v/>
      </c>
      <c r="AR1184" s="62">
        <f>IF(H1183=0,0,AC1184/H1183)</f>
        <v/>
      </c>
      <c r="AS1184" s="63">
        <f>AR1184-AQ1184</f>
        <v/>
      </c>
      <c r="AT1184" s="61">
        <f>SUMIFS([1]инфо!$I$15:$I$28,[1]инфо!$A$15:$A$28,F1184)</f>
        <v/>
      </c>
      <c r="AU1184" s="62">
        <f>IF(H1184=0,0,AD1184/H1184)</f>
        <v/>
      </c>
      <c r="AV1184" s="63">
        <f>AU1184-AT1184</f>
        <v/>
      </c>
      <c r="AX1184" s="59">
        <f>SUMIFS([1]инфо!$C$15:$C$28,[1]инфо!$A$15:$A$28,F1184)*H1183</f>
        <v/>
      </c>
    </row>
    <row r="1185">
      <c r="A1185" s="71">
        <f>A1183+1</f>
        <v/>
      </c>
      <c r="B1185" s="90" t="n"/>
      <c r="C1185" s="52" t="n"/>
      <c r="D1185" s="53" t="n"/>
      <c r="E1185" s="91" t="n"/>
      <c r="F1185" s="67" t="n"/>
      <c r="G1185" s="58" t="n"/>
      <c r="H1185" s="56" t="n"/>
      <c r="I1185" s="55" t="n"/>
      <c r="J1185" s="55" t="n"/>
      <c r="K1185" s="55" t="n"/>
      <c r="L1185" s="55" t="n"/>
      <c r="M1185" s="55" t="n"/>
      <c r="N1185" s="55" t="n"/>
      <c r="O1185" s="58" t="n"/>
      <c r="P1185" s="58" t="n"/>
      <c r="Q1185" s="58" t="n"/>
      <c r="R1185" s="58" t="n"/>
      <c r="S1185" s="59">
        <f>SUM(O1185:R1185)</f>
        <v/>
      </c>
      <c r="T1185" s="52" t="n"/>
      <c r="U1185" s="53" t="n"/>
      <c r="V1185" s="58" t="n"/>
      <c r="W1185" s="58" t="n"/>
      <c r="X1185" s="58" t="n"/>
      <c r="Y1185" s="52" t="n"/>
      <c r="Z1185" s="58" t="n"/>
      <c r="AA1185" s="58" t="n"/>
      <c r="AB1185" s="58" t="n"/>
      <c r="AC1185" s="58" t="n"/>
      <c r="AD1185" s="53" t="n"/>
      <c r="AE1185" s="61">
        <f>SUMIFS([1]инфо!$D$15:$D$28,[1]инфо!$A$15:$A$28,F1185)</f>
        <v/>
      </c>
      <c r="AF1185" s="62">
        <f>IF(H1185=0,0,N1185/H1185)</f>
        <v/>
      </c>
      <c r="AG1185" s="63">
        <f>AF1185-AE1185</f>
        <v/>
      </c>
      <c r="AH1185" s="61">
        <f>SUMIFS([1]инфо!$E$15:$E$28,[1]инфо!$A$15:$A$28,F1185)</f>
        <v/>
      </c>
      <c r="AI1185" s="62">
        <f>IF(H1184=0,0,S1185/H1184)</f>
        <v/>
      </c>
      <c r="AJ1185" s="63">
        <f>AI1185-AH1185</f>
        <v/>
      </c>
      <c r="AK1185" s="61">
        <f>SUMIFS([1]инфо!$F$15:$F$28,[1]инфо!$A$15:$A$28,F1185)</f>
        <v/>
      </c>
      <c r="AL1185" s="64">
        <f>IF(H1185=0,0,Y1185/H1185)</f>
        <v/>
      </c>
      <c r="AM1185" s="63">
        <f>AL1185-AK1185</f>
        <v/>
      </c>
      <c r="AN1185" s="61">
        <f>SUMIFS([1]инфо!$G$15:$G$28,[1]инфо!$A$15:$A$28,F1185)</f>
        <v/>
      </c>
      <c r="AO1185" s="64">
        <f>IF(H1185=0,0,AA1185/H1185)</f>
        <v/>
      </c>
      <c r="AP1185" s="63">
        <f>AO1185-AN1185</f>
        <v/>
      </c>
      <c r="AQ1185" s="61">
        <f>SUMIFS([1]инфо!$H$15:$H$28,[1]инфо!$A$15:$A$28,F1185)</f>
        <v/>
      </c>
      <c r="AR1185" s="62">
        <f>IF(H1184=0,0,AC1185/H1184)</f>
        <v/>
      </c>
      <c r="AS1185" s="63">
        <f>AR1185-AQ1185</f>
        <v/>
      </c>
      <c r="AT1185" s="61">
        <f>SUMIFS([1]инфо!$I$15:$I$28,[1]инфо!$A$15:$A$28,F1185)</f>
        <v/>
      </c>
      <c r="AU1185" s="62">
        <f>IF(H1185=0,0,AD1185/H1185)</f>
        <v/>
      </c>
      <c r="AV1185" s="63">
        <f>AU1185-AT1185</f>
        <v/>
      </c>
      <c r="AX1185" s="59">
        <f>SUMIFS([1]инфо!$C$15:$C$28,[1]инфо!$A$15:$A$28,F1185)*H1184</f>
        <v/>
      </c>
    </row>
    <row r="1186">
      <c r="A1186" s="71">
        <f>A1184+1</f>
        <v/>
      </c>
      <c r="B1186" s="88" t="n"/>
      <c r="C1186" s="77" t="n"/>
      <c r="D1186" s="78" t="n"/>
      <c r="E1186" s="91" t="n"/>
      <c r="F1186" s="67" t="n"/>
      <c r="G1186" s="79" t="n"/>
      <c r="H1186" s="67" t="n"/>
      <c r="I1186" s="55" t="n"/>
      <c r="J1186" s="55" t="n"/>
      <c r="K1186" s="55" t="n"/>
      <c r="L1186" s="55" t="n"/>
      <c r="M1186" s="55" t="n"/>
      <c r="N1186" s="56" t="n"/>
      <c r="O1186" s="79" t="n"/>
      <c r="P1186" s="79" t="n"/>
      <c r="Q1186" s="79" t="n"/>
      <c r="R1186" s="79" t="n"/>
      <c r="S1186" s="80">
        <f>SUM(O1186:R1186)</f>
        <v/>
      </c>
      <c r="T1186" s="77" t="n"/>
      <c r="U1186" s="78" t="n"/>
      <c r="V1186" s="79" t="n"/>
      <c r="W1186" s="79" t="n"/>
      <c r="X1186" s="79" t="n"/>
      <c r="Y1186" s="77" t="n"/>
      <c r="Z1186" s="79" t="n"/>
      <c r="AA1186" s="79" t="n"/>
      <c r="AB1186" s="79" t="n"/>
      <c r="AC1186" s="79" t="n"/>
      <c r="AD1186" s="78" t="n"/>
      <c r="AE1186" s="81">
        <f>SUMIFS([1]инфо!$D$15:$D$28,[1]инфо!$A$15:$A$28,F1186)</f>
        <v/>
      </c>
      <c r="AF1186" s="62">
        <f>IF(H1186=0,0,N1186/H1186)</f>
        <v/>
      </c>
      <c r="AG1186" s="82">
        <f>AF1186-AE1186</f>
        <v/>
      </c>
      <c r="AH1186" s="81">
        <f>SUMIFS([1]инфо!$E$15:$E$28,[1]инфо!$A$15:$A$28,F1186)</f>
        <v/>
      </c>
      <c r="AI1186" s="85">
        <f>IF(H1185=0,0,S1186/H1185)</f>
        <v/>
      </c>
      <c r="AJ1186" s="82">
        <f>AI1186-AH1186</f>
        <v/>
      </c>
      <c r="AK1186" s="81">
        <f>SUMIFS([1]инфо!$F$15:$F$28,[1]инфо!$A$15:$A$28,F1186)</f>
        <v/>
      </c>
      <c r="AL1186" s="64">
        <f>IF(H1186=0,0,Y1186/H1186)</f>
        <v/>
      </c>
      <c r="AM1186" s="82">
        <f>AL1186-AK1186</f>
        <v/>
      </c>
      <c r="AN1186" s="81">
        <f>SUMIFS([1]инфо!$G$15:$G$28,[1]инфо!$A$15:$A$28,F1186)</f>
        <v/>
      </c>
      <c r="AO1186" s="64">
        <f>IF(H1186=0,0,AA1186/H1186)</f>
        <v/>
      </c>
      <c r="AP1186" s="82">
        <f>AO1186-AN1186</f>
        <v/>
      </c>
      <c r="AQ1186" s="81">
        <f>SUMIFS([1]инфо!$H$15:$H$28,[1]инфо!$A$15:$A$28,F1186)</f>
        <v/>
      </c>
      <c r="AR1186" s="85">
        <f>IF(H1185=0,0,AC1186/H1185)</f>
        <v/>
      </c>
      <c r="AS1186" s="82">
        <f>AR1186-AQ1186</f>
        <v/>
      </c>
      <c r="AT1186" s="81">
        <f>SUMIFS([1]инфо!$I$15:$I$28,[1]инфо!$A$15:$A$28,F1186)</f>
        <v/>
      </c>
      <c r="AU1186" s="62">
        <f>IF(H1186=0,0,AD1186/H1186)</f>
        <v/>
      </c>
      <c r="AV1186" s="82">
        <f>AU1186-AT1186</f>
        <v/>
      </c>
      <c r="AX1186" s="80">
        <f>SUMIFS([1]инфо!$C$15:$C$28,[1]инфо!$A$15:$A$28,F1186)*H1185</f>
        <v/>
      </c>
    </row>
    <row r="1187">
      <c r="A1187" s="71">
        <f>A1185+1</f>
        <v/>
      </c>
      <c r="B1187" s="89" t="n"/>
      <c r="C1187" s="72" t="n"/>
      <c r="D1187" s="73" t="n"/>
      <c r="E1187" s="91" t="n"/>
      <c r="F1187" s="67" t="n"/>
      <c r="G1187" s="74" t="n"/>
      <c r="H1187" s="55" t="n"/>
      <c r="I1187" s="55" t="n"/>
      <c r="J1187" s="55" t="n"/>
      <c r="K1187" s="55" t="n"/>
      <c r="L1187" s="55" t="n"/>
      <c r="M1187" s="55" t="n"/>
      <c r="N1187" s="67" t="n"/>
      <c r="O1187" s="74" t="n"/>
      <c r="P1187" s="74" t="n"/>
      <c r="Q1187" s="74" t="n"/>
      <c r="R1187" s="74" t="n"/>
      <c r="S1187" s="70">
        <f>SUM(O1187:R1187)</f>
        <v/>
      </c>
      <c r="T1187" s="72" t="n"/>
      <c r="U1187" s="73" t="n"/>
      <c r="V1187" s="74" t="n"/>
      <c r="W1187" s="74" t="n"/>
      <c r="X1187" s="74" t="n"/>
      <c r="Y1187" s="72" t="n"/>
      <c r="Z1187" s="74" t="n"/>
      <c r="AA1187" s="74" t="n"/>
      <c r="AB1187" s="74" t="n"/>
      <c r="AC1187" s="74" t="n"/>
      <c r="AD1187" s="73" t="n"/>
      <c r="AE1187" s="75">
        <f>SUMIFS([1]инфо!$D$15:$D$28,[1]инфо!$A$15:$A$28,F1187)</f>
        <v/>
      </c>
      <c r="AF1187" s="62">
        <f>IF(H1187=0,0,N1187/H1187)</f>
        <v/>
      </c>
      <c r="AG1187" s="76">
        <f>AF1187-AE1187</f>
        <v/>
      </c>
      <c r="AH1187" s="75">
        <f>SUMIFS([1]инфо!$E$15:$E$28,[1]инфо!$A$15:$A$28,F1187)</f>
        <v/>
      </c>
      <c r="AI1187" s="64">
        <f>IF(H1186=0,0,S1187/H1186)</f>
        <v/>
      </c>
      <c r="AJ1187" s="76">
        <f>AI1187-AH1187</f>
        <v/>
      </c>
      <c r="AK1187" s="75">
        <f>SUMIFS([1]инфо!$F$15:$F$28,[1]инфо!$A$15:$A$28,F1187)</f>
        <v/>
      </c>
      <c r="AL1187" s="64">
        <f>IF(H1187=0,0,Y1187/H1187)</f>
        <v/>
      </c>
      <c r="AM1187" s="76">
        <f>AL1187-AK1187</f>
        <v/>
      </c>
      <c r="AN1187" s="75">
        <f>SUMIFS([1]инфо!$G$15:$G$28,[1]инфо!$A$15:$A$28,F1187)</f>
        <v/>
      </c>
      <c r="AO1187" s="64">
        <f>IF(H1187=0,0,AA1187/H1187)</f>
        <v/>
      </c>
      <c r="AP1187" s="76">
        <f>AO1187-AN1187</f>
        <v/>
      </c>
      <c r="AQ1187" s="75">
        <f>SUMIFS([1]инфо!$H$15:$H$28,[1]инфо!$A$15:$A$28,F1187)</f>
        <v/>
      </c>
      <c r="AR1187" s="64">
        <f>IF(H1186=0,0,AC1187/H1186)</f>
        <v/>
      </c>
      <c r="AS1187" s="76">
        <f>AR1187-AQ1187</f>
        <v/>
      </c>
      <c r="AT1187" s="75">
        <f>SUMIFS([1]инфо!$I$15:$I$28,[1]инфо!$A$15:$A$28,F1187)</f>
        <v/>
      </c>
      <c r="AU1187" s="62">
        <f>IF(H1187=0,0,AD1187/H1187)</f>
        <v/>
      </c>
      <c r="AV1187" s="76">
        <f>AU1187-AT1187</f>
        <v/>
      </c>
      <c r="AX1187" s="70">
        <f>SUMIFS([1]инфо!$C$15:$C$28,[1]инфо!$A$15:$A$28,F1187)*H1186</f>
        <v/>
      </c>
    </row>
    <row r="1188">
      <c r="A1188" s="71">
        <f>A1186+1</f>
        <v/>
      </c>
      <c r="B1188" s="90" t="n"/>
      <c r="C1188" s="52" t="n"/>
      <c r="D1188" s="53" t="n"/>
      <c r="E1188" s="91" t="n"/>
      <c r="F1188" s="67" t="n"/>
      <c r="G1188" s="58" t="n"/>
      <c r="H1188" s="55" t="n"/>
      <c r="I1188" s="55" t="n"/>
      <c r="J1188" s="55" t="n"/>
      <c r="K1188" s="55" t="n"/>
      <c r="L1188" s="55" t="n"/>
      <c r="M1188" s="55" t="n"/>
      <c r="N1188" s="55" t="n"/>
      <c r="O1188" s="58" t="n"/>
      <c r="P1188" s="58" t="n"/>
      <c r="Q1188" s="58" t="n"/>
      <c r="R1188" s="58" t="n"/>
      <c r="S1188" s="59">
        <f>SUM(O1188:R1188)</f>
        <v/>
      </c>
      <c r="T1188" s="52" t="n"/>
      <c r="U1188" s="53" t="n"/>
      <c r="V1188" s="58" t="n"/>
      <c r="W1188" s="58" t="n"/>
      <c r="X1188" s="58" t="n"/>
      <c r="Y1188" s="52" t="n"/>
      <c r="Z1188" s="58" t="n"/>
      <c r="AA1188" s="58" t="n"/>
      <c r="AB1188" s="58" t="n"/>
      <c r="AC1188" s="58" t="n"/>
      <c r="AD1188" s="53" t="n"/>
      <c r="AE1188" s="61">
        <f>SUMIFS([1]инфо!$D$15:$D$28,[1]инфо!$A$15:$A$28,F1188)</f>
        <v/>
      </c>
      <c r="AF1188" s="62">
        <f>IF(H1188=0,0,N1188/H1188)</f>
        <v/>
      </c>
      <c r="AG1188" s="63">
        <f>AF1188-AE1188</f>
        <v/>
      </c>
      <c r="AH1188" s="61">
        <f>SUMIFS([1]инфо!$E$15:$E$28,[1]инфо!$A$15:$A$28,F1188)</f>
        <v/>
      </c>
      <c r="AI1188" s="62">
        <f>IF(H1187=0,0,S1188/H1187)</f>
        <v/>
      </c>
      <c r="AJ1188" s="63">
        <f>AI1188-AH1188</f>
        <v/>
      </c>
      <c r="AK1188" s="61">
        <f>SUMIFS([1]инфо!$F$15:$F$28,[1]инфо!$A$15:$A$28,F1188)</f>
        <v/>
      </c>
      <c r="AL1188" s="64">
        <f>IF(H1188=0,0,Y1188/H1188)</f>
        <v/>
      </c>
      <c r="AM1188" s="63">
        <f>AL1188-AK1188</f>
        <v/>
      </c>
      <c r="AN1188" s="61">
        <f>SUMIFS([1]инфо!$G$15:$G$28,[1]инфо!$A$15:$A$28,F1188)</f>
        <v/>
      </c>
      <c r="AO1188" s="64">
        <f>IF(H1188=0,0,AA1188/H1188)</f>
        <v/>
      </c>
      <c r="AP1188" s="63">
        <f>AO1188-AN1188</f>
        <v/>
      </c>
      <c r="AQ1188" s="61">
        <f>SUMIFS([1]инфо!$H$15:$H$28,[1]инфо!$A$15:$A$28,F1188)</f>
        <v/>
      </c>
      <c r="AR1188" s="62">
        <f>IF(H1187=0,0,AC1188/H1187)</f>
        <v/>
      </c>
      <c r="AS1188" s="63">
        <f>AR1188-AQ1188</f>
        <v/>
      </c>
      <c r="AT1188" s="61">
        <f>SUMIFS([1]инфо!$I$15:$I$28,[1]инфо!$A$15:$A$28,F1188)</f>
        <v/>
      </c>
      <c r="AU1188" s="62">
        <f>IF(H1188=0,0,AD1188/H1188)</f>
        <v/>
      </c>
      <c r="AV1188" s="63">
        <f>AU1188-AT1188</f>
        <v/>
      </c>
      <c r="AX1188" s="59">
        <f>SUMIFS([1]инфо!$C$15:$C$28,[1]инфо!$A$15:$A$28,F1188)*H1187</f>
        <v/>
      </c>
    </row>
    <row r="1189">
      <c r="A1189" s="71">
        <f>A1187+1</f>
        <v/>
      </c>
      <c r="B1189" s="90" t="n"/>
      <c r="C1189" s="52" t="n"/>
      <c r="D1189" s="53" t="n"/>
      <c r="E1189" s="91" t="n"/>
      <c r="F1189" s="67" t="n"/>
      <c r="G1189" s="58" t="n"/>
      <c r="H1189" s="56" t="n"/>
      <c r="I1189" s="55" t="n"/>
      <c r="J1189" s="55" t="n"/>
      <c r="K1189" s="55" t="n"/>
      <c r="L1189" s="55" t="n"/>
      <c r="M1189" s="55" t="n"/>
      <c r="N1189" s="55" t="n"/>
      <c r="O1189" s="58" t="n"/>
      <c r="P1189" s="58" t="n"/>
      <c r="Q1189" s="58" t="n"/>
      <c r="R1189" s="58" t="n"/>
      <c r="S1189" s="59">
        <f>SUM(O1189:R1189)</f>
        <v/>
      </c>
      <c r="T1189" s="52" t="n"/>
      <c r="U1189" s="53" t="n"/>
      <c r="V1189" s="58" t="n"/>
      <c r="W1189" s="58" t="n"/>
      <c r="X1189" s="58" t="n"/>
      <c r="Y1189" s="52" t="n"/>
      <c r="Z1189" s="58" t="n"/>
      <c r="AA1189" s="58" t="n"/>
      <c r="AB1189" s="58" t="n"/>
      <c r="AC1189" s="58" t="n"/>
      <c r="AD1189" s="53" t="n"/>
      <c r="AE1189" s="61">
        <f>SUMIFS([1]инфо!$D$15:$D$28,[1]инфо!$A$15:$A$28,F1189)</f>
        <v/>
      </c>
      <c r="AF1189" s="62">
        <f>IF(H1189=0,0,N1189/H1189)</f>
        <v/>
      </c>
      <c r="AG1189" s="63">
        <f>AF1189-AE1189</f>
        <v/>
      </c>
      <c r="AH1189" s="61">
        <f>SUMIFS([1]инфо!$E$15:$E$28,[1]инфо!$A$15:$A$28,F1189)</f>
        <v/>
      </c>
      <c r="AI1189" s="62">
        <f>IF(H1188=0,0,S1189/H1188)</f>
        <v/>
      </c>
      <c r="AJ1189" s="63">
        <f>AI1189-AH1189</f>
        <v/>
      </c>
      <c r="AK1189" s="61">
        <f>SUMIFS([1]инфо!$F$15:$F$28,[1]инфо!$A$15:$A$28,F1189)</f>
        <v/>
      </c>
      <c r="AL1189" s="64">
        <f>IF(H1189=0,0,Y1189/H1189)</f>
        <v/>
      </c>
      <c r="AM1189" s="63">
        <f>AL1189-AK1189</f>
        <v/>
      </c>
      <c r="AN1189" s="61">
        <f>SUMIFS([1]инфо!$G$15:$G$28,[1]инфо!$A$15:$A$28,F1189)</f>
        <v/>
      </c>
      <c r="AO1189" s="64">
        <f>IF(H1189=0,0,AA1189/H1189)</f>
        <v/>
      </c>
      <c r="AP1189" s="63">
        <f>AO1189-AN1189</f>
        <v/>
      </c>
      <c r="AQ1189" s="61">
        <f>SUMIFS([1]инфо!$H$15:$H$28,[1]инфо!$A$15:$A$28,F1189)</f>
        <v/>
      </c>
      <c r="AR1189" s="62">
        <f>IF(H1188=0,0,AC1189/H1188)</f>
        <v/>
      </c>
      <c r="AS1189" s="63">
        <f>AR1189-AQ1189</f>
        <v/>
      </c>
      <c r="AT1189" s="61">
        <f>SUMIFS([1]инфо!$I$15:$I$28,[1]инфо!$A$15:$A$28,F1189)</f>
        <v/>
      </c>
      <c r="AU1189" s="62">
        <f>IF(H1189=0,0,AD1189/H1189)</f>
        <v/>
      </c>
      <c r="AV1189" s="63">
        <f>AU1189-AT1189</f>
        <v/>
      </c>
      <c r="AX1189" s="59">
        <f>SUMIFS([1]инфо!$C$15:$C$28,[1]инфо!$A$15:$A$28,F1189)*H1188</f>
        <v/>
      </c>
    </row>
    <row r="1190">
      <c r="A1190" s="71">
        <f>A1188+1</f>
        <v/>
      </c>
      <c r="B1190" s="88" t="n"/>
      <c r="C1190" s="77" t="n"/>
      <c r="D1190" s="78" t="n"/>
      <c r="E1190" s="91" t="n"/>
      <c r="F1190" s="67" t="n"/>
      <c r="G1190" s="79" t="n"/>
      <c r="H1190" s="67" t="n"/>
      <c r="I1190" s="55" t="n"/>
      <c r="J1190" s="55" t="n"/>
      <c r="K1190" s="55" t="n"/>
      <c r="L1190" s="55" t="n"/>
      <c r="M1190" s="55" t="n"/>
      <c r="N1190" s="56" t="n"/>
      <c r="O1190" s="79" t="n"/>
      <c r="P1190" s="79" t="n"/>
      <c r="Q1190" s="79" t="n"/>
      <c r="R1190" s="79" t="n"/>
      <c r="S1190" s="80">
        <f>SUM(O1190:R1190)</f>
        <v/>
      </c>
      <c r="T1190" s="77" t="n"/>
      <c r="U1190" s="78" t="n"/>
      <c r="V1190" s="79" t="n"/>
      <c r="W1190" s="79" t="n"/>
      <c r="X1190" s="79" t="n"/>
      <c r="Y1190" s="77" t="n"/>
      <c r="Z1190" s="79" t="n"/>
      <c r="AA1190" s="79" t="n"/>
      <c r="AB1190" s="79" t="n"/>
      <c r="AC1190" s="79" t="n"/>
      <c r="AD1190" s="78" t="n"/>
      <c r="AE1190" s="81">
        <f>SUMIFS([1]инфо!$D$15:$D$28,[1]инфо!$A$15:$A$28,F1190)</f>
        <v/>
      </c>
      <c r="AF1190" s="62">
        <f>IF(H1190=0,0,N1190/H1190)</f>
        <v/>
      </c>
      <c r="AG1190" s="82">
        <f>AF1190-AE1190</f>
        <v/>
      </c>
      <c r="AH1190" s="81">
        <f>SUMIFS([1]инфо!$E$15:$E$28,[1]инфо!$A$15:$A$28,F1190)</f>
        <v/>
      </c>
      <c r="AI1190" s="85">
        <f>IF(H1189=0,0,S1190/H1189)</f>
        <v/>
      </c>
      <c r="AJ1190" s="82">
        <f>AI1190-AH1190</f>
        <v/>
      </c>
      <c r="AK1190" s="81">
        <f>SUMIFS([1]инфо!$F$15:$F$28,[1]инфо!$A$15:$A$28,F1190)</f>
        <v/>
      </c>
      <c r="AL1190" s="64">
        <f>IF(H1190=0,0,Y1190/H1190)</f>
        <v/>
      </c>
      <c r="AM1190" s="82">
        <f>AL1190-AK1190</f>
        <v/>
      </c>
      <c r="AN1190" s="81">
        <f>SUMIFS([1]инфо!$G$15:$G$28,[1]инфо!$A$15:$A$28,F1190)</f>
        <v/>
      </c>
      <c r="AO1190" s="64">
        <f>IF(H1190=0,0,AA1190/H1190)</f>
        <v/>
      </c>
      <c r="AP1190" s="82">
        <f>AO1190-AN1190</f>
        <v/>
      </c>
      <c r="AQ1190" s="81">
        <f>SUMIFS([1]инфо!$H$15:$H$28,[1]инфо!$A$15:$A$28,F1190)</f>
        <v/>
      </c>
      <c r="AR1190" s="85">
        <f>IF(H1189=0,0,AC1190/H1189)</f>
        <v/>
      </c>
      <c r="AS1190" s="82">
        <f>AR1190-AQ1190</f>
        <v/>
      </c>
      <c r="AT1190" s="81">
        <f>SUMIFS([1]инфо!$I$15:$I$28,[1]инфо!$A$15:$A$28,F1190)</f>
        <v/>
      </c>
      <c r="AU1190" s="62">
        <f>IF(H1190=0,0,AD1190/H1190)</f>
        <v/>
      </c>
      <c r="AV1190" s="82">
        <f>AU1190-AT1190</f>
        <v/>
      </c>
      <c r="AX1190" s="80">
        <f>SUMIFS([1]инфо!$C$15:$C$28,[1]инфо!$A$15:$A$28,F1190)*H1189</f>
        <v/>
      </c>
    </row>
    <row r="1191">
      <c r="A1191" s="71">
        <f>A1189+1</f>
        <v/>
      </c>
      <c r="B1191" s="89" t="n"/>
      <c r="C1191" s="72" t="n"/>
      <c r="D1191" s="73" t="n"/>
      <c r="E1191" s="91" t="n"/>
      <c r="F1191" s="67" t="n"/>
      <c r="G1191" s="74" t="n"/>
      <c r="H1191" s="55" t="n"/>
      <c r="I1191" s="55" t="n"/>
      <c r="J1191" s="55" t="n"/>
      <c r="K1191" s="55" t="n"/>
      <c r="L1191" s="55" t="n"/>
      <c r="M1191" s="55" t="n"/>
      <c r="N1191" s="67" t="n"/>
      <c r="O1191" s="74" t="n"/>
      <c r="P1191" s="74" t="n"/>
      <c r="Q1191" s="74" t="n"/>
      <c r="R1191" s="74" t="n"/>
      <c r="S1191" s="70">
        <f>SUM(O1191:R1191)</f>
        <v/>
      </c>
      <c r="T1191" s="72" t="n"/>
      <c r="U1191" s="73" t="n"/>
      <c r="V1191" s="74" t="n"/>
      <c r="W1191" s="74" t="n"/>
      <c r="X1191" s="74" t="n"/>
      <c r="Y1191" s="72" t="n"/>
      <c r="Z1191" s="74" t="n"/>
      <c r="AA1191" s="74" t="n"/>
      <c r="AB1191" s="74" t="n"/>
      <c r="AC1191" s="74" t="n"/>
      <c r="AD1191" s="73" t="n"/>
      <c r="AE1191" s="75">
        <f>SUMIFS([1]инфо!$D$15:$D$28,[1]инфо!$A$15:$A$28,F1191)</f>
        <v/>
      </c>
      <c r="AF1191" s="62">
        <f>IF(H1191=0,0,N1191/H1191)</f>
        <v/>
      </c>
      <c r="AG1191" s="76">
        <f>AF1191-AE1191</f>
        <v/>
      </c>
      <c r="AH1191" s="75">
        <f>SUMIFS([1]инфо!$E$15:$E$28,[1]инфо!$A$15:$A$28,F1191)</f>
        <v/>
      </c>
      <c r="AI1191" s="64">
        <f>IF(H1190=0,0,S1191/H1190)</f>
        <v/>
      </c>
      <c r="AJ1191" s="76">
        <f>AI1191-AH1191</f>
        <v/>
      </c>
      <c r="AK1191" s="75">
        <f>SUMIFS([1]инфо!$F$15:$F$28,[1]инфо!$A$15:$A$28,F1191)</f>
        <v/>
      </c>
      <c r="AL1191" s="64">
        <f>IF(H1191=0,0,Y1191/H1191)</f>
        <v/>
      </c>
      <c r="AM1191" s="76">
        <f>AL1191-AK1191</f>
        <v/>
      </c>
      <c r="AN1191" s="75">
        <f>SUMIFS([1]инфо!$G$15:$G$28,[1]инфо!$A$15:$A$28,F1191)</f>
        <v/>
      </c>
      <c r="AO1191" s="64">
        <f>IF(H1191=0,0,AA1191/H1191)</f>
        <v/>
      </c>
      <c r="AP1191" s="76">
        <f>AO1191-AN1191</f>
        <v/>
      </c>
      <c r="AQ1191" s="75">
        <f>SUMIFS([1]инфо!$H$15:$H$28,[1]инфо!$A$15:$A$28,F1191)</f>
        <v/>
      </c>
      <c r="AR1191" s="64">
        <f>IF(H1190=0,0,AC1191/H1190)</f>
        <v/>
      </c>
      <c r="AS1191" s="76">
        <f>AR1191-AQ1191</f>
        <v/>
      </c>
      <c r="AT1191" s="75">
        <f>SUMIFS([1]инфо!$I$15:$I$28,[1]инфо!$A$15:$A$28,F1191)</f>
        <v/>
      </c>
      <c r="AU1191" s="62">
        <f>IF(H1191=0,0,AD1191/H1191)</f>
        <v/>
      </c>
      <c r="AV1191" s="76">
        <f>AU1191-AT1191</f>
        <v/>
      </c>
      <c r="AX1191" s="70">
        <f>SUMIFS([1]инфо!$C$15:$C$28,[1]инфо!$A$15:$A$28,F1191)*H1190</f>
        <v/>
      </c>
    </row>
    <row r="1192">
      <c r="A1192" s="71">
        <f>A1190+1</f>
        <v/>
      </c>
      <c r="B1192" s="90" t="n"/>
      <c r="C1192" s="52" t="n"/>
      <c r="D1192" s="53" t="n"/>
      <c r="E1192" s="91" t="n"/>
      <c r="F1192" s="67" t="n"/>
      <c r="G1192" s="58" t="n"/>
      <c r="H1192" s="55" t="n"/>
      <c r="I1192" s="55" t="n"/>
      <c r="J1192" s="55" t="n"/>
      <c r="K1192" s="55" t="n"/>
      <c r="L1192" s="55" t="n"/>
      <c r="M1192" s="55" t="n"/>
      <c r="N1192" s="55" t="n"/>
      <c r="O1192" s="58" t="n"/>
      <c r="P1192" s="58" t="n"/>
      <c r="Q1192" s="58" t="n"/>
      <c r="R1192" s="58" t="n"/>
      <c r="S1192" s="59">
        <f>SUM(O1192:R1192)</f>
        <v/>
      </c>
      <c r="T1192" s="52" t="n"/>
      <c r="U1192" s="53" t="n"/>
      <c r="V1192" s="58" t="n"/>
      <c r="W1192" s="58" t="n"/>
      <c r="X1192" s="58" t="n"/>
      <c r="Y1192" s="52" t="n"/>
      <c r="Z1192" s="58" t="n"/>
      <c r="AA1192" s="58" t="n"/>
      <c r="AB1192" s="58" t="n"/>
      <c r="AC1192" s="58" t="n"/>
      <c r="AD1192" s="53" t="n"/>
      <c r="AE1192" s="61">
        <f>SUMIFS([1]инфо!$D$15:$D$28,[1]инфо!$A$15:$A$28,F1192)</f>
        <v/>
      </c>
      <c r="AF1192" s="62">
        <f>IF(H1192=0,0,N1192/H1192)</f>
        <v/>
      </c>
      <c r="AG1192" s="63">
        <f>AF1192-AE1192</f>
        <v/>
      </c>
      <c r="AH1192" s="61">
        <f>SUMIFS([1]инфо!$E$15:$E$28,[1]инфо!$A$15:$A$28,F1192)</f>
        <v/>
      </c>
      <c r="AI1192" s="62">
        <f>IF(H1191=0,0,S1192/H1191)</f>
        <v/>
      </c>
      <c r="AJ1192" s="63">
        <f>AI1192-AH1192</f>
        <v/>
      </c>
      <c r="AK1192" s="61">
        <f>SUMIFS([1]инфо!$F$15:$F$28,[1]инфо!$A$15:$A$28,F1192)</f>
        <v/>
      </c>
      <c r="AL1192" s="64">
        <f>IF(H1192=0,0,Y1192/H1192)</f>
        <v/>
      </c>
      <c r="AM1192" s="63">
        <f>AL1192-AK1192</f>
        <v/>
      </c>
      <c r="AN1192" s="61">
        <f>SUMIFS([1]инфо!$G$15:$G$28,[1]инфо!$A$15:$A$28,F1192)</f>
        <v/>
      </c>
      <c r="AO1192" s="64">
        <f>IF(H1192=0,0,AA1192/H1192)</f>
        <v/>
      </c>
      <c r="AP1192" s="63">
        <f>AO1192-AN1192</f>
        <v/>
      </c>
      <c r="AQ1192" s="61">
        <f>SUMIFS([1]инфо!$H$15:$H$28,[1]инфо!$A$15:$A$28,F1192)</f>
        <v/>
      </c>
      <c r="AR1192" s="62">
        <f>IF(H1191=0,0,AC1192/H1191)</f>
        <v/>
      </c>
      <c r="AS1192" s="63">
        <f>AR1192-AQ1192</f>
        <v/>
      </c>
      <c r="AT1192" s="61">
        <f>SUMIFS([1]инфо!$I$15:$I$28,[1]инфо!$A$15:$A$28,F1192)</f>
        <v/>
      </c>
      <c r="AU1192" s="62">
        <f>IF(H1192=0,0,AD1192/H1192)</f>
        <v/>
      </c>
      <c r="AV1192" s="63">
        <f>AU1192-AT1192</f>
        <v/>
      </c>
      <c r="AX1192" s="59">
        <f>SUMIFS([1]инфо!$C$15:$C$28,[1]инфо!$A$15:$A$28,F1192)*H1191</f>
        <v/>
      </c>
    </row>
    <row r="1193">
      <c r="A1193" s="71">
        <f>A1191+1</f>
        <v/>
      </c>
      <c r="B1193" s="90" t="n"/>
      <c r="C1193" s="52" t="n"/>
      <c r="D1193" s="53" t="n"/>
      <c r="E1193" s="91" t="n"/>
      <c r="F1193" s="67" t="n"/>
      <c r="G1193" s="58" t="n"/>
      <c r="H1193" s="56" t="n"/>
      <c r="I1193" s="55" t="n"/>
      <c r="J1193" s="55" t="n"/>
      <c r="K1193" s="55" t="n"/>
      <c r="L1193" s="55" t="n"/>
      <c r="M1193" s="55" t="n"/>
      <c r="N1193" s="55" t="n"/>
      <c r="O1193" s="58" t="n"/>
      <c r="P1193" s="58" t="n"/>
      <c r="Q1193" s="58" t="n"/>
      <c r="R1193" s="58" t="n"/>
      <c r="S1193" s="59">
        <f>SUM(O1193:R1193)</f>
        <v/>
      </c>
      <c r="T1193" s="52" t="n"/>
      <c r="U1193" s="53" t="n"/>
      <c r="V1193" s="58" t="n"/>
      <c r="W1193" s="58" t="n"/>
      <c r="X1193" s="58" t="n"/>
      <c r="Y1193" s="52" t="n"/>
      <c r="Z1193" s="58" t="n"/>
      <c r="AA1193" s="58" t="n"/>
      <c r="AB1193" s="58" t="n"/>
      <c r="AC1193" s="58" t="n"/>
      <c r="AD1193" s="53" t="n"/>
      <c r="AE1193" s="61">
        <f>SUMIFS([1]инфо!$D$15:$D$28,[1]инфо!$A$15:$A$28,F1193)</f>
        <v/>
      </c>
      <c r="AF1193" s="62">
        <f>IF(H1193=0,0,N1193/H1193)</f>
        <v/>
      </c>
      <c r="AG1193" s="63">
        <f>AF1193-AE1193</f>
        <v/>
      </c>
      <c r="AH1193" s="61">
        <f>SUMIFS([1]инфо!$E$15:$E$28,[1]инфо!$A$15:$A$28,F1193)</f>
        <v/>
      </c>
      <c r="AI1193" s="62">
        <f>IF(H1192=0,0,S1193/H1192)</f>
        <v/>
      </c>
      <c r="AJ1193" s="63">
        <f>AI1193-AH1193</f>
        <v/>
      </c>
      <c r="AK1193" s="61">
        <f>SUMIFS([1]инфо!$F$15:$F$28,[1]инфо!$A$15:$A$28,F1193)</f>
        <v/>
      </c>
      <c r="AL1193" s="64">
        <f>IF(H1193=0,0,Y1193/H1193)</f>
        <v/>
      </c>
      <c r="AM1193" s="63">
        <f>AL1193-AK1193</f>
        <v/>
      </c>
      <c r="AN1193" s="61">
        <f>SUMIFS([1]инфо!$G$15:$G$28,[1]инфо!$A$15:$A$28,F1193)</f>
        <v/>
      </c>
      <c r="AO1193" s="64">
        <f>IF(H1193=0,0,AA1193/H1193)</f>
        <v/>
      </c>
      <c r="AP1193" s="63">
        <f>AO1193-AN1193</f>
        <v/>
      </c>
      <c r="AQ1193" s="61">
        <f>SUMIFS([1]инфо!$H$15:$H$28,[1]инфо!$A$15:$A$28,F1193)</f>
        <v/>
      </c>
      <c r="AR1193" s="62">
        <f>IF(H1192=0,0,AC1193/H1192)</f>
        <v/>
      </c>
      <c r="AS1193" s="63">
        <f>AR1193-AQ1193</f>
        <v/>
      </c>
      <c r="AT1193" s="61">
        <f>SUMIFS([1]инфо!$I$15:$I$28,[1]инфо!$A$15:$A$28,F1193)</f>
        <v/>
      </c>
      <c r="AU1193" s="62">
        <f>IF(H1193=0,0,AD1193/H1193)</f>
        <v/>
      </c>
      <c r="AV1193" s="63">
        <f>AU1193-AT1193</f>
        <v/>
      </c>
      <c r="AX1193" s="59">
        <f>SUMIFS([1]инфо!$C$15:$C$28,[1]инфо!$A$15:$A$28,F1193)*H1192</f>
        <v/>
      </c>
    </row>
    <row r="1194">
      <c r="A1194" s="71">
        <f>A1192+1</f>
        <v/>
      </c>
      <c r="B1194" s="88" t="n"/>
      <c r="C1194" s="77" t="n"/>
      <c r="D1194" s="78" t="n"/>
      <c r="E1194" s="91" t="n"/>
      <c r="F1194" s="67" t="n"/>
      <c r="G1194" s="79" t="n"/>
      <c r="H1194" s="67" t="n"/>
      <c r="I1194" s="55" t="n"/>
      <c r="J1194" s="55" t="n"/>
      <c r="K1194" s="55" t="n"/>
      <c r="L1194" s="55" t="n"/>
      <c r="M1194" s="55" t="n"/>
      <c r="N1194" s="56" t="n"/>
      <c r="O1194" s="79" t="n"/>
      <c r="P1194" s="79" t="n"/>
      <c r="Q1194" s="79" t="n"/>
      <c r="R1194" s="79" t="n"/>
      <c r="S1194" s="80">
        <f>SUM(O1194:R1194)</f>
        <v/>
      </c>
      <c r="T1194" s="77" t="n"/>
      <c r="U1194" s="78" t="n"/>
      <c r="V1194" s="79" t="n"/>
      <c r="W1194" s="79" t="n"/>
      <c r="X1194" s="79" t="n"/>
      <c r="Y1194" s="77" t="n"/>
      <c r="Z1194" s="79" t="n"/>
      <c r="AA1194" s="79" t="n"/>
      <c r="AB1194" s="79" t="n"/>
      <c r="AC1194" s="79" t="n"/>
      <c r="AD1194" s="78" t="n"/>
      <c r="AE1194" s="81">
        <f>SUMIFS([1]инфо!$D$15:$D$28,[1]инфо!$A$15:$A$28,F1194)</f>
        <v/>
      </c>
      <c r="AF1194" s="62">
        <f>IF(H1194=0,0,N1194/H1194)</f>
        <v/>
      </c>
      <c r="AG1194" s="82">
        <f>AF1194-AE1194</f>
        <v/>
      </c>
      <c r="AH1194" s="81">
        <f>SUMIFS([1]инфо!$E$15:$E$28,[1]инфо!$A$15:$A$28,F1194)</f>
        <v/>
      </c>
      <c r="AI1194" s="85">
        <f>IF(H1193=0,0,S1194/H1193)</f>
        <v/>
      </c>
      <c r="AJ1194" s="82">
        <f>AI1194-AH1194</f>
        <v/>
      </c>
      <c r="AK1194" s="81">
        <f>SUMIFS([1]инфо!$F$15:$F$28,[1]инфо!$A$15:$A$28,F1194)</f>
        <v/>
      </c>
      <c r="AL1194" s="64">
        <f>IF(H1194=0,0,Y1194/H1194)</f>
        <v/>
      </c>
      <c r="AM1194" s="82">
        <f>AL1194-AK1194</f>
        <v/>
      </c>
      <c r="AN1194" s="81">
        <f>SUMIFS([1]инфо!$G$15:$G$28,[1]инфо!$A$15:$A$28,F1194)</f>
        <v/>
      </c>
      <c r="AO1194" s="64">
        <f>IF(H1194=0,0,AA1194/H1194)</f>
        <v/>
      </c>
      <c r="AP1194" s="82">
        <f>AO1194-AN1194</f>
        <v/>
      </c>
      <c r="AQ1194" s="81">
        <f>SUMIFS([1]инфо!$H$15:$H$28,[1]инфо!$A$15:$A$28,F1194)</f>
        <v/>
      </c>
      <c r="AR1194" s="85">
        <f>IF(H1193=0,0,AC1194/H1193)</f>
        <v/>
      </c>
      <c r="AS1194" s="82">
        <f>AR1194-AQ1194</f>
        <v/>
      </c>
      <c r="AT1194" s="81">
        <f>SUMIFS([1]инфо!$I$15:$I$28,[1]инфо!$A$15:$A$28,F1194)</f>
        <v/>
      </c>
      <c r="AU1194" s="62">
        <f>IF(H1194=0,0,AD1194/H1194)</f>
        <v/>
      </c>
      <c r="AV1194" s="82">
        <f>AU1194-AT1194</f>
        <v/>
      </c>
      <c r="AX1194" s="80">
        <f>SUMIFS([1]инфо!$C$15:$C$28,[1]инфо!$A$15:$A$28,F1194)*H1193</f>
        <v/>
      </c>
    </row>
    <row r="1195">
      <c r="A1195" s="71">
        <f>A1193+1</f>
        <v/>
      </c>
      <c r="B1195" s="89" t="n"/>
      <c r="C1195" s="72" t="n"/>
      <c r="D1195" s="73" t="n"/>
      <c r="E1195" s="91" t="n"/>
      <c r="F1195" s="67" t="n"/>
      <c r="G1195" s="74" t="n"/>
      <c r="H1195" s="55" t="n"/>
      <c r="I1195" s="55" t="n"/>
      <c r="J1195" s="55" t="n"/>
      <c r="K1195" s="55" t="n"/>
      <c r="L1195" s="55" t="n"/>
      <c r="M1195" s="55" t="n"/>
      <c r="N1195" s="67" t="n"/>
      <c r="O1195" s="74" t="n"/>
      <c r="P1195" s="74" t="n"/>
      <c r="Q1195" s="74" t="n"/>
      <c r="R1195" s="74" t="n"/>
      <c r="S1195" s="70">
        <f>SUM(O1195:R1195)</f>
        <v/>
      </c>
      <c r="T1195" s="72" t="n"/>
      <c r="U1195" s="73" t="n"/>
      <c r="V1195" s="74" t="n"/>
      <c r="W1195" s="74" t="n"/>
      <c r="X1195" s="74" t="n"/>
      <c r="Y1195" s="72" t="n"/>
      <c r="Z1195" s="74" t="n"/>
      <c r="AA1195" s="74" t="n"/>
      <c r="AB1195" s="74" t="n"/>
      <c r="AC1195" s="74" t="n"/>
      <c r="AD1195" s="73" t="n"/>
      <c r="AE1195" s="75">
        <f>SUMIFS([1]инфо!$D$15:$D$28,[1]инфо!$A$15:$A$28,F1195)</f>
        <v/>
      </c>
      <c r="AF1195" s="62">
        <f>IF(H1195=0,0,N1195/H1195)</f>
        <v/>
      </c>
      <c r="AG1195" s="76">
        <f>AF1195-AE1195</f>
        <v/>
      </c>
      <c r="AH1195" s="75">
        <f>SUMIFS([1]инфо!$E$15:$E$28,[1]инфо!$A$15:$A$28,F1195)</f>
        <v/>
      </c>
      <c r="AI1195" s="64">
        <f>IF(H1194=0,0,S1195/H1194)</f>
        <v/>
      </c>
      <c r="AJ1195" s="76">
        <f>AI1195-AH1195</f>
        <v/>
      </c>
      <c r="AK1195" s="75">
        <f>SUMIFS([1]инфо!$F$15:$F$28,[1]инфо!$A$15:$A$28,F1195)</f>
        <v/>
      </c>
      <c r="AL1195" s="64">
        <f>IF(H1195=0,0,Y1195/H1195)</f>
        <v/>
      </c>
      <c r="AM1195" s="76">
        <f>AL1195-AK1195</f>
        <v/>
      </c>
      <c r="AN1195" s="75">
        <f>SUMIFS([1]инфо!$G$15:$G$28,[1]инфо!$A$15:$A$28,F1195)</f>
        <v/>
      </c>
      <c r="AO1195" s="64">
        <f>IF(H1195=0,0,AA1195/H1195)</f>
        <v/>
      </c>
      <c r="AP1195" s="76">
        <f>AO1195-AN1195</f>
        <v/>
      </c>
      <c r="AQ1195" s="75">
        <f>SUMIFS([1]инфо!$H$15:$H$28,[1]инфо!$A$15:$A$28,F1195)</f>
        <v/>
      </c>
      <c r="AR1195" s="64">
        <f>IF(H1194=0,0,AC1195/H1194)</f>
        <v/>
      </c>
      <c r="AS1195" s="76">
        <f>AR1195-AQ1195</f>
        <v/>
      </c>
      <c r="AT1195" s="75">
        <f>SUMIFS([1]инфо!$I$15:$I$28,[1]инфо!$A$15:$A$28,F1195)</f>
        <v/>
      </c>
      <c r="AU1195" s="62">
        <f>IF(H1195=0,0,AD1195/H1195)</f>
        <v/>
      </c>
      <c r="AV1195" s="76">
        <f>AU1195-AT1195</f>
        <v/>
      </c>
      <c r="AX1195" s="70">
        <f>SUMIFS([1]инфо!$C$15:$C$28,[1]инфо!$A$15:$A$28,F1195)*H1194</f>
        <v/>
      </c>
    </row>
    <row r="1196">
      <c r="A1196" s="71">
        <f>A1194+1</f>
        <v/>
      </c>
      <c r="B1196" s="90" t="n"/>
      <c r="C1196" s="52" t="n"/>
      <c r="D1196" s="53" t="n"/>
      <c r="E1196" s="91" t="n"/>
      <c r="F1196" s="67" t="n"/>
      <c r="G1196" s="58" t="n"/>
      <c r="H1196" s="55" t="n"/>
      <c r="I1196" s="55" t="n"/>
      <c r="J1196" s="55" t="n"/>
      <c r="K1196" s="55" t="n"/>
      <c r="L1196" s="55" t="n"/>
      <c r="M1196" s="55" t="n"/>
      <c r="N1196" s="55" t="n"/>
      <c r="O1196" s="58" t="n"/>
      <c r="P1196" s="58" t="n"/>
      <c r="Q1196" s="58" t="n"/>
      <c r="R1196" s="58" t="n"/>
      <c r="S1196" s="59">
        <f>SUM(O1196:R1196)</f>
        <v/>
      </c>
      <c r="T1196" s="52" t="n"/>
      <c r="U1196" s="53" t="n"/>
      <c r="V1196" s="58" t="n"/>
      <c r="W1196" s="58" t="n"/>
      <c r="X1196" s="58" t="n"/>
      <c r="Y1196" s="52" t="n"/>
      <c r="Z1196" s="58" t="n"/>
      <c r="AA1196" s="58" t="n"/>
      <c r="AB1196" s="58" t="n"/>
      <c r="AC1196" s="58" t="n"/>
      <c r="AD1196" s="53" t="n"/>
      <c r="AE1196" s="61">
        <f>SUMIFS([1]инфо!$D$15:$D$28,[1]инфо!$A$15:$A$28,F1196)</f>
        <v/>
      </c>
      <c r="AF1196" s="62">
        <f>IF(H1196=0,0,N1196/H1196)</f>
        <v/>
      </c>
      <c r="AG1196" s="63">
        <f>AF1196-AE1196</f>
        <v/>
      </c>
      <c r="AH1196" s="61">
        <f>SUMIFS([1]инфо!$E$15:$E$28,[1]инфо!$A$15:$A$28,F1196)</f>
        <v/>
      </c>
      <c r="AI1196" s="62">
        <f>IF(H1195=0,0,S1196/H1195)</f>
        <v/>
      </c>
      <c r="AJ1196" s="63">
        <f>AI1196-AH1196</f>
        <v/>
      </c>
      <c r="AK1196" s="61">
        <f>SUMIFS([1]инфо!$F$15:$F$28,[1]инфо!$A$15:$A$28,F1196)</f>
        <v/>
      </c>
      <c r="AL1196" s="64">
        <f>IF(H1196=0,0,Y1196/H1196)</f>
        <v/>
      </c>
      <c r="AM1196" s="63">
        <f>AL1196-AK1196</f>
        <v/>
      </c>
      <c r="AN1196" s="61">
        <f>SUMIFS([1]инфо!$G$15:$G$28,[1]инфо!$A$15:$A$28,F1196)</f>
        <v/>
      </c>
      <c r="AO1196" s="64">
        <f>IF(H1196=0,0,AA1196/H1196)</f>
        <v/>
      </c>
      <c r="AP1196" s="63">
        <f>AO1196-AN1196</f>
        <v/>
      </c>
      <c r="AQ1196" s="61">
        <f>SUMIFS([1]инфо!$H$15:$H$28,[1]инфо!$A$15:$A$28,F1196)</f>
        <v/>
      </c>
      <c r="AR1196" s="62">
        <f>IF(H1195=0,0,AC1196/H1195)</f>
        <v/>
      </c>
      <c r="AS1196" s="63">
        <f>AR1196-AQ1196</f>
        <v/>
      </c>
      <c r="AT1196" s="61">
        <f>SUMIFS([1]инфо!$I$15:$I$28,[1]инфо!$A$15:$A$28,F1196)</f>
        <v/>
      </c>
      <c r="AU1196" s="62">
        <f>IF(H1196=0,0,AD1196/H1196)</f>
        <v/>
      </c>
      <c r="AV1196" s="63">
        <f>AU1196-AT1196</f>
        <v/>
      </c>
      <c r="AX1196" s="59">
        <f>SUMIFS([1]инфо!$C$15:$C$28,[1]инфо!$A$15:$A$28,F1196)*H1195</f>
        <v/>
      </c>
    </row>
    <row r="1197">
      <c r="A1197" s="71">
        <f>A1195+1</f>
        <v/>
      </c>
      <c r="B1197" s="90" t="n"/>
      <c r="C1197" s="52" t="n"/>
      <c r="D1197" s="53" t="n"/>
      <c r="E1197" s="91" t="n"/>
      <c r="F1197" s="67" t="n"/>
      <c r="G1197" s="58" t="n"/>
      <c r="H1197" s="56" t="n"/>
      <c r="I1197" s="55" t="n"/>
      <c r="J1197" s="55" t="n"/>
      <c r="K1197" s="55" t="n"/>
      <c r="L1197" s="55" t="n"/>
      <c r="M1197" s="55" t="n"/>
      <c r="N1197" s="55" t="n"/>
      <c r="O1197" s="58" t="n"/>
      <c r="P1197" s="58" t="n"/>
      <c r="Q1197" s="58" t="n"/>
      <c r="R1197" s="58" t="n"/>
      <c r="S1197" s="59">
        <f>SUM(O1197:R1197)</f>
        <v/>
      </c>
      <c r="T1197" s="52" t="n"/>
      <c r="U1197" s="53" t="n"/>
      <c r="V1197" s="58" t="n"/>
      <c r="W1197" s="58" t="n"/>
      <c r="X1197" s="58" t="n"/>
      <c r="Y1197" s="52" t="n"/>
      <c r="Z1197" s="58" t="n"/>
      <c r="AA1197" s="58" t="n"/>
      <c r="AB1197" s="58" t="n"/>
      <c r="AC1197" s="58" t="n"/>
      <c r="AD1197" s="53" t="n"/>
      <c r="AE1197" s="61">
        <f>SUMIFS([1]инфо!$D$15:$D$28,[1]инфо!$A$15:$A$28,F1197)</f>
        <v/>
      </c>
      <c r="AF1197" s="62">
        <f>IF(H1197=0,0,N1197/H1197)</f>
        <v/>
      </c>
      <c r="AG1197" s="63">
        <f>AF1197-AE1197</f>
        <v/>
      </c>
      <c r="AH1197" s="61">
        <f>SUMIFS([1]инфо!$E$15:$E$28,[1]инфо!$A$15:$A$28,F1197)</f>
        <v/>
      </c>
      <c r="AI1197" s="62">
        <f>IF(H1196=0,0,S1197/H1196)</f>
        <v/>
      </c>
      <c r="AJ1197" s="63">
        <f>AI1197-AH1197</f>
        <v/>
      </c>
      <c r="AK1197" s="61">
        <f>SUMIFS([1]инфо!$F$15:$F$28,[1]инфо!$A$15:$A$28,F1197)</f>
        <v/>
      </c>
      <c r="AL1197" s="64">
        <f>IF(H1197=0,0,Y1197/H1197)</f>
        <v/>
      </c>
      <c r="AM1197" s="63">
        <f>AL1197-AK1197</f>
        <v/>
      </c>
      <c r="AN1197" s="61">
        <f>SUMIFS([1]инфо!$G$15:$G$28,[1]инфо!$A$15:$A$28,F1197)</f>
        <v/>
      </c>
      <c r="AO1197" s="64">
        <f>IF(H1197=0,0,AA1197/H1197)</f>
        <v/>
      </c>
      <c r="AP1197" s="63">
        <f>AO1197-AN1197</f>
        <v/>
      </c>
      <c r="AQ1197" s="61">
        <f>SUMIFS([1]инфо!$H$15:$H$28,[1]инфо!$A$15:$A$28,F1197)</f>
        <v/>
      </c>
      <c r="AR1197" s="62">
        <f>IF(H1196=0,0,AC1197/H1196)</f>
        <v/>
      </c>
      <c r="AS1197" s="63">
        <f>AR1197-AQ1197</f>
        <v/>
      </c>
      <c r="AT1197" s="61">
        <f>SUMIFS([1]инфо!$I$15:$I$28,[1]инфо!$A$15:$A$28,F1197)</f>
        <v/>
      </c>
      <c r="AU1197" s="62">
        <f>IF(H1197=0,0,AD1197/H1197)</f>
        <v/>
      </c>
      <c r="AV1197" s="63">
        <f>AU1197-AT1197</f>
        <v/>
      </c>
      <c r="AX1197" s="59">
        <f>SUMIFS([1]инфо!$C$15:$C$28,[1]инфо!$A$15:$A$28,F1197)*H1196</f>
        <v/>
      </c>
    </row>
    <row r="1198">
      <c r="A1198" s="71">
        <f>A1196+1</f>
        <v/>
      </c>
      <c r="B1198" s="88" t="n"/>
      <c r="C1198" s="77" t="n"/>
      <c r="D1198" s="78" t="n"/>
      <c r="E1198" s="91" t="n"/>
      <c r="F1198" s="67" t="n"/>
      <c r="G1198" s="79" t="n"/>
      <c r="H1198" s="67" t="n"/>
      <c r="I1198" s="55" t="n"/>
      <c r="J1198" s="55" t="n"/>
      <c r="K1198" s="55" t="n"/>
      <c r="L1198" s="55" t="n"/>
      <c r="M1198" s="55" t="n"/>
      <c r="N1198" s="56" t="n"/>
      <c r="O1198" s="79" t="n"/>
      <c r="P1198" s="79" t="n"/>
      <c r="Q1198" s="79" t="n"/>
      <c r="R1198" s="79" t="n"/>
      <c r="S1198" s="80">
        <f>SUM(O1198:R1198)</f>
        <v/>
      </c>
      <c r="T1198" s="77" t="n"/>
      <c r="U1198" s="78" t="n"/>
      <c r="V1198" s="79" t="n"/>
      <c r="W1198" s="79" t="n"/>
      <c r="X1198" s="79" t="n"/>
      <c r="Y1198" s="77" t="n"/>
      <c r="Z1198" s="79" t="n"/>
      <c r="AA1198" s="79" t="n"/>
      <c r="AB1198" s="79" t="n"/>
      <c r="AC1198" s="79" t="n"/>
      <c r="AD1198" s="78" t="n"/>
      <c r="AE1198" s="81">
        <f>SUMIFS([1]инфо!$D$15:$D$28,[1]инфо!$A$15:$A$28,F1198)</f>
        <v/>
      </c>
      <c r="AF1198" s="62">
        <f>IF(H1198=0,0,N1198/H1198)</f>
        <v/>
      </c>
      <c r="AG1198" s="82">
        <f>AF1198-AE1198</f>
        <v/>
      </c>
      <c r="AH1198" s="81">
        <f>SUMIFS([1]инфо!$E$15:$E$28,[1]инфо!$A$15:$A$28,F1198)</f>
        <v/>
      </c>
      <c r="AI1198" s="85">
        <f>IF(H1197=0,0,S1198/H1197)</f>
        <v/>
      </c>
      <c r="AJ1198" s="82">
        <f>AI1198-AH1198</f>
        <v/>
      </c>
      <c r="AK1198" s="81">
        <f>SUMIFS([1]инфо!$F$15:$F$28,[1]инфо!$A$15:$A$28,F1198)</f>
        <v/>
      </c>
      <c r="AL1198" s="64">
        <f>IF(H1198=0,0,Y1198/H1198)</f>
        <v/>
      </c>
      <c r="AM1198" s="82">
        <f>AL1198-AK1198</f>
        <v/>
      </c>
      <c r="AN1198" s="81">
        <f>SUMIFS([1]инфо!$G$15:$G$28,[1]инфо!$A$15:$A$28,F1198)</f>
        <v/>
      </c>
      <c r="AO1198" s="64">
        <f>IF(H1198=0,0,AA1198/H1198)</f>
        <v/>
      </c>
      <c r="AP1198" s="82">
        <f>AO1198-AN1198</f>
        <v/>
      </c>
      <c r="AQ1198" s="81">
        <f>SUMIFS([1]инфо!$H$15:$H$28,[1]инфо!$A$15:$A$28,F1198)</f>
        <v/>
      </c>
      <c r="AR1198" s="85">
        <f>IF(H1197=0,0,AC1198/H1197)</f>
        <v/>
      </c>
      <c r="AS1198" s="82">
        <f>AR1198-AQ1198</f>
        <v/>
      </c>
      <c r="AT1198" s="81">
        <f>SUMIFS([1]инфо!$I$15:$I$28,[1]инфо!$A$15:$A$28,F1198)</f>
        <v/>
      </c>
      <c r="AU1198" s="62">
        <f>IF(H1198=0,0,AD1198/H1198)</f>
        <v/>
      </c>
      <c r="AV1198" s="82">
        <f>AU1198-AT1198</f>
        <v/>
      </c>
      <c r="AX1198" s="80">
        <f>SUMIFS([1]инфо!$C$15:$C$28,[1]инфо!$A$15:$A$28,F1198)*H1197</f>
        <v/>
      </c>
    </row>
    <row r="1199">
      <c r="A1199" s="71">
        <f>A1197+1</f>
        <v/>
      </c>
      <c r="B1199" s="89" t="n"/>
      <c r="C1199" s="72" t="n"/>
      <c r="D1199" s="73" t="n"/>
      <c r="E1199" s="91" t="n"/>
      <c r="F1199" s="67" t="n"/>
      <c r="G1199" s="74" t="n"/>
      <c r="H1199" s="55" t="n"/>
      <c r="I1199" s="55" t="n"/>
      <c r="J1199" s="55" t="n"/>
      <c r="K1199" s="55" t="n"/>
      <c r="L1199" s="55" t="n"/>
      <c r="M1199" s="55" t="n"/>
      <c r="N1199" s="67" t="n"/>
      <c r="O1199" s="74" t="n"/>
      <c r="P1199" s="74" t="n"/>
      <c r="Q1199" s="74" t="n"/>
      <c r="R1199" s="74" t="n"/>
      <c r="S1199" s="70">
        <f>SUM(O1199:R1199)</f>
        <v/>
      </c>
      <c r="T1199" s="72" t="n"/>
      <c r="U1199" s="73" t="n"/>
      <c r="V1199" s="74" t="n"/>
      <c r="W1199" s="74" t="n"/>
      <c r="X1199" s="74" t="n"/>
      <c r="Y1199" s="72" t="n"/>
      <c r="Z1199" s="74" t="n"/>
      <c r="AA1199" s="74" t="n"/>
      <c r="AB1199" s="74" t="n"/>
      <c r="AC1199" s="74" t="n"/>
      <c r="AD1199" s="73" t="n"/>
      <c r="AE1199" s="75">
        <f>SUMIFS([1]инфо!$D$15:$D$28,[1]инфо!$A$15:$A$28,F1199)</f>
        <v/>
      </c>
      <c r="AF1199" s="62">
        <f>IF(H1199=0,0,N1199/H1199)</f>
        <v/>
      </c>
      <c r="AG1199" s="76">
        <f>AF1199-AE1199</f>
        <v/>
      </c>
      <c r="AH1199" s="75">
        <f>SUMIFS([1]инфо!$E$15:$E$28,[1]инфо!$A$15:$A$28,F1199)</f>
        <v/>
      </c>
      <c r="AI1199" s="64">
        <f>IF(H1198=0,0,S1199/H1198)</f>
        <v/>
      </c>
      <c r="AJ1199" s="76">
        <f>AI1199-AH1199</f>
        <v/>
      </c>
      <c r="AK1199" s="75">
        <f>SUMIFS([1]инфо!$F$15:$F$28,[1]инфо!$A$15:$A$28,F1199)</f>
        <v/>
      </c>
      <c r="AL1199" s="64">
        <f>IF(H1199=0,0,Y1199/H1199)</f>
        <v/>
      </c>
      <c r="AM1199" s="76">
        <f>AL1199-AK1199</f>
        <v/>
      </c>
      <c r="AN1199" s="75">
        <f>SUMIFS([1]инфо!$G$15:$G$28,[1]инфо!$A$15:$A$28,F1199)</f>
        <v/>
      </c>
      <c r="AO1199" s="64">
        <f>IF(H1199=0,0,AA1199/H1199)</f>
        <v/>
      </c>
      <c r="AP1199" s="76">
        <f>AO1199-AN1199</f>
        <v/>
      </c>
      <c r="AQ1199" s="75">
        <f>SUMIFS([1]инфо!$H$15:$H$28,[1]инфо!$A$15:$A$28,F1199)</f>
        <v/>
      </c>
      <c r="AR1199" s="64">
        <f>IF(H1198=0,0,AC1199/H1198)</f>
        <v/>
      </c>
      <c r="AS1199" s="76">
        <f>AR1199-AQ1199</f>
        <v/>
      </c>
      <c r="AT1199" s="75">
        <f>SUMIFS([1]инфо!$I$15:$I$28,[1]инфо!$A$15:$A$28,F1199)</f>
        <v/>
      </c>
      <c r="AU1199" s="62">
        <f>IF(H1199=0,0,AD1199/H1199)</f>
        <v/>
      </c>
      <c r="AV1199" s="76">
        <f>AU1199-AT1199</f>
        <v/>
      </c>
      <c r="AX1199" s="70">
        <f>SUMIFS([1]инфо!$C$15:$C$28,[1]инфо!$A$15:$A$28,F1199)*H1198</f>
        <v/>
      </c>
    </row>
    <row r="1200">
      <c r="A1200" s="71">
        <f>A1198+1</f>
        <v/>
      </c>
      <c r="B1200" s="90" t="n"/>
      <c r="C1200" s="52" t="n"/>
      <c r="D1200" s="53" t="n"/>
      <c r="E1200" s="91" t="n"/>
      <c r="F1200" s="67" t="n"/>
      <c r="G1200" s="58" t="n"/>
      <c r="H1200" s="55" t="n"/>
      <c r="I1200" s="55" t="n"/>
      <c r="J1200" s="55" t="n"/>
      <c r="K1200" s="55" t="n"/>
      <c r="L1200" s="55" t="n"/>
      <c r="M1200" s="55" t="n"/>
      <c r="N1200" s="55" t="n"/>
      <c r="O1200" s="58" t="n"/>
      <c r="P1200" s="58" t="n"/>
      <c r="Q1200" s="58" t="n"/>
      <c r="R1200" s="58" t="n"/>
      <c r="S1200" s="59">
        <f>SUM(O1200:R1200)</f>
        <v/>
      </c>
      <c r="T1200" s="52" t="n"/>
      <c r="U1200" s="53" t="n"/>
      <c r="V1200" s="58" t="n"/>
      <c r="W1200" s="58" t="n"/>
      <c r="X1200" s="58" t="n"/>
      <c r="Y1200" s="52" t="n"/>
      <c r="Z1200" s="58" t="n"/>
      <c r="AA1200" s="58" t="n"/>
      <c r="AB1200" s="58" t="n"/>
      <c r="AC1200" s="58" t="n"/>
      <c r="AD1200" s="53" t="n"/>
      <c r="AE1200" s="61">
        <f>SUMIFS([1]инфо!$D$15:$D$28,[1]инфо!$A$15:$A$28,F1200)</f>
        <v/>
      </c>
      <c r="AF1200" s="62">
        <f>IF(H1200=0,0,N1200/H1200)</f>
        <v/>
      </c>
      <c r="AG1200" s="63">
        <f>AF1200-AE1200</f>
        <v/>
      </c>
      <c r="AH1200" s="61">
        <f>SUMIFS([1]инфо!$E$15:$E$28,[1]инфо!$A$15:$A$28,F1200)</f>
        <v/>
      </c>
      <c r="AI1200" s="62">
        <f>IF(H1199=0,0,S1200/H1199)</f>
        <v/>
      </c>
      <c r="AJ1200" s="63">
        <f>AI1200-AH1200</f>
        <v/>
      </c>
      <c r="AK1200" s="61">
        <f>SUMIFS([1]инфо!$F$15:$F$28,[1]инфо!$A$15:$A$28,F1200)</f>
        <v/>
      </c>
      <c r="AL1200" s="64">
        <f>IF(H1200=0,0,Y1200/H1200)</f>
        <v/>
      </c>
      <c r="AM1200" s="63">
        <f>AL1200-AK1200</f>
        <v/>
      </c>
      <c r="AN1200" s="61">
        <f>SUMIFS([1]инфо!$G$15:$G$28,[1]инфо!$A$15:$A$28,F1200)</f>
        <v/>
      </c>
      <c r="AO1200" s="64">
        <f>IF(H1200=0,0,AA1200/H1200)</f>
        <v/>
      </c>
      <c r="AP1200" s="63">
        <f>AO1200-AN1200</f>
        <v/>
      </c>
      <c r="AQ1200" s="61">
        <f>SUMIFS([1]инфо!$H$15:$H$28,[1]инфо!$A$15:$A$28,F1200)</f>
        <v/>
      </c>
      <c r="AR1200" s="62">
        <f>IF(H1199=0,0,AC1200/H1199)</f>
        <v/>
      </c>
      <c r="AS1200" s="63">
        <f>AR1200-AQ1200</f>
        <v/>
      </c>
      <c r="AT1200" s="61">
        <f>SUMIFS([1]инфо!$I$15:$I$28,[1]инфо!$A$15:$A$28,F1200)</f>
        <v/>
      </c>
      <c r="AU1200" s="62">
        <f>IF(H1200=0,0,AD1200/H1200)</f>
        <v/>
      </c>
      <c r="AV1200" s="63">
        <f>AU1200-AT1200</f>
        <v/>
      </c>
      <c r="AX1200" s="59">
        <f>SUMIFS([1]инфо!$C$15:$C$28,[1]инфо!$A$15:$A$28,F1200)*H1199</f>
        <v/>
      </c>
    </row>
    <row r="1201">
      <c r="A1201" s="71">
        <f>A1199+1</f>
        <v/>
      </c>
      <c r="B1201" s="90" t="n"/>
      <c r="C1201" s="52" t="n"/>
      <c r="D1201" s="53" t="n"/>
      <c r="E1201" s="91" t="n"/>
      <c r="F1201" s="67" t="n"/>
      <c r="G1201" s="58" t="n"/>
      <c r="H1201" s="56" t="n"/>
      <c r="I1201" s="55" t="n"/>
      <c r="J1201" s="55" t="n"/>
      <c r="K1201" s="55" t="n"/>
      <c r="L1201" s="55" t="n"/>
      <c r="M1201" s="55" t="n"/>
      <c r="N1201" s="55" t="n"/>
      <c r="O1201" s="58" t="n"/>
      <c r="P1201" s="58" t="n"/>
      <c r="Q1201" s="58" t="n"/>
      <c r="R1201" s="58" t="n"/>
      <c r="S1201" s="59">
        <f>SUM(O1201:R1201)</f>
        <v/>
      </c>
      <c r="T1201" s="52" t="n"/>
      <c r="U1201" s="53" t="n"/>
      <c r="V1201" s="58" t="n"/>
      <c r="W1201" s="58" t="n"/>
      <c r="X1201" s="58" t="n"/>
      <c r="Y1201" s="52" t="n"/>
      <c r="Z1201" s="58" t="n"/>
      <c r="AA1201" s="58" t="n"/>
      <c r="AB1201" s="58" t="n"/>
      <c r="AC1201" s="58" t="n"/>
      <c r="AD1201" s="53" t="n"/>
      <c r="AE1201" s="61">
        <f>SUMIFS([1]инфо!$D$15:$D$28,[1]инфо!$A$15:$A$28,F1201)</f>
        <v/>
      </c>
      <c r="AF1201" s="62">
        <f>IF(H1201=0,0,N1201/H1201)</f>
        <v/>
      </c>
      <c r="AG1201" s="63">
        <f>AF1201-AE1201</f>
        <v/>
      </c>
      <c r="AH1201" s="61">
        <f>SUMIFS([1]инфо!$E$15:$E$28,[1]инфо!$A$15:$A$28,F1201)</f>
        <v/>
      </c>
      <c r="AI1201" s="62">
        <f>IF(H1200=0,0,S1201/H1200)</f>
        <v/>
      </c>
      <c r="AJ1201" s="63">
        <f>AI1201-AH1201</f>
        <v/>
      </c>
      <c r="AK1201" s="61">
        <f>SUMIFS([1]инфо!$F$15:$F$28,[1]инфо!$A$15:$A$28,F1201)</f>
        <v/>
      </c>
      <c r="AL1201" s="64">
        <f>IF(H1201=0,0,Y1201/H1201)</f>
        <v/>
      </c>
      <c r="AM1201" s="63">
        <f>AL1201-AK1201</f>
        <v/>
      </c>
      <c r="AN1201" s="61">
        <f>SUMIFS([1]инфо!$G$15:$G$28,[1]инфо!$A$15:$A$28,F1201)</f>
        <v/>
      </c>
      <c r="AO1201" s="64">
        <f>IF(H1201=0,0,AA1201/H1201)</f>
        <v/>
      </c>
      <c r="AP1201" s="63">
        <f>AO1201-AN1201</f>
        <v/>
      </c>
      <c r="AQ1201" s="61">
        <f>SUMIFS([1]инфо!$H$15:$H$28,[1]инфо!$A$15:$A$28,F1201)</f>
        <v/>
      </c>
      <c r="AR1201" s="62">
        <f>IF(H1200=0,0,AC1201/H1200)</f>
        <v/>
      </c>
      <c r="AS1201" s="63">
        <f>AR1201-AQ1201</f>
        <v/>
      </c>
      <c r="AT1201" s="61">
        <f>SUMIFS([1]инфо!$I$15:$I$28,[1]инфо!$A$15:$A$28,F1201)</f>
        <v/>
      </c>
      <c r="AU1201" s="62">
        <f>IF(H1201=0,0,AD1201/H1201)</f>
        <v/>
      </c>
      <c r="AV1201" s="63">
        <f>AU1201-AT1201</f>
        <v/>
      </c>
      <c r="AX1201" s="59">
        <f>SUMIFS([1]инфо!$C$15:$C$28,[1]инфо!$A$15:$A$28,F1201)*H1200</f>
        <v/>
      </c>
    </row>
    <row r="1202">
      <c r="A1202" s="71">
        <f>A1200+1</f>
        <v/>
      </c>
      <c r="B1202" s="88" t="n"/>
      <c r="C1202" s="77" t="n"/>
      <c r="D1202" s="78" t="n"/>
      <c r="E1202" s="91" t="n"/>
      <c r="F1202" s="67" t="n"/>
      <c r="G1202" s="79" t="n"/>
      <c r="H1202" s="67" t="n"/>
      <c r="I1202" s="55" t="n"/>
      <c r="J1202" s="55" t="n"/>
      <c r="K1202" s="55" t="n"/>
      <c r="L1202" s="55" t="n"/>
      <c r="M1202" s="55" t="n"/>
      <c r="N1202" s="56" t="n"/>
      <c r="O1202" s="79" t="n"/>
      <c r="P1202" s="79" t="n"/>
      <c r="Q1202" s="79" t="n"/>
      <c r="R1202" s="79" t="n"/>
      <c r="S1202" s="80">
        <f>SUM(O1202:R1202)</f>
        <v/>
      </c>
      <c r="T1202" s="77" t="n"/>
      <c r="U1202" s="78" t="n"/>
      <c r="V1202" s="79" t="n"/>
      <c r="W1202" s="79" t="n"/>
      <c r="X1202" s="79" t="n"/>
      <c r="Y1202" s="77" t="n"/>
      <c r="Z1202" s="79" t="n"/>
      <c r="AA1202" s="79" t="n"/>
      <c r="AB1202" s="79" t="n"/>
      <c r="AC1202" s="79" t="n"/>
      <c r="AD1202" s="78" t="n"/>
      <c r="AE1202" s="81">
        <f>SUMIFS([1]инфо!$D$15:$D$28,[1]инфо!$A$15:$A$28,F1202)</f>
        <v/>
      </c>
      <c r="AF1202" s="62">
        <f>IF(H1202=0,0,N1202/H1202)</f>
        <v/>
      </c>
      <c r="AG1202" s="82">
        <f>AF1202-AE1202</f>
        <v/>
      </c>
      <c r="AH1202" s="81">
        <f>SUMIFS([1]инфо!$E$15:$E$28,[1]инфо!$A$15:$A$28,F1202)</f>
        <v/>
      </c>
      <c r="AI1202" s="85">
        <f>IF(H1201=0,0,S1202/H1201)</f>
        <v/>
      </c>
      <c r="AJ1202" s="82">
        <f>AI1202-AH1202</f>
        <v/>
      </c>
      <c r="AK1202" s="81">
        <f>SUMIFS([1]инфо!$F$15:$F$28,[1]инфо!$A$15:$A$28,F1202)</f>
        <v/>
      </c>
      <c r="AL1202" s="64">
        <f>IF(H1202=0,0,Y1202/H1202)</f>
        <v/>
      </c>
      <c r="AM1202" s="82">
        <f>AL1202-AK1202</f>
        <v/>
      </c>
      <c r="AN1202" s="81">
        <f>SUMIFS([1]инфо!$G$15:$G$28,[1]инфо!$A$15:$A$28,F1202)</f>
        <v/>
      </c>
      <c r="AO1202" s="64">
        <f>IF(H1202=0,0,AA1202/H1202)</f>
        <v/>
      </c>
      <c r="AP1202" s="82">
        <f>AO1202-AN1202</f>
        <v/>
      </c>
      <c r="AQ1202" s="81">
        <f>SUMIFS([1]инфо!$H$15:$H$28,[1]инфо!$A$15:$A$28,F1202)</f>
        <v/>
      </c>
      <c r="AR1202" s="85">
        <f>IF(H1201=0,0,AC1202/H1201)</f>
        <v/>
      </c>
      <c r="AS1202" s="82">
        <f>AR1202-AQ1202</f>
        <v/>
      </c>
      <c r="AT1202" s="81">
        <f>SUMIFS([1]инфо!$I$15:$I$28,[1]инфо!$A$15:$A$28,F1202)</f>
        <v/>
      </c>
      <c r="AU1202" s="62">
        <f>IF(H1202=0,0,AD1202/H1202)</f>
        <v/>
      </c>
      <c r="AV1202" s="82">
        <f>AU1202-AT1202</f>
        <v/>
      </c>
      <c r="AX1202" s="80">
        <f>SUMIFS([1]инфо!$C$15:$C$28,[1]инфо!$A$15:$A$28,F1202)*H1201</f>
        <v/>
      </c>
    </row>
    <row r="1203">
      <c r="A1203" s="71">
        <f>A1201+1</f>
        <v/>
      </c>
      <c r="B1203" s="89" t="n"/>
      <c r="C1203" s="72" t="n"/>
      <c r="D1203" s="73" t="n"/>
      <c r="E1203" s="91" t="n"/>
      <c r="F1203" s="67" t="n"/>
      <c r="G1203" s="74" t="n"/>
      <c r="H1203" s="55" t="n"/>
      <c r="I1203" s="55" t="n"/>
      <c r="J1203" s="55" t="n"/>
      <c r="K1203" s="55" t="n"/>
      <c r="L1203" s="55" t="n"/>
      <c r="M1203" s="55" t="n"/>
      <c r="N1203" s="67" t="n"/>
      <c r="O1203" s="74" t="n"/>
      <c r="P1203" s="74" t="n"/>
      <c r="Q1203" s="74" t="n"/>
      <c r="R1203" s="74" t="n"/>
      <c r="S1203" s="70">
        <f>SUM(O1203:R1203)</f>
        <v/>
      </c>
      <c r="T1203" s="72" t="n"/>
      <c r="U1203" s="73" t="n"/>
      <c r="V1203" s="74" t="n"/>
      <c r="W1203" s="74" t="n"/>
      <c r="X1203" s="74" t="n"/>
      <c r="Y1203" s="72" t="n"/>
      <c r="Z1203" s="74" t="n"/>
      <c r="AA1203" s="74" t="n"/>
      <c r="AB1203" s="74" t="n"/>
      <c r="AC1203" s="74" t="n"/>
      <c r="AD1203" s="73" t="n"/>
      <c r="AE1203" s="75">
        <f>SUMIFS([1]инфо!$D$15:$D$28,[1]инфо!$A$15:$A$28,F1203)</f>
        <v/>
      </c>
      <c r="AF1203" s="62">
        <f>IF(H1203=0,0,N1203/H1203)</f>
        <v/>
      </c>
      <c r="AG1203" s="76">
        <f>AF1203-AE1203</f>
        <v/>
      </c>
      <c r="AH1203" s="75">
        <f>SUMIFS([1]инфо!$E$15:$E$28,[1]инфо!$A$15:$A$28,F1203)</f>
        <v/>
      </c>
      <c r="AI1203" s="64">
        <f>IF(H1202=0,0,S1203/H1202)</f>
        <v/>
      </c>
      <c r="AJ1203" s="76">
        <f>AI1203-AH1203</f>
        <v/>
      </c>
      <c r="AK1203" s="75">
        <f>SUMIFS([1]инфо!$F$15:$F$28,[1]инфо!$A$15:$A$28,F1203)</f>
        <v/>
      </c>
      <c r="AL1203" s="64">
        <f>IF(H1203=0,0,Y1203/H1203)</f>
        <v/>
      </c>
      <c r="AM1203" s="76">
        <f>AL1203-AK1203</f>
        <v/>
      </c>
      <c r="AN1203" s="75">
        <f>SUMIFS([1]инфо!$G$15:$G$28,[1]инфо!$A$15:$A$28,F1203)</f>
        <v/>
      </c>
      <c r="AO1203" s="64">
        <f>IF(H1203=0,0,AA1203/H1203)</f>
        <v/>
      </c>
      <c r="AP1203" s="76">
        <f>AO1203-AN1203</f>
        <v/>
      </c>
      <c r="AQ1203" s="75">
        <f>SUMIFS([1]инфо!$H$15:$H$28,[1]инфо!$A$15:$A$28,F1203)</f>
        <v/>
      </c>
      <c r="AR1203" s="64">
        <f>IF(H1202=0,0,AC1203/H1202)</f>
        <v/>
      </c>
      <c r="AS1203" s="76">
        <f>AR1203-AQ1203</f>
        <v/>
      </c>
      <c r="AT1203" s="75">
        <f>SUMIFS([1]инфо!$I$15:$I$28,[1]инфо!$A$15:$A$28,F1203)</f>
        <v/>
      </c>
      <c r="AU1203" s="62">
        <f>IF(H1203=0,0,AD1203/H1203)</f>
        <v/>
      </c>
      <c r="AV1203" s="76">
        <f>AU1203-AT1203</f>
        <v/>
      </c>
      <c r="AX1203" s="70">
        <f>SUMIFS([1]инфо!$C$15:$C$28,[1]инфо!$A$15:$A$28,F1203)*H1202</f>
        <v/>
      </c>
    </row>
    <row r="1204">
      <c r="A1204" s="71">
        <f>A1202+1</f>
        <v/>
      </c>
      <c r="B1204" s="90" t="n"/>
      <c r="C1204" s="52" t="n"/>
      <c r="D1204" s="53" t="n"/>
      <c r="E1204" s="91" t="n"/>
      <c r="F1204" s="67" t="n"/>
      <c r="G1204" s="58" t="n"/>
      <c r="H1204" s="55" t="n"/>
      <c r="I1204" s="55" t="n"/>
      <c r="J1204" s="55" t="n"/>
      <c r="K1204" s="55" t="n"/>
      <c r="L1204" s="55" t="n"/>
      <c r="M1204" s="55" t="n"/>
      <c r="N1204" s="55" t="n"/>
      <c r="O1204" s="58" t="n"/>
      <c r="P1204" s="58" t="n"/>
      <c r="Q1204" s="58" t="n"/>
      <c r="R1204" s="58" t="n"/>
      <c r="S1204" s="59">
        <f>SUM(O1204:R1204)</f>
        <v/>
      </c>
      <c r="T1204" s="52" t="n"/>
      <c r="U1204" s="53" t="n"/>
      <c r="V1204" s="58" t="n"/>
      <c r="W1204" s="58" t="n"/>
      <c r="X1204" s="58" t="n"/>
      <c r="Y1204" s="52" t="n"/>
      <c r="Z1204" s="58" t="n"/>
      <c r="AA1204" s="58" t="n"/>
      <c r="AB1204" s="58" t="n"/>
      <c r="AC1204" s="58" t="n"/>
      <c r="AD1204" s="53" t="n"/>
      <c r="AE1204" s="61">
        <f>SUMIFS([1]инфо!$D$15:$D$28,[1]инфо!$A$15:$A$28,F1204)</f>
        <v/>
      </c>
      <c r="AF1204" s="62">
        <f>IF(H1204=0,0,N1204/H1204)</f>
        <v/>
      </c>
      <c r="AG1204" s="63">
        <f>AF1204-AE1204</f>
        <v/>
      </c>
      <c r="AH1204" s="61">
        <f>SUMIFS([1]инфо!$E$15:$E$28,[1]инфо!$A$15:$A$28,F1204)</f>
        <v/>
      </c>
      <c r="AI1204" s="62">
        <f>IF(H1203=0,0,S1204/H1203)</f>
        <v/>
      </c>
      <c r="AJ1204" s="63">
        <f>AI1204-AH1204</f>
        <v/>
      </c>
      <c r="AK1204" s="61">
        <f>SUMIFS([1]инфо!$F$15:$F$28,[1]инфо!$A$15:$A$28,F1204)</f>
        <v/>
      </c>
      <c r="AL1204" s="64">
        <f>IF(H1204=0,0,Y1204/H1204)</f>
        <v/>
      </c>
      <c r="AM1204" s="63">
        <f>AL1204-AK1204</f>
        <v/>
      </c>
      <c r="AN1204" s="61">
        <f>SUMIFS([1]инфо!$G$15:$G$28,[1]инфо!$A$15:$A$28,F1204)</f>
        <v/>
      </c>
      <c r="AO1204" s="64">
        <f>IF(H1204=0,0,AA1204/H1204)</f>
        <v/>
      </c>
      <c r="AP1204" s="63">
        <f>AO1204-AN1204</f>
        <v/>
      </c>
      <c r="AQ1204" s="61">
        <f>SUMIFS([1]инфо!$H$15:$H$28,[1]инфо!$A$15:$A$28,F1204)</f>
        <v/>
      </c>
      <c r="AR1204" s="62">
        <f>IF(H1203=0,0,AC1204/H1203)</f>
        <v/>
      </c>
      <c r="AS1204" s="63">
        <f>AR1204-AQ1204</f>
        <v/>
      </c>
      <c r="AT1204" s="61">
        <f>SUMIFS([1]инфо!$I$15:$I$28,[1]инфо!$A$15:$A$28,F1204)</f>
        <v/>
      </c>
      <c r="AU1204" s="62">
        <f>IF(H1204=0,0,AD1204/H1204)</f>
        <v/>
      </c>
      <c r="AV1204" s="63">
        <f>AU1204-AT1204</f>
        <v/>
      </c>
      <c r="AX1204" s="59">
        <f>SUMIFS([1]инфо!$C$15:$C$28,[1]инфо!$A$15:$A$28,F1204)*H1203</f>
        <v/>
      </c>
    </row>
    <row r="1205">
      <c r="A1205" s="71">
        <f>A1203+1</f>
        <v/>
      </c>
      <c r="B1205" s="90" t="n"/>
      <c r="C1205" s="52" t="n"/>
      <c r="D1205" s="53" t="n"/>
      <c r="E1205" s="91" t="n"/>
      <c r="F1205" s="67" t="n"/>
      <c r="G1205" s="58" t="n"/>
      <c r="H1205" s="56" t="n"/>
      <c r="I1205" s="55" t="n"/>
      <c r="J1205" s="55" t="n"/>
      <c r="K1205" s="55" t="n"/>
      <c r="L1205" s="55" t="n"/>
      <c r="M1205" s="55" t="n"/>
      <c r="N1205" s="55" t="n"/>
      <c r="O1205" s="58" t="n"/>
      <c r="P1205" s="58" t="n"/>
      <c r="Q1205" s="58" t="n"/>
      <c r="R1205" s="58" t="n"/>
      <c r="S1205" s="59">
        <f>SUM(O1205:R1205)</f>
        <v/>
      </c>
      <c r="T1205" s="52" t="n"/>
      <c r="U1205" s="53" t="n"/>
      <c r="V1205" s="58" t="n"/>
      <c r="W1205" s="58" t="n"/>
      <c r="X1205" s="58" t="n"/>
      <c r="Y1205" s="52" t="n"/>
      <c r="Z1205" s="58" t="n"/>
      <c r="AA1205" s="58" t="n"/>
      <c r="AB1205" s="58" t="n"/>
      <c r="AC1205" s="58" t="n"/>
      <c r="AD1205" s="53" t="n"/>
      <c r="AE1205" s="61">
        <f>SUMIFS([1]инфо!$D$15:$D$28,[1]инфо!$A$15:$A$28,F1205)</f>
        <v/>
      </c>
      <c r="AF1205" s="62">
        <f>IF(H1205=0,0,N1205/H1205)</f>
        <v/>
      </c>
      <c r="AG1205" s="63">
        <f>AF1205-AE1205</f>
        <v/>
      </c>
      <c r="AH1205" s="61">
        <f>SUMIFS([1]инфо!$E$15:$E$28,[1]инфо!$A$15:$A$28,F1205)</f>
        <v/>
      </c>
      <c r="AI1205" s="62">
        <f>IF(H1204=0,0,S1205/H1204)</f>
        <v/>
      </c>
      <c r="AJ1205" s="63">
        <f>AI1205-AH1205</f>
        <v/>
      </c>
      <c r="AK1205" s="61">
        <f>SUMIFS([1]инфо!$F$15:$F$28,[1]инфо!$A$15:$A$28,F1205)</f>
        <v/>
      </c>
      <c r="AL1205" s="64">
        <f>IF(H1205=0,0,Y1205/H1205)</f>
        <v/>
      </c>
      <c r="AM1205" s="63">
        <f>AL1205-AK1205</f>
        <v/>
      </c>
      <c r="AN1205" s="61">
        <f>SUMIFS([1]инфо!$G$15:$G$28,[1]инфо!$A$15:$A$28,F1205)</f>
        <v/>
      </c>
      <c r="AO1205" s="64">
        <f>IF(H1205=0,0,AA1205/H1205)</f>
        <v/>
      </c>
      <c r="AP1205" s="63">
        <f>AO1205-AN1205</f>
        <v/>
      </c>
      <c r="AQ1205" s="61">
        <f>SUMIFS([1]инфо!$H$15:$H$28,[1]инфо!$A$15:$A$28,F1205)</f>
        <v/>
      </c>
      <c r="AR1205" s="62">
        <f>IF(H1204=0,0,AC1205/H1204)</f>
        <v/>
      </c>
      <c r="AS1205" s="63">
        <f>AR1205-AQ1205</f>
        <v/>
      </c>
      <c r="AT1205" s="61">
        <f>SUMIFS([1]инфо!$I$15:$I$28,[1]инфо!$A$15:$A$28,F1205)</f>
        <v/>
      </c>
      <c r="AU1205" s="62">
        <f>IF(H1205=0,0,AD1205/H1205)</f>
        <v/>
      </c>
      <c r="AV1205" s="63">
        <f>AU1205-AT1205</f>
        <v/>
      </c>
      <c r="AX1205" s="59">
        <f>SUMIFS([1]инфо!$C$15:$C$28,[1]инфо!$A$15:$A$28,F1205)*H1204</f>
        <v/>
      </c>
    </row>
    <row r="1206">
      <c r="A1206" s="71">
        <f>A1204+1</f>
        <v/>
      </c>
      <c r="B1206" s="88" t="n"/>
      <c r="C1206" s="77" t="n"/>
      <c r="D1206" s="78" t="n"/>
      <c r="E1206" s="91" t="n"/>
      <c r="F1206" s="67" t="n"/>
      <c r="G1206" s="79" t="n"/>
      <c r="H1206" s="67" t="n"/>
      <c r="I1206" s="55" t="n"/>
      <c r="J1206" s="55" t="n"/>
      <c r="K1206" s="55" t="n"/>
      <c r="L1206" s="55" t="n"/>
      <c r="M1206" s="55" t="n"/>
      <c r="N1206" s="56" t="n"/>
      <c r="O1206" s="79" t="n"/>
      <c r="P1206" s="79" t="n"/>
      <c r="Q1206" s="79" t="n"/>
      <c r="R1206" s="79" t="n"/>
      <c r="S1206" s="80">
        <f>SUM(O1206:R1206)</f>
        <v/>
      </c>
      <c r="T1206" s="77" t="n"/>
      <c r="U1206" s="78" t="n"/>
      <c r="V1206" s="79" t="n"/>
      <c r="W1206" s="79" t="n"/>
      <c r="X1206" s="79" t="n"/>
      <c r="Y1206" s="77" t="n"/>
      <c r="Z1206" s="79" t="n"/>
      <c r="AA1206" s="79" t="n"/>
      <c r="AB1206" s="79" t="n"/>
      <c r="AC1206" s="79" t="n"/>
      <c r="AD1206" s="78" t="n"/>
      <c r="AE1206" s="81">
        <f>SUMIFS([1]инфо!$D$15:$D$28,[1]инфо!$A$15:$A$28,F1206)</f>
        <v/>
      </c>
      <c r="AF1206" s="62">
        <f>IF(H1206=0,0,N1206/H1206)</f>
        <v/>
      </c>
      <c r="AG1206" s="82">
        <f>AF1206-AE1206</f>
        <v/>
      </c>
      <c r="AH1206" s="81">
        <f>SUMIFS([1]инфо!$E$15:$E$28,[1]инфо!$A$15:$A$28,F1206)</f>
        <v/>
      </c>
      <c r="AI1206" s="85">
        <f>IF(H1205=0,0,S1206/H1205)</f>
        <v/>
      </c>
      <c r="AJ1206" s="82">
        <f>AI1206-AH1206</f>
        <v/>
      </c>
      <c r="AK1206" s="81">
        <f>SUMIFS([1]инфо!$F$15:$F$28,[1]инфо!$A$15:$A$28,F1206)</f>
        <v/>
      </c>
      <c r="AL1206" s="64">
        <f>IF(H1206=0,0,Y1206/H1206)</f>
        <v/>
      </c>
      <c r="AM1206" s="82">
        <f>AL1206-AK1206</f>
        <v/>
      </c>
      <c r="AN1206" s="81">
        <f>SUMIFS([1]инфо!$G$15:$G$28,[1]инфо!$A$15:$A$28,F1206)</f>
        <v/>
      </c>
      <c r="AO1206" s="64">
        <f>IF(H1206=0,0,AA1206/H1206)</f>
        <v/>
      </c>
      <c r="AP1206" s="82">
        <f>AO1206-AN1206</f>
        <v/>
      </c>
      <c r="AQ1206" s="81">
        <f>SUMIFS([1]инфо!$H$15:$H$28,[1]инфо!$A$15:$A$28,F1206)</f>
        <v/>
      </c>
      <c r="AR1206" s="85">
        <f>IF(H1205=0,0,AC1206/H1205)</f>
        <v/>
      </c>
      <c r="AS1206" s="82">
        <f>AR1206-AQ1206</f>
        <v/>
      </c>
      <c r="AT1206" s="81">
        <f>SUMIFS([1]инфо!$I$15:$I$28,[1]инфо!$A$15:$A$28,F1206)</f>
        <v/>
      </c>
      <c r="AU1206" s="62">
        <f>IF(H1206=0,0,AD1206/H1206)</f>
        <v/>
      </c>
      <c r="AV1206" s="82">
        <f>AU1206-AT1206</f>
        <v/>
      </c>
      <c r="AX1206" s="80">
        <f>SUMIFS([1]инфо!$C$15:$C$28,[1]инфо!$A$15:$A$28,F1206)*H1205</f>
        <v/>
      </c>
    </row>
    <row r="1207">
      <c r="A1207" s="71">
        <f>A1205+1</f>
        <v/>
      </c>
      <c r="B1207" s="89" t="n"/>
      <c r="C1207" s="72" t="n"/>
      <c r="D1207" s="73" t="n"/>
      <c r="E1207" s="91" t="n"/>
      <c r="F1207" s="67" t="n"/>
      <c r="G1207" s="74" t="n"/>
      <c r="H1207" s="55" t="n"/>
      <c r="I1207" s="55" t="n"/>
      <c r="J1207" s="55" t="n"/>
      <c r="K1207" s="55" t="n"/>
      <c r="L1207" s="55" t="n"/>
      <c r="M1207" s="55" t="n"/>
      <c r="N1207" s="67" t="n"/>
      <c r="O1207" s="74" t="n"/>
      <c r="P1207" s="74" t="n"/>
      <c r="Q1207" s="74" t="n"/>
      <c r="R1207" s="74" t="n"/>
      <c r="S1207" s="70">
        <f>SUM(O1207:R1207)</f>
        <v/>
      </c>
      <c r="T1207" s="72" t="n"/>
      <c r="U1207" s="73" t="n"/>
      <c r="V1207" s="74" t="n"/>
      <c r="W1207" s="74" t="n"/>
      <c r="X1207" s="74" t="n"/>
      <c r="Y1207" s="72" t="n"/>
      <c r="Z1207" s="74" t="n"/>
      <c r="AA1207" s="74" t="n"/>
      <c r="AB1207" s="74" t="n"/>
      <c r="AC1207" s="74" t="n"/>
      <c r="AD1207" s="73" t="n"/>
      <c r="AE1207" s="75">
        <f>SUMIFS([1]инфо!$D$15:$D$28,[1]инфо!$A$15:$A$28,F1207)</f>
        <v/>
      </c>
      <c r="AF1207" s="62">
        <f>IF(H1207=0,0,N1207/H1207)</f>
        <v/>
      </c>
      <c r="AG1207" s="76">
        <f>AF1207-AE1207</f>
        <v/>
      </c>
      <c r="AH1207" s="75">
        <f>SUMIFS([1]инфо!$E$15:$E$28,[1]инфо!$A$15:$A$28,F1207)</f>
        <v/>
      </c>
      <c r="AI1207" s="64">
        <f>IF(H1206=0,0,S1207/H1206)</f>
        <v/>
      </c>
      <c r="AJ1207" s="76">
        <f>AI1207-AH1207</f>
        <v/>
      </c>
      <c r="AK1207" s="75">
        <f>SUMIFS([1]инфо!$F$15:$F$28,[1]инфо!$A$15:$A$28,F1207)</f>
        <v/>
      </c>
      <c r="AL1207" s="64">
        <f>IF(H1207=0,0,Y1207/H1207)</f>
        <v/>
      </c>
      <c r="AM1207" s="76">
        <f>AL1207-AK1207</f>
        <v/>
      </c>
      <c r="AN1207" s="75">
        <f>SUMIFS([1]инфо!$G$15:$G$28,[1]инфо!$A$15:$A$28,F1207)</f>
        <v/>
      </c>
      <c r="AO1207" s="64">
        <f>IF(H1207=0,0,AA1207/H1207)</f>
        <v/>
      </c>
      <c r="AP1207" s="76">
        <f>AO1207-AN1207</f>
        <v/>
      </c>
      <c r="AQ1207" s="75">
        <f>SUMIFS([1]инфо!$H$15:$H$28,[1]инфо!$A$15:$A$28,F1207)</f>
        <v/>
      </c>
      <c r="AR1207" s="64">
        <f>IF(H1206=0,0,AC1207/H1206)</f>
        <v/>
      </c>
      <c r="AS1207" s="76">
        <f>AR1207-AQ1207</f>
        <v/>
      </c>
      <c r="AT1207" s="75">
        <f>SUMIFS([1]инфо!$I$15:$I$28,[1]инфо!$A$15:$A$28,F1207)</f>
        <v/>
      </c>
      <c r="AU1207" s="62">
        <f>IF(H1207=0,0,AD1207/H1207)</f>
        <v/>
      </c>
      <c r="AV1207" s="76">
        <f>AU1207-AT1207</f>
        <v/>
      </c>
      <c r="AX1207" s="70">
        <f>SUMIFS([1]инфо!$C$15:$C$28,[1]инфо!$A$15:$A$28,F1207)*H1206</f>
        <v/>
      </c>
    </row>
    <row r="1208">
      <c r="A1208" s="71">
        <f>A1206+1</f>
        <v/>
      </c>
      <c r="B1208" s="90" t="n"/>
      <c r="C1208" s="52" t="n"/>
      <c r="D1208" s="53" t="n"/>
      <c r="E1208" s="91" t="n"/>
      <c r="F1208" s="67" t="n"/>
      <c r="G1208" s="58" t="n"/>
      <c r="H1208" s="55" t="n"/>
      <c r="I1208" s="55" t="n"/>
      <c r="J1208" s="55" t="n"/>
      <c r="K1208" s="55" t="n"/>
      <c r="L1208" s="55" t="n"/>
      <c r="M1208" s="55" t="n"/>
      <c r="N1208" s="55" t="n"/>
      <c r="O1208" s="58" t="n"/>
      <c r="P1208" s="58" t="n"/>
      <c r="Q1208" s="58" t="n"/>
      <c r="R1208" s="58" t="n"/>
      <c r="S1208" s="59">
        <f>SUM(O1208:R1208)</f>
        <v/>
      </c>
      <c r="T1208" s="52" t="n"/>
      <c r="U1208" s="53" t="n"/>
      <c r="V1208" s="58" t="n"/>
      <c r="W1208" s="58" t="n"/>
      <c r="X1208" s="58" t="n"/>
      <c r="Y1208" s="52" t="n"/>
      <c r="Z1208" s="58" t="n"/>
      <c r="AA1208" s="58" t="n"/>
      <c r="AB1208" s="58" t="n"/>
      <c r="AC1208" s="58" t="n"/>
      <c r="AD1208" s="53" t="n"/>
      <c r="AE1208" s="61">
        <f>SUMIFS([1]инфо!$D$15:$D$28,[1]инфо!$A$15:$A$28,F1208)</f>
        <v/>
      </c>
      <c r="AF1208" s="62">
        <f>IF(H1208=0,0,N1208/H1208)</f>
        <v/>
      </c>
      <c r="AG1208" s="63">
        <f>AF1208-AE1208</f>
        <v/>
      </c>
      <c r="AH1208" s="61">
        <f>SUMIFS([1]инфо!$E$15:$E$28,[1]инфо!$A$15:$A$28,F1208)</f>
        <v/>
      </c>
      <c r="AI1208" s="62">
        <f>IF(H1207=0,0,S1208/H1207)</f>
        <v/>
      </c>
      <c r="AJ1208" s="63">
        <f>AI1208-AH1208</f>
        <v/>
      </c>
      <c r="AK1208" s="61">
        <f>SUMIFS([1]инфо!$F$15:$F$28,[1]инфо!$A$15:$A$28,F1208)</f>
        <v/>
      </c>
      <c r="AL1208" s="64">
        <f>IF(H1208=0,0,Y1208/H1208)</f>
        <v/>
      </c>
      <c r="AM1208" s="63">
        <f>AL1208-AK1208</f>
        <v/>
      </c>
      <c r="AN1208" s="61">
        <f>SUMIFS([1]инфо!$G$15:$G$28,[1]инфо!$A$15:$A$28,F1208)</f>
        <v/>
      </c>
      <c r="AO1208" s="64">
        <f>IF(H1208=0,0,AA1208/H1208)</f>
        <v/>
      </c>
      <c r="AP1208" s="63">
        <f>AO1208-AN1208</f>
        <v/>
      </c>
      <c r="AQ1208" s="61">
        <f>SUMIFS([1]инфо!$H$15:$H$28,[1]инфо!$A$15:$A$28,F1208)</f>
        <v/>
      </c>
      <c r="AR1208" s="62">
        <f>IF(H1207=0,0,AC1208/H1207)</f>
        <v/>
      </c>
      <c r="AS1208" s="63">
        <f>AR1208-AQ1208</f>
        <v/>
      </c>
      <c r="AT1208" s="61">
        <f>SUMIFS([1]инфо!$I$15:$I$28,[1]инфо!$A$15:$A$28,F1208)</f>
        <v/>
      </c>
      <c r="AU1208" s="62">
        <f>IF(H1208=0,0,AD1208/H1208)</f>
        <v/>
      </c>
      <c r="AV1208" s="63">
        <f>AU1208-AT1208</f>
        <v/>
      </c>
      <c r="AX1208" s="59">
        <f>SUMIFS([1]инфо!$C$15:$C$28,[1]инфо!$A$15:$A$28,F1208)*H1207</f>
        <v/>
      </c>
    </row>
    <row r="1209">
      <c r="A1209" s="71">
        <f>A1207+1</f>
        <v/>
      </c>
      <c r="B1209" s="90" t="n"/>
      <c r="C1209" s="52" t="n"/>
      <c r="D1209" s="53" t="n"/>
      <c r="E1209" s="91" t="n"/>
      <c r="F1209" s="67" t="n"/>
      <c r="G1209" s="58" t="n"/>
      <c r="H1209" s="56" t="n"/>
      <c r="I1209" s="55" t="n"/>
      <c r="J1209" s="55" t="n"/>
      <c r="K1209" s="55" t="n"/>
      <c r="L1209" s="55" t="n"/>
      <c r="M1209" s="55" t="n"/>
      <c r="N1209" s="55" t="n"/>
      <c r="O1209" s="58" t="n"/>
      <c r="P1209" s="58" t="n"/>
      <c r="Q1209" s="58" t="n"/>
      <c r="R1209" s="58" t="n"/>
      <c r="S1209" s="59">
        <f>SUM(O1209:R1209)</f>
        <v/>
      </c>
      <c r="T1209" s="52" t="n"/>
      <c r="U1209" s="53" t="n"/>
      <c r="V1209" s="58" t="n"/>
      <c r="W1209" s="58" t="n"/>
      <c r="X1209" s="58" t="n"/>
      <c r="Y1209" s="52" t="n"/>
      <c r="Z1209" s="58" t="n"/>
      <c r="AA1209" s="58" t="n"/>
      <c r="AB1209" s="58" t="n"/>
      <c r="AC1209" s="58" t="n"/>
      <c r="AD1209" s="53" t="n"/>
      <c r="AE1209" s="61">
        <f>SUMIFS([1]инфо!$D$15:$D$28,[1]инфо!$A$15:$A$28,F1209)</f>
        <v/>
      </c>
      <c r="AF1209" s="62">
        <f>IF(H1209=0,0,N1209/H1209)</f>
        <v/>
      </c>
      <c r="AG1209" s="63">
        <f>AF1209-AE1209</f>
        <v/>
      </c>
      <c r="AH1209" s="61">
        <f>SUMIFS([1]инфо!$E$15:$E$28,[1]инфо!$A$15:$A$28,F1209)</f>
        <v/>
      </c>
      <c r="AI1209" s="62">
        <f>IF(H1208=0,0,S1209/H1208)</f>
        <v/>
      </c>
      <c r="AJ1209" s="63">
        <f>AI1209-AH1209</f>
        <v/>
      </c>
      <c r="AK1209" s="61">
        <f>SUMIFS([1]инфо!$F$15:$F$28,[1]инфо!$A$15:$A$28,F1209)</f>
        <v/>
      </c>
      <c r="AL1209" s="64">
        <f>IF(H1209=0,0,Y1209/H1209)</f>
        <v/>
      </c>
      <c r="AM1209" s="63">
        <f>AL1209-AK1209</f>
        <v/>
      </c>
      <c r="AN1209" s="61">
        <f>SUMIFS([1]инфо!$G$15:$G$28,[1]инфо!$A$15:$A$28,F1209)</f>
        <v/>
      </c>
      <c r="AO1209" s="64">
        <f>IF(H1209=0,0,AA1209/H1209)</f>
        <v/>
      </c>
      <c r="AP1209" s="63">
        <f>AO1209-AN1209</f>
        <v/>
      </c>
      <c r="AQ1209" s="61">
        <f>SUMIFS([1]инфо!$H$15:$H$28,[1]инфо!$A$15:$A$28,F1209)</f>
        <v/>
      </c>
      <c r="AR1209" s="62">
        <f>IF(H1208=0,0,AC1209/H1208)</f>
        <v/>
      </c>
      <c r="AS1209" s="63">
        <f>AR1209-AQ1209</f>
        <v/>
      </c>
      <c r="AT1209" s="61">
        <f>SUMIFS([1]инфо!$I$15:$I$28,[1]инфо!$A$15:$A$28,F1209)</f>
        <v/>
      </c>
      <c r="AU1209" s="62">
        <f>IF(H1209=0,0,AD1209/H1209)</f>
        <v/>
      </c>
      <c r="AV1209" s="63">
        <f>AU1209-AT1209</f>
        <v/>
      </c>
      <c r="AX1209" s="59">
        <f>SUMIFS([1]инфо!$C$15:$C$28,[1]инфо!$A$15:$A$28,F1209)*H1208</f>
        <v/>
      </c>
    </row>
    <row r="1210">
      <c r="A1210" s="71">
        <f>A1208+1</f>
        <v/>
      </c>
      <c r="B1210" s="88" t="n"/>
      <c r="C1210" s="77" t="n"/>
      <c r="D1210" s="78" t="n"/>
      <c r="E1210" s="91" t="n"/>
      <c r="F1210" s="67" t="n"/>
      <c r="G1210" s="79" t="n"/>
      <c r="H1210" s="67" t="n"/>
      <c r="I1210" s="55" t="n"/>
      <c r="J1210" s="55" t="n"/>
      <c r="K1210" s="55" t="n"/>
      <c r="L1210" s="55" t="n"/>
      <c r="M1210" s="55" t="n"/>
      <c r="N1210" s="56" t="n"/>
      <c r="O1210" s="79" t="n"/>
      <c r="P1210" s="79" t="n"/>
      <c r="Q1210" s="79" t="n"/>
      <c r="R1210" s="79" t="n"/>
      <c r="S1210" s="80">
        <f>SUM(O1210:R1210)</f>
        <v/>
      </c>
      <c r="T1210" s="77" t="n"/>
      <c r="U1210" s="78" t="n"/>
      <c r="V1210" s="79" t="n"/>
      <c r="W1210" s="79" t="n"/>
      <c r="X1210" s="79" t="n"/>
      <c r="Y1210" s="77" t="n"/>
      <c r="Z1210" s="79" t="n"/>
      <c r="AA1210" s="79" t="n"/>
      <c r="AB1210" s="79" t="n"/>
      <c r="AC1210" s="79" t="n"/>
      <c r="AD1210" s="78" t="n"/>
      <c r="AE1210" s="81">
        <f>SUMIFS([1]инфо!$D$15:$D$28,[1]инфо!$A$15:$A$28,F1210)</f>
        <v/>
      </c>
      <c r="AF1210" s="62">
        <f>IF(H1210=0,0,N1210/H1210)</f>
        <v/>
      </c>
      <c r="AG1210" s="82">
        <f>AF1210-AE1210</f>
        <v/>
      </c>
      <c r="AH1210" s="81">
        <f>SUMIFS([1]инфо!$E$15:$E$28,[1]инфо!$A$15:$A$28,F1210)</f>
        <v/>
      </c>
      <c r="AI1210" s="85">
        <f>IF(H1209=0,0,S1210/H1209)</f>
        <v/>
      </c>
      <c r="AJ1210" s="82">
        <f>AI1210-AH1210</f>
        <v/>
      </c>
      <c r="AK1210" s="81">
        <f>SUMIFS([1]инфо!$F$15:$F$28,[1]инфо!$A$15:$A$28,F1210)</f>
        <v/>
      </c>
      <c r="AL1210" s="64">
        <f>IF(H1210=0,0,Y1210/H1210)</f>
        <v/>
      </c>
      <c r="AM1210" s="82">
        <f>AL1210-AK1210</f>
        <v/>
      </c>
      <c r="AN1210" s="81">
        <f>SUMIFS([1]инфо!$G$15:$G$28,[1]инфо!$A$15:$A$28,F1210)</f>
        <v/>
      </c>
      <c r="AO1210" s="64">
        <f>IF(H1210=0,0,AA1210/H1210)</f>
        <v/>
      </c>
      <c r="AP1210" s="82">
        <f>AO1210-AN1210</f>
        <v/>
      </c>
      <c r="AQ1210" s="81">
        <f>SUMIFS([1]инфо!$H$15:$H$28,[1]инфо!$A$15:$A$28,F1210)</f>
        <v/>
      </c>
      <c r="AR1210" s="85">
        <f>IF(H1209=0,0,AC1210/H1209)</f>
        <v/>
      </c>
      <c r="AS1210" s="82">
        <f>AR1210-AQ1210</f>
        <v/>
      </c>
      <c r="AT1210" s="81">
        <f>SUMIFS([1]инфо!$I$15:$I$28,[1]инфо!$A$15:$A$28,F1210)</f>
        <v/>
      </c>
      <c r="AU1210" s="62">
        <f>IF(H1210=0,0,AD1210/H1210)</f>
        <v/>
      </c>
      <c r="AV1210" s="82">
        <f>AU1210-AT1210</f>
        <v/>
      </c>
      <c r="AX1210" s="80">
        <f>SUMIFS([1]инфо!$C$15:$C$28,[1]инфо!$A$15:$A$28,F1210)*H1209</f>
        <v/>
      </c>
    </row>
    <row r="1211">
      <c r="A1211" s="71">
        <f>A1209+1</f>
        <v/>
      </c>
      <c r="B1211" s="89" t="n"/>
      <c r="C1211" s="72" t="n"/>
      <c r="D1211" s="73" t="n"/>
      <c r="E1211" s="91" t="n"/>
      <c r="F1211" s="67" t="n"/>
      <c r="G1211" s="74" t="n"/>
      <c r="H1211" s="55" t="n"/>
      <c r="I1211" s="55" t="n"/>
      <c r="J1211" s="55" t="n"/>
      <c r="K1211" s="55" t="n"/>
      <c r="L1211" s="55" t="n"/>
      <c r="M1211" s="55" t="n"/>
      <c r="N1211" s="67" t="n"/>
      <c r="O1211" s="74" t="n"/>
      <c r="P1211" s="74" t="n"/>
      <c r="Q1211" s="74" t="n"/>
      <c r="R1211" s="74" t="n"/>
      <c r="S1211" s="70">
        <f>SUM(O1211:R1211)</f>
        <v/>
      </c>
      <c r="T1211" s="72" t="n"/>
      <c r="U1211" s="73" t="n"/>
      <c r="V1211" s="74" t="n"/>
      <c r="W1211" s="74" t="n"/>
      <c r="X1211" s="74" t="n"/>
      <c r="Y1211" s="72" t="n"/>
      <c r="Z1211" s="74" t="n"/>
      <c r="AA1211" s="74" t="n"/>
      <c r="AB1211" s="74" t="n"/>
      <c r="AC1211" s="74" t="n"/>
      <c r="AD1211" s="73" t="n"/>
      <c r="AE1211" s="75">
        <f>SUMIFS([1]инфо!$D$15:$D$28,[1]инфо!$A$15:$A$28,F1211)</f>
        <v/>
      </c>
      <c r="AF1211" s="62">
        <f>IF(H1211=0,0,N1211/H1211)</f>
        <v/>
      </c>
      <c r="AG1211" s="76">
        <f>AF1211-AE1211</f>
        <v/>
      </c>
      <c r="AH1211" s="75">
        <f>SUMIFS([1]инфо!$E$15:$E$28,[1]инфо!$A$15:$A$28,F1211)</f>
        <v/>
      </c>
      <c r="AI1211" s="64">
        <f>IF(H1210=0,0,S1211/H1210)</f>
        <v/>
      </c>
      <c r="AJ1211" s="76">
        <f>AI1211-AH1211</f>
        <v/>
      </c>
      <c r="AK1211" s="75">
        <f>SUMIFS([1]инфо!$F$15:$F$28,[1]инфо!$A$15:$A$28,F1211)</f>
        <v/>
      </c>
      <c r="AL1211" s="64">
        <f>IF(H1211=0,0,Y1211/H1211)</f>
        <v/>
      </c>
      <c r="AM1211" s="76">
        <f>AL1211-AK1211</f>
        <v/>
      </c>
      <c r="AN1211" s="75">
        <f>SUMIFS([1]инфо!$G$15:$G$28,[1]инфо!$A$15:$A$28,F1211)</f>
        <v/>
      </c>
      <c r="AO1211" s="64">
        <f>IF(H1211=0,0,AA1211/H1211)</f>
        <v/>
      </c>
      <c r="AP1211" s="76">
        <f>AO1211-AN1211</f>
        <v/>
      </c>
      <c r="AQ1211" s="75">
        <f>SUMIFS([1]инфо!$H$15:$H$28,[1]инфо!$A$15:$A$28,F1211)</f>
        <v/>
      </c>
      <c r="AR1211" s="64">
        <f>IF(H1210=0,0,AC1211/H1210)</f>
        <v/>
      </c>
      <c r="AS1211" s="76">
        <f>AR1211-AQ1211</f>
        <v/>
      </c>
      <c r="AT1211" s="75">
        <f>SUMIFS([1]инфо!$I$15:$I$28,[1]инфо!$A$15:$A$28,F1211)</f>
        <v/>
      </c>
      <c r="AU1211" s="62">
        <f>IF(H1211=0,0,AD1211/H1211)</f>
        <v/>
      </c>
      <c r="AV1211" s="76">
        <f>AU1211-AT1211</f>
        <v/>
      </c>
      <c r="AX1211" s="70">
        <f>SUMIFS([1]инфо!$C$15:$C$28,[1]инфо!$A$15:$A$28,F1211)*H1210</f>
        <v/>
      </c>
    </row>
    <row r="1212">
      <c r="A1212" s="71">
        <f>A1210+1</f>
        <v/>
      </c>
      <c r="B1212" s="90" t="n"/>
      <c r="C1212" s="52" t="n"/>
      <c r="D1212" s="53" t="n"/>
      <c r="E1212" s="91" t="n"/>
      <c r="F1212" s="67" t="n"/>
      <c r="G1212" s="58" t="n"/>
      <c r="H1212" s="55" t="n"/>
      <c r="I1212" s="55" t="n"/>
      <c r="J1212" s="55" t="n"/>
      <c r="K1212" s="55" t="n"/>
      <c r="L1212" s="55" t="n"/>
      <c r="M1212" s="55" t="n"/>
      <c r="N1212" s="55" t="n"/>
      <c r="O1212" s="58" t="n"/>
      <c r="P1212" s="58" t="n"/>
      <c r="Q1212" s="58" t="n"/>
      <c r="R1212" s="58" t="n"/>
      <c r="S1212" s="59">
        <f>SUM(O1212:R1212)</f>
        <v/>
      </c>
      <c r="T1212" s="52" t="n"/>
      <c r="U1212" s="53" t="n"/>
      <c r="V1212" s="58" t="n"/>
      <c r="W1212" s="58" t="n"/>
      <c r="X1212" s="58" t="n"/>
      <c r="Y1212" s="52" t="n"/>
      <c r="Z1212" s="58" t="n"/>
      <c r="AA1212" s="58" t="n"/>
      <c r="AB1212" s="58" t="n"/>
      <c r="AC1212" s="58" t="n"/>
      <c r="AD1212" s="53" t="n"/>
      <c r="AE1212" s="61">
        <f>SUMIFS([1]инфо!$D$15:$D$28,[1]инфо!$A$15:$A$28,F1212)</f>
        <v/>
      </c>
      <c r="AF1212" s="62">
        <f>IF(H1212=0,0,N1212/H1212)</f>
        <v/>
      </c>
      <c r="AG1212" s="63">
        <f>AF1212-AE1212</f>
        <v/>
      </c>
      <c r="AH1212" s="61">
        <f>SUMIFS([1]инфо!$E$15:$E$28,[1]инфо!$A$15:$A$28,F1212)</f>
        <v/>
      </c>
      <c r="AI1212" s="62">
        <f>IF(H1211=0,0,S1212/H1211)</f>
        <v/>
      </c>
      <c r="AJ1212" s="63">
        <f>AI1212-AH1212</f>
        <v/>
      </c>
      <c r="AK1212" s="61">
        <f>SUMIFS([1]инфо!$F$15:$F$28,[1]инфо!$A$15:$A$28,F1212)</f>
        <v/>
      </c>
      <c r="AL1212" s="64">
        <f>IF(H1212=0,0,Y1212/H1212)</f>
        <v/>
      </c>
      <c r="AM1212" s="63">
        <f>AL1212-AK1212</f>
        <v/>
      </c>
      <c r="AN1212" s="61">
        <f>SUMIFS([1]инфо!$G$15:$G$28,[1]инфо!$A$15:$A$28,F1212)</f>
        <v/>
      </c>
      <c r="AO1212" s="64">
        <f>IF(H1212=0,0,AA1212/H1212)</f>
        <v/>
      </c>
      <c r="AP1212" s="63">
        <f>AO1212-AN1212</f>
        <v/>
      </c>
      <c r="AQ1212" s="61">
        <f>SUMIFS([1]инфо!$H$15:$H$28,[1]инфо!$A$15:$A$28,F1212)</f>
        <v/>
      </c>
      <c r="AR1212" s="62">
        <f>IF(H1211=0,0,AC1212/H1211)</f>
        <v/>
      </c>
      <c r="AS1212" s="63">
        <f>AR1212-AQ1212</f>
        <v/>
      </c>
      <c r="AT1212" s="61">
        <f>SUMIFS([1]инфо!$I$15:$I$28,[1]инфо!$A$15:$A$28,F1212)</f>
        <v/>
      </c>
      <c r="AU1212" s="62">
        <f>IF(H1212=0,0,AD1212/H1212)</f>
        <v/>
      </c>
      <c r="AV1212" s="63">
        <f>AU1212-AT1212</f>
        <v/>
      </c>
      <c r="AX1212" s="59">
        <f>SUMIFS([1]инфо!$C$15:$C$28,[1]инфо!$A$15:$A$28,F1212)*H1211</f>
        <v/>
      </c>
    </row>
    <row r="1213">
      <c r="A1213" s="71">
        <f>A1211+1</f>
        <v/>
      </c>
      <c r="B1213" s="90" t="n"/>
      <c r="C1213" s="52" t="n"/>
      <c r="D1213" s="53" t="n"/>
      <c r="E1213" s="91" t="n"/>
      <c r="F1213" s="67" t="n"/>
      <c r="G1213" s="58" t="n"/>
      <c r="H1213" s="56" t="n"/>
      <c r="I1213" s="55" t="n"/>
      <c r="J1213" s="55" t="n"/>
      <c r="K1213" s="55" t="n"/>
      <c r="L1213" s="55" t="n"/>
      <c r="M1213" s="55" t="n"/>
      <c r="N1213" s="55" t="n"/>
      <c r="O1213" s="58" t="n"/>
      <c r="P1213" s="58" t="n"/>
      <c r="Q1213" s="58" t="n"/>
      <c r="R1213" s="58" t="n"/>
      <c r="S1213" s="59">
        <f>SUM(O1213:R1213)</f>
        <v/>
      </c>
      <c r="T1213" s="52" t="n"/>
      <c r="U1213" s="53" t="n"/>
      <c r="V1213" s="58" t="n"/>
      <c r="W1213" s="58" t="n"/>
      <c r="X1213" s="58" t="n"/>
      <c r="Y1213" s="52" t="n"/>
      <c r="Z1213" s="58" t="n"/>
      <c r="AA1213" s="58" t="n"/>
      <c r="AB1213" s="58" t="n"/>
      <c r="AC1213" s="58" t="n"/>
      <c r="AD1213" s="53" t="n"/>
      <c r="AE1213" s="61">
        <f>SUMIFS([1]инфо!$D$15:$D$28,[1]инфо!$A$15:$A$28,F1213)</f>
        <v/>
      </c>
      <c r="AF1213" s="62">
        <f>IF(H1213=0,0,N1213/H1213)</f>
        <v/>
      </c>
      <c r="AG1213" s="63">
        <f>AF1213-AE1213</f>
        <v/>
      </c>
      <c r="AH1213" s="61">
        <f>SUMIFS([1]инфо!$E$15:$E$28,[1]инфо!$A$15:$A$28,F1213)</f>
        <v/>
      </c>
      <c r="AI1213" s="62">
        <f>IF(H1212=0,0,S1213/H1212)</f>
        <v/>
      </c>
      <c r="AJ1213" s="63">
        <f>AI1213-AH1213</f>
        <v/>
      </c>
      <c r="AK1213" s="61">
        <f>SUMIFS([1]инфо!$F$15:$F$28,[1]инфо!$A$15:$A$28,F1213)</f>
        <v/>
      </c>
      <c r="AL1213" s="64">
        <f>IF(H1213=0,0,Y1213/H1213)</f>
        <v/>
      </c>
      <c r="AM1213" s="63">
        <f>AL1213-AK1213</f>
        <v/>
      </c>
      <c r="AN1213" s="61">
        <f>SUMIFS([1]инфо!$G$15:$G$28,[1]инфо!$A$15:$A$28,F1213)</f>
        <v/>
      </c>
      <c r="AO1213" s="64">
        <f>IF(H1213=0,0,AA1213/H1213)</f>
        <v/>
      </c>
      <c r="AP1213" s="63">
        <f>AO1213-AN1213</f>
        <v/>
      </c>
      <c r="AQ1213" s="61">
        <f>SUMIFS([1]инфо!$H$15:$H$28,[1]инфо!$A$15:$A$28,F1213)</f>
        <v/>
      </c>
      <c r="AR1213" s="62">
        <f>IF(H1212=0,0,AC1213/H1212)</f>
        <v/>
      </c>
      <c r="AS1213" s="63">
        <f>AR1213-AQ1213</f>
        <v/>
      </c>
      <c r="AT1213" s="61">
        <f>SUMIFS([1]инфо!$I$15:$I$28,[1]инфо!$A$15:$A$28,F1213)</f>
        <v/>
      </c>
      <c r="AU1213" s="62">
        <f>IF(H1213=0,0,AD1213/H1213)</f>
        <v/>
      </c>
      <c r="AV1213" s="63">
        <f>AU1213-AT1213</f>
        <v/>
      </c>
      <c r="AX1213" s="59">
        <f>SUMIFS([1]инфо!$C$15:$C$28,[1]инфо!$A$15:$A$28,F1213)*H1212</f>
        <v/>
      </c>
    </row>
    <row r="1214">
      <c r="A1214" s="71">
        <f>A1212+1</f>
        <v/>
      </c>
      <c r="B1214" s="88" t="n"/>
      <c r="C1214" s="77" t="n"/>
      <c r="D1214" s="78" t="n"/>
      <c r="E1214" s="91" t="n"/>
      <c r="F1214" s="67" t="n"/>
      <c r="G1214" s="79" t="n"/>
      <c r="H1214" s="67" t="n"/>
      <c r="I1214" s="55" t="n"/>
      <c r="J1214" s="55" t="n"/>
      <c r="K1214" s="55" t="n"/>
      <c r="L1214" s="55" t="n"/>
      <c r="M1214" s="55" t="n"/>
      <c r="N1214" s="56" t="n"/>
      <c r="O1214" s="79" t="n"/>
      <c r="P1214" s="79" t="n"/>
      <c r="Q1214" s="79" t="n"/>
      <c r="R1214" s="79" t="n"/>
      <c r="S1214" s="80">
        <f>SUM(O1214:R1214)</f>
        <v/>
      </c>
      <c r="T1214" s="77" t="n"/>
      <c r="U1214" s="78" t="n"/>
      <c r="V1214" s="79" t="n"/>
      <c r="W1214" s="79" t="n"/>
      <c r="X1214" s="79" t="n"/>
      <c r="Y1214" s="77" t="n"/>
      <c r="Z1214" s="79" t="n"/>
      <c r="AA1214" s="79" t="n"/>
      <c r="AB1214" s="79" t="n"/>
      <c r="AC1214" s="79" t="n"/>
      <c r="AD1214" s="78" t="n"/>
      <c r="AE1214" s="81">
        <f>SUMIFS([1]инфо!$D$15:$D$28,[1]инфо!$A$15:$A$28,F1214)</f>
        <v/>
      </c>
      <c r="AF1214" s="62">
        <f>IF(H1214=0,0,N1214/H1214)</f>
        <v/>
      </c>
      <c r="AG1214" s="82">
        <f>AF1214-AE1214</f>
        <v/>
      </c>
      <c r="AH1214" s="81">
        <f>SUMIFS([1]инфо!$E$15:$E$28,[1]инфо!$A$15:$A$28,F1214)</f>
        <v/>
      </c>
      <c r="AI1214" s="85">
        <f>IF(H1213=0,0,S1214/H1213)</f>
        <v/>
      </c>
      <c r="AJ1214" s="82">
        <f>AI1214-AH1214</f>
        <v/>
      </c>
      <c r="AK1214" s="81">
        <f>SUMIFS([1]инфо!$F$15:$F$28,[1]инфо!$A$15:$A$28,F1214)</f>
        <v/>
      </c>
      <c r="AL1214" s="64">
        <f>IF(H1214=0,0,Y1214/H1214)</f>
        <v/>
      </c>
      <c r="AM1214" s="82">
        <f>AL1214-AK1214</f>
        <v/>
      </c>
      <c r="AN1214" s="81">
        <f>SUMIFS([1]инфо!$G$15:$G$28,[1]инфо!$A$15:$A$28,F1214)</f>
        <v/>
      </c>
      <c r="AO1214" s="64">
        <f>IF(H1214=0,0,AA1214/H1214)</f>
        <v/>
      </c>
      <c r="AP1214" s="82">
        <f>AO1214-AN1214</f>
        <v/>
      </c>
      <c r="AQ1214" s="81">
        <f>SUMIFS([1]инфо!$H$15:$H$28,[1]инфо!$A$15:$A$28,F1214)</f>
        <v/>
      </c>
      <c r="AR1214" s="85">
        <f>IF(H1213=0,0,AC1214/H1213)</f>
        <v/>
      </c>
      <c r="AS1214" s="82">
        <f>AR1214-AQ1214</f>
        <v/>
      </c>
      <c r="AT1214" s="81">
        <f>SUMIFS([1]инфо!$I$15:$I$28,[1]инфо!$A$15:$A$28,F1214)</f>
        <v/>
      </c>
      <c r="AU1214" s="62">
        <f>IF(H1214=0,0,AD1214/H1214)</f>
        <v/>
      </c>
      <c r="AV1214" s="82">
        <f>AU1214-AT1214</f>
        <v/>
      </c>
      <c r="AX1214" s="80">
        <f>SUMIFS([1]инфо!$C$15:$C$28,[1]инфо!$A$15:$A$28,F1214)*H1213</f>
        <v/>
      </c>
    </row>
    <row r="1215">
      <c r="A1215" s="71">
        <f>A1213+1</f>
        <v/>
      </c>
      <c r="B1215" s="89" t="n"/>
      <c r="C1215" s="72" t="n"/>
      <c r="D1215" s="73" t="n"/>
      <c r="E1215" s="91" t="n"/>
      <c r="F1215" s="67" t="n"/>
      <c r="G1215" s="74" t="n"/>
      <c r="H1215" s="55" t="n"/>
      <c r="I1215" s="55" t="n"/>
      <c r="J1215" s="55" t="n"/>
      <c r="K1215" s="55" t="n"/>
      <c r="L1215" s="55" t="n"/>
      <c r="M1215" s="55" t="n"/>
      <c r="N1215" s="67" t="n"/>
      <c r="O1215" s="74" t="n"/>
      <c r="P1215" s="74" t="n"/>
      <c r="Q1215" s="74" t="n"/>
      <c r="R1215" s="74" t="n"/>
      <c r="S1215" s="70">
        <f>SUM(O1215:R1215)</f>
        <v/>
      </c>
      <c r="T1215" s="72" t="n"/>
      <c r="U1215" s="73" t="n"/>
      <c r="V1215" s="74" t="n"/>
      <c r="W1215" s="74" t="n"/>
      <c r="X1215" s="74" t="n"/>
      <c r="Y1215" s="72" t="n"/>
      <c r="Z1215" s="74" t="n"/>
      <c r="AA1215" s="74" t="n"/>
      <c r="AB1215" s="74" t="n"/>
      <c r="AC1215" s="74" t="n"/>
      <c r="AD1215" s="73" t="n"/>
      <c r="AE1215" s="75">
        <f>SUMIFS([1]инфо!$D$15:$D$28,[1]инфо!$A$15:$A$28,F1215)</f>
        <v/>
      </c>
      <c r="AF1215" s="62">
        <f>IF(H1215=0,0,N1215/H1215)</f>
        <v/>
      </c>
      <c r="AG1215" s="76">
        <f>AF1215-AE1215</f>
        <v/>
      </c>
      <c r="AH1215" s="75">
        <f>SUMIFS([1]инфо!$E$15:$E$28,[1]инфо!$A$15:$A$28,F1215)</f>
        <v/>
      </c>
      <c r="AI1215" s="64">
        <f>IF(H1214=0,0,S1215/H1214)</f>
        <v/>
      </c>
      <c r="AJ1215" s="76">
        <f>AI1215-AH1215</f>
        <v/>
      </c>
      <c r="AK1215" s="75">
        <f>SUMIFS([1]инфо!$F$15:$F$28,[1]инфо!$A$15:$A$28,F1215)</f>
        <v/>
      </c>
      <c r="AL1215" s="64">
        <f>IF(H1215=0,0,Y1215/H1215)</f>
        <v/>
      </c>
      <c r="AM1215" s="76">
        <f>AL1215-AK1215</f>
        <v/>
      </c>
      <c r="AN1215" s="75">
        <f>SUMIFS([1]инфо!$G$15:$G$28,[1]инфо!$A$15:$A$28,F1215)</f>
        <v/>
      </c>
      <c r="AO1215" s="64">
        <f>IF(H1215=0,0,AA1215/H1215)</f>
        <v/>
      </c>
      <c r="AP1215" s="76">
        <f>AO1215-AN1215</f>
        <v/>
      </c>
      <c r="AQ1215" s="75">
        <f>SUMIFS([1]инфо!$H$15:$H$28,[1]инфо!$A$15:$A$28,F1215)</f>
        <v/>
      </c>
      <c r="AR1215" s="64">
        <f>IF(H1214=0,0,AC1215/H1214)</f>
        <v/>
      </c>
      <c r="AS1215" s="76">
        <f>AR1215-AQ1215</f>
        <v/>
      </c>
      <c r="AT1215" s="75">
        <f>SUMIFS([1]инфо!$I$15:$I$28,[1]инфо!$A$15:$A$28,F1215)</f>
        <v/>
      </c>
      <c r="AU1215" s="62">
        <f>IF(H1215=0,0,AD1215/H1215)</f>
        <v/>
      </c>
      <c r="AV1215" s="76">
        <f>AU1215-AT1215</f>
        <v/>
      </c>
      <c r="AX1215" s="70">
        <f>SUMIFS([1]инфо!$C$15:$C$28,[1]инфо!$A$15:$A$28,F1215)*H1214</f>
        <v/>
      </c>
    </row>
    <row r="1216">
      <c r="A1216" s="71">
        <f>A1214+1</f>
        <v/>
      </c>
      <c r="B1216" s="90" t="n"/>
      <c r="C1216" s="52" t="n"/>
      <c r="D1216" s="53" t="n"/>
      <c r="E1216" s="91" t="n"/>
      <c r="F1216" s="67" t="n"/>
      <c r="G1216" s="58" t="n"/>
      <c r="H1216" s="55" t="n"/>
      <c r="I1216" s="55" t="n"/>
      <c r="J1216" s="55" t="n"/>
      <c r="K1216" s="55" t="n"/>
      <c r="L1216" s="55" t="n"/>
      <c r="M1216" s="55" t="n"/>
      <c r="N1216" s="55" t="n"/>
      <c r="O1216" s="58" t="n"/>
      <c r="P1216" s="58" t="n"/>
      <c r="Q1216" s="58" t="n"/>
      <c r="R1216" s="58" t="n"/>
      <c r="S1216" s="59">
        <f>SUM(O1216:R1216)</f>
        <v/>
      </c>
      <c r="T1216" s="52" t="n"/>
      <c r="U1216" s="53" t="n"/>
      <c r="V1216" s="58" t="n"/>
      <c r="W1216" s="58" t="n"/>
      <c r="X1216" s="58" t="n"/>
      <c r="Y1216" s="52" t="n"/>
      <c r="Z1216" s="58" t="n"/>
      <c r="AA1216" s="58" t="n"/>
      <c r="AB1216" s="58" t="n"/>
      <c r="AC1216" s="58" t="n"/>
      <c r="AD1216" s="53" t="n"/>
      <c r="AE1216" s="61">
        <f>SUMIFS([1]инфо!$D$15:$D$28,[1]инфо!$A$15:$A$28,F1216)</f>
        <v/>
      </c>
      <c r="AF1216" s="62">
        <f>IF(H1216=0,0,N1216/H1216)</f>
        <v/>
      </c>
      <c r="AG1216" s="63">
        <f>AF1216-AE1216</f>
        <v/>
      </c>
      <c r="AH1216" s="61">
        <f>SUMIFS([1]инфо!$E$15:$E$28,[1]инфо!$A$15:$A$28,F1216)</f>
        <v/>
      </c>
      <c r="AI1216" s="62">
        <f>IF(H1215=0,0,S1216/H1215)</f>
        <v/>
      </c>
      <c r="AJ1216" s="63">
        <f>AI1216-AH1216</f>
        <v/>
      </c>
      <c r="AK1216" s="61">
        <f>SUMIFS([1]инфо!$F$15:$F$28,[1]инфо!$A$15:$A$28,F1216)</f>
        <v/>
      </c>
      <c r="AL1216" s="64">
        <f>IF(H1216=0,0,Y1216/H1216)</f>
        <v/>
      </c>
      <c r="AM1216" s="63">
        <f>AL1216-AK1216</f>
        <v/>
      </c>
      <c r="AN1216" s="61">
        <f>SUMIFS([1]инфо!$G$15:$G$28,[1]инфо!$A$15:$A$28,F1216)</f>
        <v/>
      </c>
      <c r="AO1216" s="64">
        <f>IF(H1216=0,0,AA1216/H1216)</f>
        <v/>
      </c>
      <c r="AP1216" s="63">
        <f>AO1216-AN1216</f>
        <v/>
      </c>
      <c r="AQ1216" s="61">
        <f>SUMIFS([1]инфо!$H$15:$H$28,[1]инфо!$A$15:$A$28,F1216)</f>
        <v/>
      </c>
      <c r="AR1216" s="62">
        <f>IF(H1215=0,0,AC1216/H1215)</f>
        <v/>
      </c>
      <c r="AS1216" s="63">
        <f>AR1216-AQ1216</f>
        <v/>
      </c>
      <c r="AT1216" s="61">
        <f>SUMIFS([1]инфо!$I$15:$I$28,[1]инфо!$A$15:$A$28,F1216)</f>
        <v/>
      </c>
      <c r="AU1216" s="62">
        <f>IF(H1216=0,0,AD1216/H1216)</f>
        <v/>
      </c>
      <c r="AV1216" s="63">
        <f>AU1216-AT1216</f>
        <v/>
      </c>
      <c r="AX1216" s="59">
        <f>SUMIFS([1]инфо!$C$15:$C$28,[1]инфо!$A$15:$A$28,F1216)*H1215</f>
        <v/>
      </c>
    </row>
    <row r="1217">
      <c r="A1217" s="71">
        <f>A1215+1</f>
        <v/>
      </c>
      <c r="B1217" s="90" t="n"/>
      <c r="C1217" s="52" t="n"/>
      <c r="D1217" s="53" t="n"/>
      <c r="E1217" s="91" t="n"/>
      <c r="F1217" s="67" t="n"/>
      <c r="G1217" s="58" t="n"/>
      <c r="H1217" s="56" t="n"/>
      <c r="I1217" s="55" t="n"/>
      <c r="J1217" s="55" t="n"/>
      <c r="K1217" s="55" t="n"/>
      <c r="L1217" s="55" t="n"/>
      <c r="M1217" s="55" t="n"/>
      <c r="N1217" s="55" t="n"/>
      <c r="O1217" s="58" t="n"/>
      <c r="P1217" s="58" t="n"/>
      <c r="Q1217" s="58" t="n"/>
      <c r="R1217" s="58" t="n"/>
      <c r="S1217" s="59">
        <f>SUM(O1217:R1217)</f>
        <v/>
      </c>
      <c r="T1217" s="52" t="n"/>
      <c r="U1217" s="53" t="n"/>
      <c r="V1217" s="58" t="n"/>
      <c r="W1217" s="58" t="n"/>
      <c r="X1217" s="58" t="n"/>
      <c r="Y1217" s="52" t="n"/>
      <c r="Z1217" s="58" t="n"/>
      <c r="AA1217" s="58" t="n"/>
      <c r="AB1217" s="58" t="n"/>
      <c r="AC1217" s="58" t="n"/>
      <c r="AD1217" s="53" t="n"/>
      <c r="AE1217" s="61">
        <f>SUMIFS([1]инфо!$D$15:$D$28,[1]инфо!$A$15:$A$28,F1217)</f>
        <v/>
      </c>
      <c r="AF1217" s="62">
        <f>IF(H1217=0,0,N1217/H1217)</f>
        <v/>
      </c>
      <c r="AG1217" s="63">
        <f>AF1217-AE1217</f>
        <v/>
      </c>
      <c r="AH1217" s="61">
        <f>SUMIFS([1]инфо!$E$15:$E$28,[1]инфо!$A$15:$A$28,F1217)</f>
        <v/>
      </c>
      <c r="AI1217" s="62">
        <f>IF(H1216=0,0,S1217/H1216)</f>
        <v/>
      </c>
      <c r="AJ1217" s="63">
        <f>AI1217-AH1217</f>
        <v/>
      </c>
      <c r="AK1217" s="61">
        <f>SUMIFS([1]инфо!$F$15:$F$28,[1]инфо!$A$15:$A$28,F1217)</f>
        <v/>
      </c>
      <c r="AL1217" s="64">
        <f>IF(H1217=0,0,Y1217/H1217)</f>
        <v/>
      </c>
      <c r="AM1217" s="63">
        <f>AL1217-AK1217</f>
        <v/>
      </c>
      <c r="AN1217" s="61">
        <f>SUMIFS([1]инфо!$G$15:$G$28,[1]инфо!$A$15:$A$28,F1217)</f>
        <v/>
      </c>
      <c r="AO1217" s="64">
        <f>IF(H1217=0,0,AA1217/H1217)</f>
        <v/>
      </c>
      <c r="AP1217" s="63">
        <f>AO1217-AN1217</f>
        <v/>
      </c>
      <c r="AQ1217" s="61">
        <f>SUMIFS([1]инфо!$H$15:$H$28,[1]инфо!$A$15:$A$28,F1217)</f>
        <v/>
      </c>
      <c r="AR1217" s="62">
        <f>IF(H1216=0,0,AC1217/H1216)</f>
        <v/>
      </c>
      <c r="AS1217" s="63">
        <f>AR1217-AQ1217</f>
        <v/>
      </c>
      <c r="AT1217" s="61">
        <f>SUMIFS([1]инфо!$I$15:$I$28,[1]инфо!$A$15:$A$28,F1217)</f>
        <v/>
      </c>
      <c r="AU1217" s="62">
        <f>IF(H1217=0,0,AD1217/H1217)</f>
        <v/>
      </c>
      <c r="AV1217" s="63">
        <f>AU1217-AT1217</f>
        <v/>
      </c>
      <c r="AX1217" s="59">
        <f>SUMIFS([1]инфо!$C$15:$C$28,[1]инфо!$A$15:$A$28,F1217)*H1216</f>
        <v/>
      </c>
    </row>
    <row r="1218">
      <c r="A1218" s="71">
        <f>A1216+1</f>
        <v/>
      </c>
      <c r="B1218" s="88" t="n"/>
      <c r="C1218" s="77" t="n"/>
      <c r="D1218" s="78" t="n"/>
      <c r="E1218" s="91" t="n"/>
      <c r="F1218" s="67" t="n"/>
      <c r="G1218" s="79" t="n"/>
      <c r="H1218" s="67" t="n"/>
      <c r="I1218" s="55" t="n"/>
      <c r="J1218" s="55" t="n"/>
      <c r="K1218" s="55" t="n"/>
      <c r="L1218" s="55" t="n"/>
      <c r="M1218" s="55" t="n"/>
      <c r="N1218" s="56" t="n"/>
      <c r="O1218" s="79" t="n"/>
      <c r="P1218" s="79" t="n"/>
      <c r="Q1218" s="79" t="n"/>
      <c r="R1218" s="79" t="n"/>
      <c r="S1218" s="80">
        <f>SUM(O1218:R1218)</f>
        <v/>
      </c>
      <c r="T1218" s="77" t="n"/>
      <c r="U1218" s="78" t="n"/>
      <c r="V1218" s="79" t="n"/>
      <c r="W1218" s="79" t="n"/>
      <c r="X1218" s="79" t="n"/>
      <c r="Y1218" s="77" t="n"/>
      <c r="Z1218" s="79" t="n"/>
      <c r="AA1218" s="79" t="n"/>
      <c r="AB1218" s="79" t="n"/>
      <c r="AC1218" s="79" t="n"/>
      <c r="AD1218" s="78" t="n"/>
      <c r="AE1218" s="81">
        <f>SUMIFS([1]инфо!$D$15:$D$28,[1]инфо!$A$15:$A$28,F1218)</f>
        <v/>
      </c>
      <c r="AF1218" s="62">
        <f>IF(H1218=0,0,N1218/H1218)</f>
        <v/>
      </c>
      <c r="AG1218" s="82">
        <f>AF1218-AE1218</f>
        <v/>
      </c>
      <c r="AH1218" s="81">
        <f>SUMIFS([1]инфо!$E$15:$E$28,[1]инфо!$A$15:$A$28,F1218)</f>
        <v/>
      </c>
      <c r="AI1218" s="85">
        <f>IF(H1217=0,0,S1218/H1217)</f>
        <v/>
      </c>
      <c r="AJ1218" s="82">
        <f>AI1218-AH1218</f>
        <v/>
      </c>
      <c r="AK1218" s="81">
        <f>SUMIFS([1]инфо!$F$15:$F$28,[1]инфо!$A$15:$A$28,F1218)</f>
        <v/>
      </c>
      <c r="AL1218" s="64">
        <f>IF(H1218=0,0,Y1218/H1218)</f>
        <v/>
      </c>
      <c r="AM1218" s="82">
        <f>AL1218-AK1218</f>
        <v/>
      </c>
      <c r="AN1218" s="81">
        <f>SUMIFS([1]инфо!$G$15:$G$28,[1]инфо!$A$15:$A$28,F1218)</f>
        <v/>
      </c>
      <c r="AO1218" s="64">
        <f>IF(H1218=0,0,AA1218/H1218)</f>
        <v/>
      </c>
      <c r="AP1218" s="82">
        <f>AO1218-AN1218</f>
        <v/>
      </c>
      <c r="AQ1218" s="81">
        <f>SUMIFS([1]инфо!$H$15:$H$28,[1]инфо!$A$15:$A$28,F1218)</f>
        <v/>
      </c>
      <c r="AR1218" s="85">
        <f>IF(H1217=0,0,AC1218/H1217)</f>
        <v/>
      </c>
      <c r="AS1218" s="82">
        <f>AR1218-AQ1218</f>
        <v/>
      </c>
      <c r="AT1218" s="81">
        <f>SUMIFS([1]инфо!$I$15:$I$28,[1]инфо!$A$15:$A$28,F1218)</f>
        <v/>
      </c>
      <c r="AU1218" s="62">
        <f>IF(H1218=0,0,AD1218/H1218)</f>
        <v/>
      </c>
      <c r="AV1218" s="82">
        <f>AU1218-AT1218</f>
        <v/>
      </c>
      <c r="AX1218" s="80">
        <f>SUMIFS([1]инфо!$C$15:$C$28,[1]инфо!$A$15:$A$28,F1218)*H1217</f>
        <v/>
      </c>
    </row>
    <row r="1219">
      <c r="A1219" s="71">
        <f>A1217+1</f>
        <v/>
      </c>
      <c r="B1219" s="89" t="n"/>
      <c r="C1219" s="72" t="n"/>
      <c r="D1219" s="73" t="n"/>
      <c r="E1219" s="91" t="n"/>
      <c r="F1219" s="67" t="n"/>
      <c r="G1219" s="74" t="n"/>
      <c r="H1219" s="55" t="n"/>
      <c r="I1219" s="55" t="n"/>
      <c r="J1219" s="55" t="n"/>
      <c r="K1219" s="55" t="n"/>
      <c r="L1219" s="55" t="n"/>
      <c r="M1219" s="55" t="n"/>
      <c r="N1219" s="67" t="n"/>
      <c r="O1219" s="74" t="n"/>
      <c r="P1219" s="74" t="n"/>
      <c r="Q1219" s="74" t="n"/>
      <c r="R1219" s="74" t="n"/>
      <c r="S1219" s="70">
        <f>SUM(O1219:R1219)</f>
        <v/>
      </c>
      <c r="T1219" s="72" t="n"/>
      <c r="U1219" s="73" t="n"/>
      <c r="V1219" s="74" t="n"/>
      <c r="W1219" s="74" t="n"/>
      <c r="X1219" s="74" t="n"/>
      <c r="Y1219" s="72" t="n"/>
      <c r="Z1219" s="74" t="n"/>
      <c r="AA1219" s="74" t="n"/>
      <c r="AB1219" s="74" t="n"/>
      <c r="AC1219" s="74" t="n"/>
      <c r="AD1219" s="73" t="n"/>
      <c r="AE1219" s="75">
        <f>SUMIFS([1]инфо!$D$15:$D$28,[1]инфо!$A$15:$A$28,F1219)</f>
        <v/>
      </c>
      <c r="AF1219" s="62">
        <f>IF(H1219=0,0,N1219/H1219)</f>
        <v/>
      </c>
      <c r="AG1219" s="76">
        <f>AF1219-AE1219</f>
        <v/>
      </c>
      <c r="AH1219" s="75">
        <f>SUMIFS([1]инфо!$E$15:$E$28,[1]инфо!$A$15:$A$28,F1219)</f>
        <v/>
      </c>
      <c r="AI1219" s="64">
        <f>IF(H1218=0,0,S1219/H1218)</f>
        <v/>
      </c>
      <c r="AJ1219" s="76">
        <f>AI1219-AH1219</f>
        <v/>
      </c>
      <c r="AK1219" s="75">
        <f>SUMIFS([1]инфо!$F$15:$F$28,[1]инфо!$A$15:$A$28,F1219)</f>
        <v/>
      </c>
      <c r="AL1219" s="64">
        <f>IF(H1219=0,0,Y1219/H1219)</f>
        <v/>
      </c>
      <c r="AM1219" s="76">
        <f>AL1219-AK1219</f>
        <v/>
      </c>
      <c r="AN1219" s="75">
        <f>SUMIFS([1]инфо!$G$15:$G$28,[1]инфо!$A$15:$A$28,F1219)</f>
        <v/>
      </c>
      <c r="AO1219" s="64">
        <f>IF(H1219=0,0,AA1219/H1219)</f>
        <v/>
      </c>
      <c r="AP1219" s="76">
        <f>AO1219-AN1219</f>
        <v/>
      </c>
      <c r="AQ1219" s="75">
        <f>SUMIFS([1]инфо!$H$15:$H$28,[1]инфо!$A$15:$A$28,F1219)</f>
        <v/>
      </c>
      <c r="AR1219" s="64">
        <f>IF(H1218=0,0,AC1219/H1218)</f>
        <v/>
      </c>
      <c r="AS1219" s="76">
        <f>AR1219-AQ1219</f>
        <v/>
      </c>
      <c r="AT1219" s="75">
        <f>SUMIFS([1]инфо!$I$15:$I$28,[1]инфо!$A$15:$A$28,F1219)</f>
        <v/>
      </c>
      <c r="AU1219" s="62">
        <f>IF(H1219=0,0,AD1219/H1219)</f>
        <v/>
      </c>
      <c r="AV1219" s="76">
        <f>AU1219-AT1219</f>
        <v/>
      </c>
      <c r="AX1219" s="70">
        <f>SUMIFS([1]инфо!$C$15:$C$28,[1]инфо!$A$15:$A$28,F1219)*H1218</f>
        <v/>
      </c>
    </row>
    <row r="1220">
      <c r="A1220" s="71">
        <f>A1218+1</f>
        <v/>
      </c>
      <c r="B1220" s="90" t="n"/>
      <c r="C1220" s="52" t="n"/>
      <c r="D1220" s="53" t="n"/>
      <c r="E1220" s="91" t="n"/>
      <c r="F1220" s="67" t="n"/>
      <c r="G1220" s="58" t="n"/>
      <c r="H1220" s="55" t="n"/>
      <c r="I1220" s="55" t="n"/>
      <c r="J1220" s="55" t="n"/>
      <c r="K1220" s="55" t="n"/>
      <c r="L1220" s="55" t="n"/>
      <c r="M1220" s="55" t="n"/>
      <c r="N1220" s="55" t="n"/>
      <c r="O1220" s="58" t="n"/>
      <c r="P1220" s="58" t="n"/>
      <c r="Q1220" s="58" t="n"/>
      <c r="R1220" s="58" t="n"/>
      <c r="S1220" s="59">
        <f>SUM(O1220:R1220)</f>
        <v/>
      </c>
      <c r="T1220" s="52" t="n"/>
      <c r="U1220" s="53" t="n"/>
      <c r="V1220" s="58" t="n"/>
      <c r="W1220" s="58" t="n"/>
      <c r="X1220" s="58" t="n"/>
      <c r="Y1220" s="52" t="n"/>
      <c r="Z1220" s="58" t="n"/>
      <c r="AA1220" s="58" t="n"/>
      <c r="AB1220" s="58" t="n"/>
      <c r="AC1220" s="58" t="n"/>
      <c r="AD1220" s="53" t="n"/>
      <c r="AE1220" s="61">
        <f>SUMIFS([1]инфо!$D$15:$D$28,[1]инфо!$A$15:$A$28,F1220)</f>
        <v/>
      </c>
      <c r="AF1220" s="62">
        <f>IF(H1220=0,0,N1220/H1220)</f>
        <v/>
      </c>
      <c r="AG1220" s="63">
        <f>AF1220-AE1220</f>
        <v/>
      </c>
      <c r="AH1220" s="61">
        <f>SUMIFS([1]инфо!$E$15:$E$28,[1]инфо!$A$15:$A$28,F1220)</f>
        <v/>
      </c>
      <c r="AI1220" s="62">
        <f>IF(H1219=0,0,S1220/H1219)</f>
        <v/>
      </c>
      <c r="AJ1220" s="63">
        <f>AI1220-AH1220</f>
        <v/>
      </c>
      <c r="AK1220" s="61">
        <f>SUMIFS([1]инфо!$F$15:$F$28,[1]инфо!$A$15:$A$28,F1220)</f>
        <v/>
      </c>
      <c r="AL1220" s="64">
        <f>IF(H1220=0,0,Y1220/H1220)</f>
        <v/>
      </c>
      <c r="AM1220" s="63">
        <f>AL1220-AK1220</f>
        <v/>
      </c>
      <c r="AN1220" s="61">
        <f>SUMIFS([1]инфо!$G$15:$G$28,[1]инфо!$A$15:$A$28,F1220)</f>
        <v/>
      </c>
      <c r="AO1220" s="64">
        <f>IF(H1220=0,0,AA1220/H1220)</f>
        <v/>
      </c>
      <c r="AP1220" s="63">
        <f>AO1220-AN1220</f>
        <v/>
      </c>
      <c r="AQ1220" s="61">
        <f>SUMIFS([1]инфо!$H$15:$H$28,[1]инфо!$A$15:$A$28,F1220)</f>
        <v/>
      </c>
      <c r="AR1220" s="62">
        <f>IF(H1219=0,0,AC1220/H1219)</f>
        <v/>
      </c>
      <c r="AS1220" s="63">
        <f>AR1220-AQ1220</f>
        <v/>
      </c>
      <c r="AT1220" s="61">
        <f>SUMIFS([1]инфо!$I$15:$I$28,[1]инфо!$A$15:$A$28,F1220)</f>
        <v/>
      </c>
      <c r="AU1220" s="62">
        <f>IF(H1220=0,0,AD1220/H1220)</f>
        <v/>
      </c>
      <c r="AV1220" s="63">
        <f>AU1220-AT1220</f>
        <v/>
      </c>
      <c r="AX1220" s="59">
        <f>SUMIFS([1]инфо!$C$15:$C$28,[1]инфо!$A$15:$A$28,F1220)*H1219</f>
        <v/>
      </c>
    </row>
    <row r="1221">
      <c r="A1221" s="71">
        <f>A1219+1</f>
        <v/>
      </c>
      <c r="B1221" s="90" t="n"/>
      <c r="C1221" s="52" t="n"/>
      <c r="D1221" s="53" t="n"/>
      <c r="E1221" s="91" t="n"/>
      <c r="F1221" s="67" t="n"/>
      <c r="G1221" s="58" t="n"/>
      <c r="H1221" s="56" t="n"/>
      <c r="I1221" s="55" t="n"/>
      <c r="J1221" s="55" t="n"/>
      <c r="K1221" s="55" t="n"/>
      <c r="L1221" s="55" t="n"/>
      <c r="M1221" s="55" t="n"/>
      <c r="N1221" s="55" t="n"/>
      <c r="O1221" s="58" t="n"/>
      <c r="P1221" s="58" t="n"/>
      <c r="Q1221" s="58" t="n"/>
      <c r="R1221" s="58" t="n"/>
      <c r="S1221" s="59">
        <f>SUM(O1221:R1221)</f>
        <v/>
      </c>
      <c r="T1221" s="52" t="n"/>
      <c r="U1221" s="53" t="n"/>
      <c r="V1221" s="58" t="n"/>
      <c r="W1221" s="58" t="n"/>
      <c r="X1221" s="58" t="n"/>
      <c r="Y1221" s="52" t="n"/>
      <c r="Z1221" s="58" t="n"/>
      <c r="AA1221" s="58" t="n"/>
      <c r="AB1221" s="58" t="n"/>
      <c r="AC1221" s="58" t="n"/>
      <c r="AD1221" s="53" t="n"/>
      <c r="AE1221" s="61">
        <f>SUMIFS([1]инфо!$D$15:$D$28,[1]инфо!$A$15:$A$28,F1221)</f>
        <v/>
      </c>
      <c r="AF1221" s="62">
        <f>IF(H1221=0,0,N1221/H1221)</f>
        <v/>
      </c>
      <c r="AG1221" s="63">
        <f>AF1221-AE1221</f>
        <v/>
      </c>
      <c r="AH1221" s="61">
        <f>SUMIFS([1]инфо!$E$15:$E$28,[1]инфо!$A$15:$A$28,F1221)</f>
        <v/>
      </c>
      <c r="AI1221" s="62">
        <f>IF(H1220=0,0,S1221/H1220)</f>
        <v/>
      </c>
      <c r="AJ1221" s="63">
        <f>AI1221-AH1221</f>
        <v/>
      </c>
      <c r="AK1221" s="61">
        <f>SUMIFS([1]инфо!$F$15:$F$28,[1]инфо!$A$15:$A$28,F1221)</f>
        <v/>
      </c>
      <c r="AL1221" s="64">
        <f>IF(H1221=0,0,Y1221/H1221)</f>
        <v/>
      </c>
      <c r="AM1221" s="63">
        <f>AL1221-AK1221</f>
        <v/>
      </c>
      <c r="AN1221" s="61">
        <f>SUMIFS([1]инфо!$G$15:$G$28,[1]инфо!$A$15:$A$28,F1221)</f>
        <v/>
      </c>
      <c r="AO1221" s="64">
        <f>IF(H1221=0,0,AA1221/H1221)</f>
        <v/>
      </c>
      <c r="AP1221" s="63">
        <f>AO1221-AN1221</f>
        <v/>
      </c>
      <c r="AQ1221" s="61">
        <f>SUMIFS([1]инфо!$H$15:$H$28,[1]инфо!$A$15:$A$28,F1221)</f>
        <v/>
      </c>
      <c r="AR1221" s="62">
        <f>IF(H1220=0,0,AC1221/H1220)</f>
        <v/>
      </c>
      <c r="AS1221" s="63">
        <f>AR1221-AQ1221</f>
        <v/>
      </c>
      <c r="AT1221" s="61">
        <f>SUMIFS([1]инфо!$I$15:$I$28,[1]инфо!$A$15:$A$28,F1221)</f>
        <v/>
      </c>
      <c r="AU1221" s="62">
        <f>IF(H1221=0,0,AD1221/H1221)</f>
        <v/>
      </c>
      <c r="AV1221" s="63">
        <f>AU1221-AT1221</f>
        <v/>
      </c>
      <c r="AX1221" s="59">
        <f>SUMIFS([1]инфо!$C$15:$C$28,[1]инфо!$A$15:$A$28,F1221)*H1220</f>
        <v/>
      </c>
    </row>
    <row r="1222">
      <c r="A1222" s="71">
        <f>A1220+1</f>
        <v/>
      </c>
      <c r="B1222" s="88" t="n"/>
      <c r="C1222" s="77" t="n"/>
      <c r="D1222" s="78" t="n"/>
      <c r="E1222" s="91" t="n"/>
      <c r="F1222" s="67" t="n"/>
      <c r="G1222" s="79" t="n"/>
      <c r="H1222" s="67" t="n"/>
      <c r="I1222" s="55" t="n"/>
      <c r="J1222" s="55" t="n"/>
      <c r="K1222" s="55" t="n"/>
      <c r="L1222" s="55" t="n"/>
      <c r="M1222" s="55" t="n"/>
      <c r="N1222" s="56" t="n"/>
      <c r="O1222" s="79" t="n"/>
      <c r="P1222" s="79" t="n"/>
      <c r="Q1222" s="79" t="n"/>
      <c r="R1222" s="79" t="n"/>
      <c r="S1222" s="80">
        <f>SUM(O1222:R1222)</f>
        <v/>
      </c>
      <c r="T1222" s="77" t="n"/>
      <c r="U1222" s="78" t="n"/>
      <c r="V1222" s="79" t="n"/>
      <c r="W1222" s="79" t="n"/>
      <c r="X1222" s="79" t="n"/>
      <c r="Y1222" s="77" t="n"/>
      <c r="Z1222" s="79" t="n"/>
      <c r="AA1222" s="79" t="n"/>
      <c r="AB1222" s="79" t="n"/>
      <c r="AC1222" s="79" t="n"/>
      <c r="AD1222" s="78" t="n"/>
      <c r="AE1222" s="81">
        <f>SUMIFS([1]инфо!$D$15:$D$28,[1]инфо!$A$15:$A$28,F1222)</f>
        <v/>
      </c>
      <c r="AF1222" s="62">
        <f>IF(H1222=0,0,N1222/H1222)</f>
        <v/>
      </c>
      <c r="AG1222" s="82">
        <f>AF1222-AE1222</f>
        <v/>
      </c>
      <c r="AH1222" s="81">
        <f>SUMIFS([1]инфо!$E$15:$E$28,[1]инфо!$A$15:$A$28,F1222)</f>
        <v/>
      </c>
      <c r="AI1222" s="85">
        <f>IF(H1221=0,0,S1222/H1221)</f>
        <v/>
      </c>
      <c r="AJ1222" s="82">
        <f>AI1222-AH1222</f>
        <v/>
      </c>
      <c r="AK1222" s="81">
        <f>SUMIFS([1]инфо!$F$15:$F$28,[1]инфо!$A$15:$A$28,F1222)</f>
        <v/>
      </c>
      <c r="AL1222" s="64">
        <f>IF(H1222=0,0,Y1222/H1222)</f>
        <v/>
      </c>
      <c r="AM1222" s="82">
        <f>AL1222-AK1222</f>
        <v/>
      </c>
      <c r="AN1222" s="81">
        <f>SUMIFS([1]инфо!$G$15:$G$28,[1]инфо!$A$15:$A$28,F1222)</f>
        <v/>
      </c>
      <c r="AO1222" s="64">
        <f>IF(H1222=0,0,AA1222/H1222)</f>
        <v/>
      </c>
      <c r="AP1222" s="82">
        <f>AO1222-AN1222</f>
        <v/>
      </c>
      <c r="AQ1222" s="81">
        <f>SUMIFS([1]инфо!$H$15:$H$28,[1]инфо!$A$15:$A$28,F1222)</f>
        <v/>
      </c>
      <c r="AR1222" s="85">
        <f>IF(H1221=0,0,AC1222/H1221)</f>
        <v/>
      </c>
      <c r="AS1222" s="82">
        <f>AR1222-AQ1222</f>
        <v/>
      </c>
      <c r="AT1222" s="81">
        <f>SUMIFS([1]инфо!$I$15:$I$28,[1]инфо!$A$15:$A$28,F1222)</f>
        <v/>
      </c>
      <c r="AU1222" s="62">
        <f>IF(H1222=0,0,AD1222/H1222)</f>
        <v/>
      </c>
      <c r="AV1222" s="82">
        <f>AU1222-AT1222</f>
        <v/>
      </c>
      <c r="AX1222" s="80">
        <f>SUMIFS([1]инфо!$C$15:$C$28,[1]инфо!$A$15:$A$28,F1222)*H1221</f>
        <v/>
      </c>
    </row>
    <row r="1223">
      <c r="A1223" s="71">
        <f>A1221+1</f>
        <v/>
      </c>
      <c r="B1223" s="89" t="n"/>
      <c r="C1223" s="72" t="n"/>
      <c r="D1223" s="73" t="n"/>
      <c r="E1223" s="91" t="n"/>
      <c r="F1223" s="67" t="n"/>
      <c r="G1223" s="74" t="n"/>
      <c r="H1223" s="55" t="n"/>
      <c r="I1223" s="55" t="n"/>
      <c r="J1223" s="55" t="n"/>
      <c r="K1223" s="55" t="n"/>
      <c r="L1223" s="55" t="n"/>
      <c r="M1223" s="55" t="n"/>
      <c r="N1223" s="67" t="n"/>
      <c r="O1223" s="74" t="n"/>
      <c r="P1223" s="74" t="n"/>
      <c r="Q1223" s="74" t="n"/>
      <c r="R1223" s="74" t="n"/>
      <c r="S1223" s="70">
        <f>SUM(O1223:R1223)</f>
        <v/>
      </c>
      <c r="T1223" s="72" t="n"/>
      <c r="U1223" s="73" t="n"/>
      <c r="V1223" s="74" t="n"/>
      <c r="W1223" s="74" t="n"/>
      <c r="X1223" s="74" t="n"/>
      <c r="Y1223" s="72" t="n"/>
      <c r="Z1223" s="74" t="n"/>
      <c r="AA1223" s="74" t="n"/>
      <c r="AB1223" s="74" t="n"/>
      <c r="AC1223" s="74" t="n"/>
      <c r="AD1223" s="73" t="n"/>
      <c r="AE1223" s="75">
        <f>SUMIFS([1]инфо!$D$15:$D$28,[1]инфо!$A$15:$A$28,F1223)</f>
        <v/>
      </c>
      <c r="AF1223" s="62">
        <f>IF(H1223=0,0,N1223/H1223)</f>
        <v/>
      </c>
      <c r="AG1223" s="76">
        <f>AF1223-AE1223</f>
        <v/>
      </c>
      <c r="AH1223" s="75">
        <f>SUMIFS([1]инфо!$E$15:$E$28,[1]инфо!$A$15:$A$28,F1223)</f>
        <v/>
      </c>
      <c r="AI1223" s="64">
        <f>IF(H1222=0,0,S1223/H1222)</f>
        <v/>
      </c>
      <c r="AJ1223" s="76">
        <f>AI1223-AH1223</f>
        <v/>
      </c>
      <c r="AK1223" s="75">
        <f>SUMIFS([1]инфо!$F$15:$F$28,[1]инфо!$A$15:$A$28,F1223)</f>
        <v/>
      </c>
      <c r="AL1223" s="64">
        <f>IF(H1223=0,0,Y1223/H1223)</f>
        <v/>
      </c>
      <c r="AM1223" s="76">
        <f>AL1223-AK1223</f>
        <v/>
      </c>
      <c r="AN1223" s="75">
        <f>SUMIFS([1]инфо!$G$15:$G$28,[1]инфо!$A$15:$A$28,F1223)</f>
        <v/>
      </c>
      <c r="AO1223" s="64">
        <f>IF(H1223=0,0,AA1223/H1223)</f>
        <v/>
      </c>
      <c r="AP1223" s="76">
        <f>AO1223-AN1223</f>
        <v/>
      </c>
      <c r="AQ1223" s="75">
        <f>SUMIFS([1]инфо!$H$15:$H$28,[1]инфо!$A$15:$A$28,F1223)</f>
        <v/>
      </c>
      <c r="AR1223" s="64">
        <f>IF(H1222=0,0,AC1223/H1222)</f>
        <v/>
      </c>
      <c r="AS1223" s="76">
        <f>AR1223-AQ1223</f>
        <v/>
      </c>
      <c r="AT1223" s="75">
        <f>SUMIFS([1]инфо!$I$15:$I$28,[1]инфо!$A$15:$A$28,F1223)</f>
        <v/>
      </c>
      <c r="AU1223" s="62">
        <f>IF(H1223=0,0,AD1223/H1223)</f>
        <v/>
      </c>
      <c r="AV1223" s="76">
        <f>AU1223-AT1223</f>
        <v/>
      </c>
      <c r="AX1223" s="70">
        <f>SUMIFS([1]инфо!$C$15:$C$28,[1]инфо!$A$15:$A$28,F1223)*H1222</f>
        <v/>
      </c>
    </row>
    <row r="1224">
      <c r="A1224" s="71">
        <f>A1222+1</f>
        <v/>
      </c>
      <c r="B1224" s="90" t="n"/>
      <c r="C1224" s="52" t="n"/>
      <c r="D1224" s="53" t="n"/>
      <c r="E1224" s="91" t="n"/>
      <c r="F1224" s="67" t="n"/>
      <c r="G1224" s="58" t="n"/>
      <c r="H1224" s="55" t="n"/>
      <c r="I1224" s="55" t="n"/>
      <c r="J1224" s="55" t="n"/>
      <c r="K1224" s="55" t="n"/>
      <c r="L1224" s="55" t="n"/>
      <c r="M1224" s="55" t="n"/>
      <c r="N1224" s="55" t="n"/>
      <c r="O1224" s="58" t="n"/>
      <c r="P1224" s="58" t="n"/>
      <c r="Q1224" s="58" t="n"/>
      <c r="R1224" s="58" t="n"/>
      <c r="S1224" s="59">
        <f>SUM(O1224:R1224)</f>
        <v/>
      </c>
      <c r="T1224" s="52" t="n"/>
      <c r="U1224" s="53" t="n"/>
      <c r="V1224" s="58" t="n"/>
      <c r="W1224" s="58" t="n"/>
      <c r="X1224" s="58" t="n"/>
      <c r="Y1224" s="52" t="n"/>
      <c r="Z1224" s="58" t="n"/>
      <c r="AA1224" s="58" t="n"/>
      <c r="AB1224" s="58" t="n"/>
      <c r="AC1224" s="58" t="n"/>
      <c r="AD1224" s="53" t="n"/>
      <c r="AE1224" s="61">
        <f>SUMIFS([1]инфо!$D$15:$D$28,[1]инфо!$A$15:$A$28,F1224)</f>
        <v/>
      </c>
      <c r="AF1224" s="62">
        <f>IF(H1224=0,0,N1224/H1224)</f>
        <v/>
      </c>
      <c r="AG1224" s="63">
        <f>AF1224-AE1224</f>
        <v/>
      </c>
      <c r="AH1224" s="61">
        <f>SUMIFS([1]инфо!$E$15:$E$28,[1]инфо!$A$15:$A$28,F1224)</f>
        <v/>
      </c>
      <c r="AI1224" s="62">
        <f>IF(H1223=0,0,S1224/H1223)</f>
        <v/>
      </c>
      <c r="AJ1224" s="63">
        <f>AI1224-AH1224</f>
        <v/>
      </c>
      <c r="AK1224" s="61">
        <f>SUMIFS([1]инфо!$F$15:$F$28,[1]инфо!$A$15:$A$28,F1224)</f>
        <v/>
      </c>
      <c r="AL1224" s="64">
        <f>IF(H1224=0,0,Y1224/H1224)</f>
        <v/>
      </c>
      <c r="AM1224" s="63">
        <f>AL1224-AK1224</f>
        <v/>
      </c>
      <c r="AN1224" s="61">
        <f>SUMIFS([1]инфо!$G$15:$G$28,[1]инфо!$A$15:$A$28,F1224)</f>
        <v/>
      </c>
      <c r="AO1224" s="64">
        <f>IF(H1224=0,0,AA1224/H1224)</f>
        <v/>
      </c>
      <c r="AP1224" s="63">
        <f>AO1224-AN1224</f>
        <v/>
      </c>
      <c r="AQ1224" s="61">
        <f>SUMIFS([1]инфо!$H$15:$H$28,[1]инфо!$A$15:$A$28,F1224)</f>
        <v/>
      </c>
      <c r="AR1224" s="62">
        <f>IF(H1223=0,0,AC1224/H1223)</f>
        <v/>
      </c>
      <c r="AS1224" s="63">
        <f>AR1224-AQ1224</f>
        <v/>
      </c>
      <c r="AT1224" s="61">
        <f>SUMIFS([1]инфо!$I$15:$I$28,[1]инфо!$A$15:$A$28,F1224)</f>
        <v/>
      </c>
      <c r="AU1224" s="62">
        <f>IF(H1224=0,0,AD1224/H1224)</f>
        <v/>
      </c>
      <c r="AV1224" s="63">
        <f>AU1224-AT1224</f>
        <v/>
      </c>
      <c r="AX1224" s="59">
        <f>SUMIFS([1]инфо!$C$15:$C$28,[1]инфо!$A$15:$A$28,F1224)*H1223</f>
        <v/>
      </c>
    </row>
    <row r="1225">
      <c r="A1225" s="71">
        <f>A1223+1</f>
        <v/>
      </c>
      <c r="B1225" s="90" t="n"/>
      <c r="C1225" s="52" t="n"/>
      <c r="D1225" s="53" t="n"/>
      <c r="E1225" s="91" t="n"/>
      <c r="F1225" s="67" t="n"/>
      <c r="G1225" s="58" t="n"/>
      <c r="H1225" s="56" t="n"/>
      <c r="I1225" s="55" t="n"/>
      <c r="J1225" s="55" t="n"/>
      <c r="K1225" s="55" t="n"/>
      <c r="L1225" s="55" t="n"/>
      <c r="M1225" s="55" t="n"/>
      <c r="N1225" s="55" t="n"/>
      <c r="O1225" s="58" t="n"/>
      <c r="P1225" s="58" t="n"/>
      <c r="Q1225" s="58" t="n"/>
      <c r="R1225" s="58" t="n"/>
      <c r="S1225" s="59">
        <f>SUM(O1225:R1225)</f>
        <v/>
      </c>
      <c r="T1225" s="52" t="n"/>
      <c r="U1225" s="53" t="n"/>
      <c r="V1225" s="58" t="n"/>
      <c r="W1225" s="58" t="n"/>
      <c r="X1225" s="58" t="n"/>
      <c r="Y1225" s="52" t="n"/>
      <c r="Z1225" s="58" t="n"/>
      <c r="AA1225" s="58" t="n"/>
      <c r="AB1225" s="58" t="n"/>
      <c r="AC1225" s="58" t="n"/>
      <c r="AD1225" s="53" t="n"/>
      <c r="AE1225" s="61">
        <f>SUMIFS([1]инфо!$D$15:$D$28,[1]инфо!$A$15:$A$28,F1225)</f>
        <v/>
      </c>
      <c r="AF1225" s="62">
        <f>IF(H1225=0,0,N1225/H1225)</f>
        <v/>
      </c>
      <c r="AG1225" s="63">
        <f>AF1225-AE1225</f>
        <v/>
      </c>
      <c r="AH1225" s="61">
        <f>SUMIFS([1]инфо!$E$15:$E$28,[1]инфо!$A$15:$A$28,F1225)</f>
        <v/>
      </c>
      <c r="AI1225" s="62">
        <f>IF(H1224=0,0,S1225/H1224)</f>
        <v/>
      </c>
      <c r="AJ1225" s="63">
        <f>AI1225-AH1225</f>
        <v/>
      </c>
      <c r="AK1225" s="61">
        <f>SUMIFS([1]инфо!$F$15:$F$28,[1]инфо!$A$15:$A$28,F1225)</f>
        <v/>
      </c>
      <c r="AL1225" s="64">
        <f>IF(H1225=0,0,Y1225/H1225)</f>
        <v/>
      </c>
      <c r="AM1225" s="63">
        <f>AL1225-AK1225</f>
        <v/>
      </c>
      <c r="AN1225" s="61">
        <f>SUMIFS([1]инфо!$G$15:$G$28,[1]инфо!$A$15:$A$28,F1225)</f>
        <v/>
      </c>
      <c r="AO1225" s="64">
        <f>IF(H1225=0,0,AA1225/H1225)</f>
        <v/>
      </c>
      <c r="AP1225" s="63">
        <f>AO1225-AN1225</f>
        <v/>
      </c>
      <c r="AQ1225" s="61">
        <f>SUMIFS([1]инфо!$H$15:$H$28,[1]инфо!$A$15:$A$28,F1225)</f>
        <v/>
      </c>
      <c r="AR1225" s="62">
        <f>IF(H1224=0,0,AC1225/H1224)</f>
        <v/>
      </c>
      <c r="AS1225" s="63">
        <f>AR1225-AQ1225</f>
        <v/>
      </c>
      <c r="AT1225" s="61">
        <f>SUMIFS([1]инфо!$I$15:$I$28,[1]инфо!$A$15:$A$28,F1225)</f>
        <v/>
      </c>
      <c r="AU1225" s="62">
        <f>IF(H1225=0,0,AD1225/H1225)</f>
        <v/>
      </c>
      <c r="AV1225" s="63">
        <f>AU1225-AT1225</f>
        <v/>
      </c>
      <c r="AX1225" s="59">
        <f>SUMIFS([1]инфо!$C$15:$C$28,[1]инфо!$A$15:$A$28,F1225)*H1224</f>
        <v/>
      </c>
    </row>
    <row r="1226">
      <c r="A1226" s="71">
        <f>A1224+1</f>
        <v/>
      </c>
      <c r="B1226" s="88" t="n"/>
      <c r="C1226" s="77" t="n"/>
      <c r="D1226" s="78" t="n"/>
      <c r="E1226" s="91" t="n"/>
      <c r="F1226" s="67" t="n"/>
      <c r="G1226" s="79" t="n"/>
      <c r="H1226" s="67" t="n"/>
      <c r="I1226" s="55" t="n"/>
      <c r="J1226" s="55" t="n"/>
      <c r="K1226" s="55" t="n"/>
      <c r="L1226" s="55" t="n"/>
      <c r="M1226" s="55" t="n"/>
      <c r="N1226" s="56" t="n"/>
      <c r="O1226" s="79" t="n"/>
      <c r="P1226" s="79" t="n"/>
      <c r="Q1226" s="79" t="n"/>
      <c r="R1226" s="79" t="n"/>
      <c r="S1226" s="80">
        <f>SUM(O1226:R1226)</f>
        <v/>
      </c>
      <c r="T1226" s="77" t="n"/>
      <c r="U1226" s="78" t="n"/>
      <c r="V1226" s="79" t="n"/>
      <c r="W1226" s="79" t="n"/>
      <c r="X1226" s="79" t="n"/>
      <c r="Y1226" s="77" t="n"/>
      <c r="Z1226" s="79" t="n"/>
      <c r="AA1226" s="79" t="n"/>
      <c r="AB1226" s="79" t="n"/>
      <c r="AC1226" s="79" t="n"/>
      <c r="AD1226" s="78" t="n"/>
      <c r="AE1226" s="81">
        <f>SUMIFS([1]инфо!$D$15:$D$28,[1]инфо!$A$15:$A$28,F1226)</f>
        <v/>
      </c>
      <c r="AF1226" s="62">
        <f>IF(H1226=0,0,N1226/H1226)</f>
        <v/>
      </c>
      <c r="AG1226" s="82">
        <f>AF1226-AE1226</f>
        <v/>
      </c>
      <c r="AH1226" s="81">
        <f>SUMIFS([1]инфо!$E$15:$E$28,[1]инфо!$A$15:$A$28,F1226)</f>
        <v/>
      </c>
      <c r="AI1226" s="85">
        <f>IF(H1225=0,0,S1226/H1225)</f>
        <v/>
      </c>
      <c r="AJ1226" s="82">
        <f>AI1226-AH1226</f>
        <v/>
      </c>
      <c r="AK1226" s="81">
        <f>SUMIFS([1]инфо!$F$15:$F$28,[1]инфо!$A$15:$A$28,F1226)</f>
        <v/>
      </c>
      <c r="AL1226" s="64">
        <f>IF(H1226=0,0,Y1226/H1226)</f>
        <v/>
      </c>
      <c r="AM1226" s="82">
        <f>AL1226-AK1226</f>
        <v/>
      </c>
      <c r="AN1226" s="81">
        <f>SUMIFS([1]инфо!$G$15:$G$28,[1]инфо!$A$15:$A$28,F1226)</f>
        <v/>
      </c>
      <c r="AO1226" s="64">
        <f>IF(H1226=0,0,AA1226/H1226)</f>
        <v/>
      </c>
      <c r="AP1226" s="82">
        <f>AO1226-AN1226</f>
        <v/>
      </c>
      <c r="AQ1226" s="81">
        <f>SUMIFS([1]инфо!$H$15:$H$28,[1]инфо!$A$15:$A$28,F1226)</f>
        <v/>
      </c>
      <c r="AR1226" s="85">
        <f>IF(H1225=0,0,AC1226/H1225)</f>
        <v/>
      </c>
      <c r="AS1226" s="82">
        <f>AR1226-AQ1226</f>
        <v/>
      </c>
      <c r="AT1226" s="81">
        <f>SUMIFS([1]инфо!$I$15:$I$28,[1]инфо!$A$15:$A$28,F1226)</f>
        <v/>
      </c>
      <c r="AU1226" s="62">
        <f>IF(H1226=0,0,AD1226/H1226)</f>
        <v/>
      </c>
      <c r="AV1226" s="82">
        <f>AU1226-AT1226</f>
        <v/>
      </c>
      <c r="AX1226" s="80">
        <f>SUMIFS([1]инфо!$C$15:$C$28,[1]инфо!$A$15:$A$28,F1226)*H1225</f>
        <v/>
      </c>
    </row>
    <row r="1227">
      <c r="A1227" s="71">
        <f>A1225+1</f>
        <v/>
      </c>
      <c r="B1227" s="89" t="n"/>
      <c r="C1227" s="72" t="n"/>
      <c r="D1227" s="73" t="n"/>
      <c r="E1227" s="91" t="n"/>
      <c r="F1227" s="67" t="n"/>
      <c r="G1227" s="74" t="n"/>
      <c r="H1227" s="55" t="n"/>
      <c r="I1227" s="55" t="n"/>
      <c r="J1227" s="55" t="n"/>
      <c r="K1227" s="55" t="n"/>
      <c r="L1227" s="55" t="n"/>
      <c r="M1227" s="55" t="n"/>
      <c r="N1227" s="67" t="n"/>
      <c r="O1227" s="74" t="n"/>
      <c r="P1227" s="74" t="n"/>
      <c r="Q1227" s="74" t="n"/>
      <c r="R1227" s="74" t="n"/>
      <c r="S1227" s="70">
        <f>SUM(O1227:R1227)</f>
        <v/>
      </c>
      <c r="T1227" s="72" t="n"/>
      <c r="U1227" s="73" t="n"/>
      <c r="V1227" s="74" t="n"/>
      <c r="W1227" s="74" t="n"/>
      <c r="X1227" s="74" t="n"/>
      <c r="Y1227" s="72" t="n"/>
      <c r="Z1227" s="74" t="n"/>
      <c r="AA1227" s="74" t="n"/>
      <c r="AB1227" s="74" t="n"/>
      <c r="AC1227" s="74" t="n"/>
      <c r="AD1227" s="73" t="n"/>
      <c r="AE1227" s="75">
        <f>SUMIFS([1]инфо!$D$15:$D$28,[1]инфо!$A$15:$A$28,F1227)</f>
        <v/>
      </c>
      <c r="AF1227" s="62">
        <f>IF(H1227=0,0,N1227/H1227)</f>
        <v/>
      </c>
      <c r="AG1227" s="76">
        <f>AF1227-AE1227</f>
        <v/>
      </c>
      <c r="AH1227" s="75">
        <f>SUMIFS([1]инфо!$E$15:$E$28,[1]инфо!$A$15:$A$28,F1227)</f>
        <v/>
      </c>
      <c r="AI1227" s="64">
        <f>IF(H1226=0,0,S1227/H1226)</f>
        <v/>
      </c>
      <c r="AJ1227" s="76">
        <f>AI1227-AH1227</f>
        <v/>
      </c>
      <c r="AK1227" s="75">
        <f>SUMIFS([1]инфо!$F$15:$F$28,[1]инфо!$A$15:$A$28,F1227)</f>
        <v/>
      </c>
      <c r="AL1227" s="64">
        <f>IF(H1227=0,0,Y1227/H1227)</f>
        <v/>
      </c>
      <c r="AM1227" s="76">
        <f>AL1227-AK1227</f>
        <v/>
      </c>
      <c r="AN1227" s="75">
        <f>SUMIFS([1]инфо!$G$15:$G$28,[1]инфо!$A$15:$A$28,F1227)</f>
        <v/>
      </c>
      <c r="AO1227" s="64">
        <f>IF(H1227=0,0,AA1227/H1227)</f>
        <v/>
      </c>
      <c r="AP1227" s="76">
        <f>AO1227-AN1227</f>
        <v/>
      </c>
      <c r="AQ1227" s="75">
        <f>SUMIFS([1]инфо!$H$15:$H$28,[1]инфо!$A$15:$A$28,F1227)</f>
        <v/>
      </c>
      <c r="AR1227" s="64">
        <f>IF(H1226=0,0,AC1227/H1226)</f>
        <v/>
      </c>
      <c r="AS1227" s="76">
        <f>AR1227-AQ1227</f>
        <v/>
      </c>
      <c r="AT1227" s="75">
        <f>SUMIFS([1]инфо!$I$15:$I$28,[1]инфо!$A$15:$A$28,F1227)</f>
        <v/>
      </c>
      <c r="AU1227" s="62">
        <f>IF(H1227=0,0,AD1227/H1227)</f>
        <v/>
      </c>
      <c r="AV1227" s="76">
        <f>AU1227-AT1227</f>
        <v/>
      </c>
      <c r="AX1227" s="70">
        <f>SUMIFS([1]инфо!$C$15:$C$28,[1]инфо!$A$15:$A$28,F1227)*H1226</f>
        <v/>
      </c>
    </row>
    <row r="1228">
      <c r="A1228" s="71">
        <f>A1226+1</f>
        <v/>
      </c>
      <c r="B1228" s="90" t="n"/>
      <c r="C1228" s="52" t="n"/>
      <c r="D1228" s="53" t="n"/>
      <c r="E1228" s="91" t="n"/>
      <c r="F1228" s="67" t="n"/>
      <c r="G1228" s="58" t="n"/>
      <c r="H1228" s="55" t="n"/>
      <c r="I1228" s="55" t="n"/>
      <c r="J1228" s="55" t="n"/>
      <c r="K1228" s="55" t="n"/>
      <c r="L1228" s="55" t="n"/>
      <c r="M1228" s="55" t="n"/>
      <c r="N1228" s="55" t="n"/>
      <c r="O1228" s="58" t="n"/>
      <c r="P1228" s="58" t="n"/>
      <c r="Q1228" s="58" t="n"/>
      <c r="R1228" s="58" t="n"/>
      <c r="S1228" s="59">
        <f>SUM(O1228:R1228)</f>
        <v/>
      </c>
      <c r="T1228" s="52" t="n"/>
      <c r="U1228" s="53" t="n"/>
      <c r="V1228" s="58" t="n"/>
      <c r="W1228" s="58" t="n"/>
      <c r="X1228" s="58" t="n"/>
      <c r="Y1228" s="52" t="n"/>
      <c r="Z1228" s="58" t="n"/>
      <c r="AA1228" s="58" t="n"/>
      <c r="AB1228" s="58" t="n"/>
      <c r="AC1228" s="58" t="n"/>
      <c r="AD1228" s="53" t="n"/>
      <c r="AE1228" s="61">
        <f>SUMIFS([1]инфо!$D$15:$D$28,[1]инфо!$A$15:$A$28,F1228)</f>
        <v/>
      </c>
      <c r="AF1228" s="62">
        <f>IF(H1228=0,0,N1228/H1228)</f>
        <v/>
      </c>
      <c r="AG1228" s="63">
        <f>AF1228-AE1228</f>
        <v/>
      </c>
      <c r="AH1228" s="61">
        <f>SUMIFS([1]инфо!$E$15:$E$28,[1]инфо!$A$15:$A$28,F1228)</f>
        <v/>
      </c>
      <c r="AI1228" s="62">
        <f>IF(H1227=0,0,S1228/H1227)</f>
        <v/>
      </c>
      <c r="AJ1228" s="63">
        <f>AI1228-AH1228</f>
        <v/>
      </c>
      <c r="AK1228" s="61">
        <f>SUMIFS([1]инфо!$F$15:$F$28,[1]инфо!$A$15:$A$28,F1228)</f>
        <v/>
      </c>
      <c r="AL1228" s="64">
        <f>IF(H1228=0,0,Y1228/H1228)</f>
        <v/>
      </c>
      <c r="AM1228" s="63">
        <f>AL1228-AK1228</f>
        <v/>
      </c>
      <c r="AN1228" s="61">
        <f>SUMIFS([1]инфо!$G$15:$G$28,[1]инфо!$A$15:$A$28,F1228)</f>
        <v/>
      </c>
      <c r="AO1228" s="64">
        <f>IF(H1228=0,0,AA1228/H1228)</f>
        <v/>
      </c>
      <c r="AP1228" s="63">
        <f>AO1228-AN1228</f>
        <v/>
      </c>
      <c r="AQ1228" s="61">
        <f>SUMIFS([1]инфо!$H$15:$H$28,[1]инфо!$A$15:$A$28,F1228)</f>
        <v/>
      </c>
      <c r="AR1228" s="62">
        <f>IF(H1227=0,0,AC1228/H1227)</f>
        <v/>
      </c>
      <c r="AS1228" s="63">
        <f>AR1228-AQ1228</f>
        <v/>
      </c>
      <c r="AT1228" s="61">
        <f>SUMIFS([1]инфо!$I$15:$I$28,[1]инфо!$A$15:$A$28,F1228)</f>
        <v/>
      </c>
      <c r="AU1228" s="62">
        <f>IF(H1228=0,0,AD1228/H1228)</f>
        <v/>
      </c>
      <c r="AV1228" s="63">
        <f>AU1228-AT1228</f>
        <v/>
      </c>
      <c r="AX1228" s="59">
        <f>SUMIFS([1]инфо!$C$15:$C$28,[1]инфо!$A$15:$A$28,F1228)*H1227</f>
        <v/>
      </c>
    </row>
    <row r="1229">
      <c r="A1229" s="71">
        <f>A1227+1</f>
        <v/>
      </c>
      <c r="B1229" s="90" t="n"/>
      <c r="C1229" s="52" t="n"/>
      <c r="D1229" s="53" t="n"/>
      <c r="E1229" s="91" t="n"/>
      <c r="F1229" s="67" t="n"/>
      <c r="G1229" s="58" t="n"/>
      <c r="H1229" s="56" t="n"/>
      <c r="I1229" s="55" t="n"/>
      <c r="J1229" s="55" t="n"/>
      <c r="K1229" s="55" t="n"/>
      <c r="L1229" s="55" t="n"/>
      <c r="M1229" s="55" t="n"/>
      <c r="N1229" s="55" t="n"/>
      <c r="O1229" s="58" t="n"/>
      <c r="P1229" s="58" t="n"/>
      <c r="Q1229" s="58" t="n"/>
      <c r="R1229" s="58" t="n"/>
      <c r="S1229" s="59">
        <f>SUM(O1229:R1229)</f>
        <v/>
      </c>
      <c r="T1229" s="52" t="n"/>
      <c r="U1229" s="53" t="n"/>
      <c r="V1229" s="58" t="n"/>
      <c r="W1229" s="58" t="n"/>
      <c r="X1229" s="58" t="n"/>
      <c r="Y1229" s="52" t="n"/>
      <c r="Z1229" s="58" t="n"/>
      <c r="AA1229" s="58" t="n"/>
      <c r="AB1229" s="58" t="n"/>
      <c r="AC1229" s="58" t="n"/>
      <c r="AD1229" s="53" t="n"/>
      <c r="AE1229" s="61">
        <f>SUMIFS([1]инфо!$D$15:$D$28,[1]инфо!$A$15:$A$28,F1229)</f>
        <v/>
      </c>
      <c r="AF1229" s="62">
        <f>IF(H1229=0,0,N1229/H1229)</f>
        <v/>
      </c>
      <c r="AG1229" s="63">
        <f>AF1229-AE1229</f>
        <v/>
      </c>
      <c r="AH1229" s="61">
        <f>SUMIFS([1]инфо!$E$15:$E$28,[1]инфо!$A$15:$A$28,F1229)</f>
        <v/>
      </c>
      <c r="AI1229" s="62">
        <f>IF(H1228=0,0,S1229/H1228)</f>
        <v/>
      </c>
      <c r="AJ1229" s="63">
        <f>AI1229-AH1229</f>
        <v/>
      </c>
      <c r="AK1229" s="61">
        <f>SUMIFS([1]инфо!$F$15:$F$28,[1]инфо!$A$15:$A$28,F1229)</f>
        <v/>
      </c>
      <c r="AL1229" s="64">
        <f>IF(H1229=0,0,Y1229/H1229)</f>
        <v/>
      </c>
      <c r="AM1229" s="63">
        <f>AL1229-AK1229</f>
        <v/>
      </c>
      <c r="AN1229" s="61">
        <f>SUMIFS([1]инфо!$G$15:$G$28,[1]инфо!$A$15:$A$28,F1229)</f>
        <v/>
      </c>
      <c r="AO1229" s="64">
        <f>IF(H1229=0,0,AA1229/H1229)</f>
        <v/>
      </c>
      <c r="AP1229" s="63">
        <f>AO1229-AN1229</f>
        <v/>
      </c>
      <c r="AQ1229" s="61">
        <f>SUMIFS([1]инфо!$H$15:$H$28,[1]инфо!$A$15:$A$28,F1229)</f>
        <v/>
      </c>
      <c r="AR1229" s="62">
        <f>IF(H1228=0,0,AC1229/H1228)</f>
        <v/>
      </c>
      <c r="AS1229" s="63">
        <f>AR1229-AQ1229</f>
        <v/>
      </c>
      <c r="AT1229" s="61">
        <f>SUMIFS([1]инфо!$I$15:$I$28,[1]инфо!$A$15:$A$28,F1229)</f>
        <v/>
      </c>
      <c r="AU1229" s="62">
        <f>IF(H1229=0,0,AD1229/H1229)</f>
        <v/>
      </c>
      <c r="AV1229" s="63">
        <f>AU1229-AT1229</f>
        <v/>
      </c>
      <c r="AX1229" s="59">
        <f>SUMIFS([1]инфо!$C$15:$C$28,[1]инфо!$A$15:$A$28,F1229)*H1228</f>
        <v/>
      </c>
    </row>
    <row r="1230">
      <c r="A1230" s="71">
        <f>A1228+1</f>
        <v/>
      </c>
      <c r="B1230" s="88" t="n"/>
      <c r="C1230" s="77" t="n"/>
      <c r="D1230" s="78" t="n"/>
      <c r="E1230" s="91" t="n"/>
      <c r="F1230" s="67" t="n"/>
      <c r="G1230" s="79" t="n"/>
      <c r="H1230" s="67" t="n"/>
      <c r="I1230" s="55" t="n"/>
      <c r="J1230" s="55" t="n"/>
      <c r="K1230" s="55" t="n"/>
      <c r="L1230" s="55" t="n"/>
      <c r="M1230" s="55" t="n"/>
      <c r="N1230" s="56" t="n"/>
      <c r="O1230" s="79" t="n"/>
      <c r="P1230" s="79" t="n"/>
      <c r="Q1230" s="79" t="n"/>
      <c r="R1230" s="79" t="n"/>
      <c r="S1230" s="80">
        <f>SUM(O1230:R1230)</f>
        <v/>
      </c>
      <c r="T1230" s="77" t="n"/>
      <c r="U1230" s="78" t="n"/>
      <c r="V1230" s="79" t="n"/>
      <c r="W1230" s="79" t="n"/>
      <c r="X1230" s="79" t="n"/>
      <c r="Y1230" s="77" t="n"/>
      <c r="Z1230" s="79" t="n"/>
      <c r="AA1230" s="79" t="n"/>
      <c r="AB1230" s="79" t="n"/>
      <c r="AC1230" s="79" t="n"/>
      <c r="AD1230" s="78" t="n"/>
      <c r="AE1230" s="81">
        <f>SUMIFS([1]инфо!$D$15:$D$28,[1]инфо!$A$15:$A$28,F1230)</f>
        <v/>
      </c>
      <c r="AF1230" s="62">
        <f>IF(H1230=0,0,N1230/H1230)</f>
        <v/>
      </c>
      <c r="AG1230" s="82">
        <f>AF1230-AE1230</f>
        <v/>
      </c>
      <c r="AH1230" s="81">
        <f>SUMIFS([1]инфо!$E$15:$E$28,[1]инфо!$A$15:$A$28,F1230)</f>
        <v/>
      </c>
      <c r="AI1230" s="85">
        <f>IF(H1229=0,0,S1230/H1229)</f>
        <v/>
      </c>
      <c r="AJ1230" s="82">
        <f>AI1230-AH1230</f>
        <v/>
      </c>
      <c r="AK1230" s="81">
        <f>SUMIFS([1]инфо!$F$15:$F$28,[1]инфо!$A$15:$A$28,F1230)</f>
        <v/>
      </c>
      <c r="AL1230" s="64">
        <f>IF(H1230=0,0,Y1230/H1230)</f>
        <v/>
      </c>
      <c r="AM1230" s="82">
        <f>AL1230-AK1230</f>
        <v/>
      </c>
      <c r="AN1230" s="81">
        <f>SUMIFS([1]инфо!$G$15:$G$28,[1]инфо!$A$15:$A$28,F1230)</f>
        <v/>
      </c>
      <c r="AO1230" s="64">
        <f>IF(H1230=0,0,AA1230/H1230)</f>
        <v/>
      </c>
      <c r="AP1230" s="82">
        <f>AO1230-AN1230</f>
        <v/>
      </c>
      <c r="AQ1230" s="81">
        <f>SUMIFS([1]инфо!$H$15:$H$28,[1]инфо!$A$15:$A$28,F1230)</f>
        <v/>
      </c>
      <c r="AR1230" s="85">
        <f>IF(H1229=0,0,AC1230/H1229)</f>
        <v/>
      </c>
      <c r="AS1230" s="82">
        <f>AR1230-AQ1230</f>
        <v/>
      </c>
      <c r="AT1230" s="81">
        <f>SUMIFS([1]инфо!$I$15:$I$28,[1]инфо!$A$15:$A$28,F1230)</f>
        <v/>
      </c>
      <c r="AU1230" s="62">
        <f>IF(H1230=0,0,AD1230/H1230)</f>
        <v/>
      </c>
      <c r="AV1230" s="82">
        <f>AU1230-AT1230</f>
        <v/>
      </c>
      <c r="AX1230" s="80">
        <f>SUMIFS([1]инфо!$C$15:$C$28,[1]инфо!$A$15:$A$28,F1230)*H1229</f>
        <v/>
      </c>
    </row>
    <row r="1231">
      <c r="A1231" s="71">
        <f>A1229+1</f>
        <v/>
      </c>
      <c r="B1231" s="89" t="n"/>
      <c r="C1231" s="72" t="n"/>
      <c r="D1231" s="73" t="n"/>
      <c r="E1231" s="91" t="n"/>
      <c r="F1231" s="67" t="n"/>
      <c r="G1231" s="74" t="n"/>
      <c r="H1231" s="55" t="n"/>
      <c r="I1231" s="55" t="n"/>
      <c r="J1231" s="55" t="n"/>
      <c r="K1231" s="55" t="n"/>
      <c r="L1231" s="55" t="n"/>
      <c r="M1231" s="55" t="n"/>
      <c r="N1231" s="67" t="n"/>
      <c r="O1231" s="74" t="n"/>
      <c r="P1231" s="74" t="n"/>
      <c r="Q1231" s="74" t="n"/>
      <c r="R1231" s="74" t="n"/>
      <c r="S1231" s="70">
        <f>SUM(O1231:R1231)</f>
        <v/>
      </c>
      <c r="T1231" s="72" t="n"/>
      <c r="U1231" s="73" t="n"/>
      <c r="V1231" s="74" t="n"/>
      <c r="W1231" s="74" t="n"/>
      <c r="X1231" s="74" t="n"/>
      <c r="Y1231" s="72" t="n"/>
      <c r="Z1231" s="74" t="n"/>
      <c r="AA1231" s="74" t="n"/>
      <c r="AB1231" s="74" t="n"/>
      <c r="AC1231" s="74" t="n"/>
      <c r="AD1231" s="73" t="n"/>
      <c r="AE1231" s="75">
        <f>SUMIFS([1]инфо!$D$15:$D$28,[1]инфо!$A$15:$A$28,F1231)</f>
        <v/>
      </c>
      <c r="AF1231" s="62">
        <f>IF(H1231=0,0,N1231/H1231)</f>
        <v/>
      </c>
      <c r="AG1231" s="76">
        <f>AF1231-AE1231</f>
        <v/>
      </c>
      <c r="AH1231" s="75">
        <f>SUMIFS([1]инфо!$E$15:$E$28,[1]инфо!$A$15:$A$28,F1231)</f>
        <v/>
      </c>
      <c r="AI1231" s="64">
        <f>IF(H1230=0,0,S1231/H1230)</f>
        <v/>
      </c>
      <c r="AJ1231" s="76">
        <f>AI1231-AH1231</f>
        <v/>
      </c>
      <c r="AK1231" s="75">
        <f>SUMIFS([1]инфо!$F$15:$F$28,[1]инфо!$A$15:$A$28,F1231)</f>
        <v/>
      </c>
      <c r="AL1231" s="64">
        <f>IF(H1231=0,0,Y1231/H1231)</f>
        <v/>
      </c>
      <c r="AM1231" s="76">
        <f>AL1231-AK1231</f>
        <v/>
      </c>
      <c r="AN1231" s="75">
        <f>SUMIFS([1]инфо!$G$15:$G$28,[1]инфо!$A$15:$A$28,F1231)</f>
        <v/>
      </c>
      <c r="AO1231" s="64">
        <f>IF(H1231=0,0,AA1231/H1231)</f>
        <v/>
      </c>
      <c r="AP1231" s="76">
        <f>AO1231-AN1231</f>
        <v/>
      </c>
      <c r="AQ1231" s="75">
        <f>SUMIFS([1]инфо!$H$15:$H$28,[1]инфо!$A$15:$A$28,F1231)</f>
        <v/>
      </c>
      <c r="AR1231" s="64">
        <f>IF(H1230=0,0,AC1231/H1230)</f>
        <v/>
      </c>
      <c r="AS1231" s="76">
        <f>AR1231-AQ1231</f>
        <v/>
      </c>
      <c r="AT1231" s="75">
        <f>SUMIFS([1]инфо!$I$15:$I$28,[1]инфо!$A$15:$A$28,F1231)</f>
        <v/>
      </c>
      <c r="AU1231" s="62">
        <f>IF(H1231=0,0,AD1231/H1231)</f>
        <v/>
      </c>
      <c r="AV1231" s="76">
        <f>AU1231-AT1231</f>
        <v/>
      </c>
      <c r="AX1231" s="70">
        <f>SUMIFS([1]инфо!$C$15:$C$28,[1]инфо!$A$15:$A$28,F1231)*H1230</f>
        <v/>
      </c>
    </row>
    <row r="1232">
      <c r="A1232" s="71">
        <f>A1230+1</f>
        <v/>
      </c>
      <c r="B1232" s="90" t="n"/>
      <c r="C1232" s="52" t="n"/>
      <c r="D1232" s="53" t="n"/>
      <c r="E1232" s="91" t="n"/>
      <c r="F1232" s="67" t="n"/>
      <c r="G1232" s="58" t="n"/>
      <c r="H1232" s="55" t="n"/>
      <c r="I1232" s="55" t="n"/>
      <c r="J1232" s="55" t="n"/>
      <c r="K1232" s="55" t="n"/>
      <c r="L1232" s="55" t="n"/>
      <c r="M1232" s="55" t="n"/>
      <c r="N1232" s="55" t="n"/>
      <c r="O1232" s="58" t="n"/>
      <c r="P1232" s="58" t="n"/>
      <c r="Q1232" s="58" t="n"/>
      <c r="R1232" s="58" t="n"/>
      <c r="S1232" s="59">
        <f>SUM(O1232:R1232)</f>
        <v/>
      </c>
      <c r="T1232" s="52" t="n"/>
      <c r="U1232" s="53" t="n"/>
      <c r="V1232" s="58" t="n"/>
      <c r="W1232" s="58" t="n"/>
      <c r="X1232" s="58" t="n"/>
      <c r="Y1232" s="52" t="n"/>
      <c r="Z1232" s="58" t="n"/>
      <c r="AA1232" s="58" t="n"/>
      <c r="AB1232" s="58" t="n"/>
      <c r="AC1232" s="58" t="n"/>
      <c r="AD1232" s="53" t="n"/>
      <c r="AE1232" s="61">
        <f>SUMIFS([1]инфо!$D$15:$D$28,[1]инфо!$A$15:$A$28,F1232)</f>
        <v/>
      </c>
      <c r="AF1232" s="62">
        <f>IF(H1232=0,0,N1232/H1232)</f>
        <v/>
      </c>
      <c r="AG1232" s="63">
        <f>AF1232-AE1232</f>
        <v/>
      </c>
      <c r="AH1232" s="61">
        <f>SUMIFS([1]инфо!$E$15:$E$28,[1]инфо!$A$15:$A$28,F1232)</f>
        <v/>
      </c>
      <c r="AI1232" s="62">
        <f>IF(H1231=0,0,S1232/H1231)</f>
        <v/>
      </c>
      <c r="AJ1232" s="63">
        <f>AI1232-AH1232</f>
        <v/>
      </c>
      <c r="AK1232" s="61">
        <f>SUMIFS([1]инфо!$F$15:$F$28,[1]инфо!$A$15:$A$28,F1232)</f>
        <v/>
      </c>
      <c r="AL1232" s="64">
        <f>IF(H1232=0,0,Y1232/H1232)</f>
        <v/>
      </c>
      <c r="AM1232" s="63">
        <f>AL1232-AK1232</f>
        <v/>
      </c>
      <c r="AN1232" s="61">
        <f>SUMIFS([1]инфо!$G$15:$G$28,[1]инфо!$A$15:$A$28,F1232)</f>
        <v/>
      </c>
      <c r="AO1232" s="64">
        <f>IF(H1232=0,0,AA1232/H1232)</f>
        <v/>
      </c>
      <c r="AP1232" s="63">
        <f>AO1232-AN1232</f>
        <v/>
      </c>
      <c r="AQ1232" s="61">
        <f>SUMIFS([1]инфо!$H$15:$H$28,[1]инфо!$A$15:$A$28,F1232)</f>
        <v/>
      </c>
      <c r="AR1232" s="62">
        <f>IF(H1231=0,0,AC1232/H1231)</f>
        <v/>
      </c>
      <c r="AS1232" s="63">
        <f>AR1232-AQ1232</f>
        <v/>
      </c>
      <c r="AT1232" s="61">
        <f>SUMIFS([1]инфо!$I$15:$I$28,[1]инфо!$A$15:$A$28,F1232)</f>
        <v/>
      </c>
      <c r="AU1232" s="62">
        <f>IF(H1232=0,0,AD1232/H1232)</f>
        <v/>
      </c>
      <c r="AV1232" s="63">
        <f>AU1232-AT1232</f>
        <v/>
      </c>
      <c r="AX1232" s="59">
        <f>SUMIFS([1]инфо!$C$15:$C$28,[1]инфо!$A$15:$A$28,F1232)*H1231</f>
        <v/>
      </c>
    </row>
    <row r="1233">
      <c r="A1233" s="71">
        <f>A1231+1</f>
        <v/>
      </c>
      <c r="B1233" s="90" t="n"/>
      <c r="C1233" s="52" t="n"/>
      <c r="D1233" s="53" t="n"/>
      <c r="E1233" s="91" t="n"/>
      <c r="F1233" s="67" t="n"/>
      <c r="G1233" s="58" t="n"/>
      <c r="H1233" s="56" t="n"/>
      <c r="I1233" s="55" t="n"/>
      <c r="J1233" s="55" t="n"/>
      <c r="K1233" s="55" t="n"/>
      <c r="L1233" s="55" t="n"/>
      <c r="M1233" s="55" t="n"/>
      <c r="N1233" s="55" t="n"/>
      <c r="O1233" s="58" t="n"/>
      <c r="P1233" s="58" t="n"/>
      <c r="Q1233" s="58" t="n"/>
      <c r="R1233" s="58" t="n"/>
      <c r="S1233" s="59">
        <f>SUM(O1233:R1233)</f>
        <v/>
      </c>
      <c r="T1233" s="52" t="n"/>
      <c r="U1233" s="53" t="n"/>
      <c r="V1233" s="58" t="n"/>
      <c r="W1233" s="58" t="n"/>
      <c r="X1233" s="58" t="n"/>
      <c r="Y1233" s="52" t="n"/>
      <c r="Z1233" s="58" t="n"/>
      <c r="AA1233" s="58" t="n"/>
      <c r="AB1233" s="58" t="n"/>
      <c r="AC1233" s="58" t="n"/>
      <c r="AD1233" s="53" t="n"/>
      <c r="AE1233" s="61">
        <f>SUMIFS([1]инфо!$D$15:$D$28,[1]инфо!$A$15:$A$28,F1233)</f>
        <v/>
      </c>
      <c r="AF1233" s="62">
        <f>IF(H1233=0,0,N1233/H1233)</f>
        <v/>
      </c>
      <c r="AG1233" s="63">
        <f>AF1233-AE1233</f>
        <v/>
      </c>
      <c r="AH1233" s="61">
        <f>SUMIFS([1]инфо!$E$15:$E$28,[1]инфо!$A$15:$A$28,F1233)</f>
        <v/>
      </c>
      <c r="AI1233" s="62">
        <f>IF(H1232=0,0,S1233/H1232)</f>
        <v/>
      </c>
      <c r="AJ1233" s="63">
        <f>AI1233-AH1233</f>
        <v/>
      </c>
      <c r="AK1233" s="61">
        <f>SUMIFS([1]инфо!$F$15:$F$28,[1]инфо!$A$15:$A$28,F1233)</f>
        <v/>
      </c>
      <c r="AL1233" s="64">
        <f>IF(H1233=0,0,Y1233/H1233)</f>
        <v/>
      </c>
      <c r="AM1233" s="63">
        <f>AL1233-AK1233</f>
        <v/>
      </c>
      <c r="AN1233" s="61">
        <f>SUMIFS([1]инфо!$G$15:$G$28,[1]инфо!$A$15:$A$28,F1233)</f>
        <v/>
      </c>
      <c r="AO1233" s="64">
        <f>IF(H1233=0,0,AA1233/H1233)</f>
        <v/>
      </c>
      <c r="AP1233" s="63">
        <f>AO1233-AN1233</f>
        <v/>
      </c>
      <c r="AQ1233" s="61">
        <f>SUMIFS([1]инфо!$H$15:$H$28,[1]инфо!$A$15:$A$28,F1233)</f>
        <v/>
      </c>
      <c r="AR1233" s="62">
        <f>IF(H1232=0,0,AC1233/H1232)</f>
        <v/>
      </c>
      <c r="AS1233" s="63">
        <f>AR1233-AQ1233</f>
        <v/>
      </c>
      <c r="AT1233" s="61">
        <f>SUMIFS([1]инфо!$I$15:$I$28,[1]инфо!$A$15:$A$28,F1233)</f>
        <v/>
      </c>
      <c r="AU1233" s="62">
        <f>IF(H1233=0,0,AD1233/H1233)</f>
        <v/>
      </c>
      <c r="AV1233" s="63">
        <f>AU1233-AT1233</f>
        <v/>
      </c>
      <c r="AX1233" s="59">
        <f>SUMIFS([1]инфо!$C$15:$C$28,[1]инфо!$A$15:$A$28,F1233)*H1232</f>
        <v/>
      </c>
    </row>
    <row r="1234">
      <c r="A1234" s="71">
        <f>A1232+1</f>
        <v/>
      </c>
      <c r="B1234" s="88" t="n"/>
      <c r="C1234" s="77" t="n"/>
      <c r="D1234" s="78" t="n"/>
      <c r="E1234" s="91" t="n"/>
      <c r="F1234" s="67" t="n"/>
      <c r="G1234" s="79" t="n"/>
      <c r="H1234" s="67" t="n"/>
      <c r="I1234" s="55" t="n"/>
      <c r="J1234" s="55" t="n"/>
      <c r="K1234" s="55" t="n"/>
      <c r="L1234" s="55" t="n"/>
      <c r="M1234" s="55" t="n"/>
      <c r="N1234" s="56" t="n"/>
      <c r="O1234" s="79" t="n"/>
      <c r="P1234" s="79" t="n"/>
      <c r="Q1234" s="79" t="n"/>
      <c r="R1234" s="79" t="n"/>
      <c r="S1234" s="80">
        <f>SUM(O1234:R1234)</f>
        <v/>
      </c>
      <c r="T1234" s="77" t="n"/>
      <c r="U1234" s="78" t="n"/>
      <c r="V1234" s="79" t="n"/>
      <c r="W1234" s="79" t="n"/>
      <c r="X1234" s="79" t="n"/>
      <c r="Y1234" s="77" t="n"/>
      <c r="Z1234" s="79" t="n"/>
      <c r="AA1234" s="79" t="n"/>
      <c r="AB1234" s="79" t="n"/>
      <c r="AC1234" s="79" t="n"/>
      <c r="AD1234" s="78" t="n"/>
      <c r="AE1234" s="81">
        <f>SUMIFS([1]инфо!$D$15:$D$28,[1]инфо!$A$15:$A$28,F1234)</f>
        <v/>
      </c>
      <c r="AF1234" s="62">
        <f>IF(H1234=0,0,N1234/H1234)</f>
        <v/>
      </c>
      <c r="AG1234" s="82">
        <f>AF1234-AE1234</f>
        <v/>
      </c>
      <c r="AH1234" s="81">
        <f>SUMIFS([1]инфо!$E$15:$E$28,[1]инфо!$A$15:$A$28,F1234)</f>
        <v/>
      </c>
      <c r="AI1234" s="85">
        <f>IF(H1233=0,0,S1234/H1233)</f>
        <v/>
      </c>
      <c r="AJ1234" s="82">
        <f>AI1234-AH1234</f>
        <v/>
      </c>
      <c r="AK1234" s="81">
        <f>SUMIFS([1]инфо!$F$15:$F$28,[1]инфо!$A$15:$A$28,F1234)</f>
        <v/>
      </c>
      <c r="AL1234" s="64">
        <f>IF(H1234=0,0,Y1234/H1234)</f>
        <v/>
      </c>
      <c r="AM1234" s="82">
        <f>AL1234-AK1234</f>
        <v/>
      </c>
      <c r="AN1234" s="81">
        <f>SUMIFS([1]инфо!$G$15:$G$28,[1]инфо!$A$15:$A$28,F1234)</f>
        <v/>
      </c>
      <c r="AO1234" s="64">
        <f>IF(H1234=0,0,AA1234/H1234)</f>
        <v/>
      </c>
      <c r="AP1234" s="82">
        <f>AO1234-AN1234</f>
        <v/>
      </c>
      <c r="AQ1234" s="81">
        <f>SUMIFS([1]инфо!$H$15:$H$28,[1]инфо!$A$15:$A$28,F1234)</f>
        <v/>
      </c>
      <c r="AR1234" s="85">
        <f>IF(H1233=0,0,AC1234/H1233)</f>
        <v/>
      </c>
      <c r="AS1234" s="82">
        <f>AR1234-AQ1234</f>
        <v/>
      </c>
      <c r="AT1234" s="81">
        <f>SUMIFS([1]инфо!$I$15:$I$28,[1]инфо!$A$15:$A$28,F1234)</f>
        <v/>
      </c>
      <c r="AU1234" s="62">
        <f>IF(H1234=0,0,AD1234/H1234)</f>
        <v/>
      </c>
      <c r="AV1234" s="82">
        <f>AU1234-AT1234</f>
        <v/>
      </c>
      <c r="AX1234" s="80">
        <f>SUMIFS([1]инфо!$C$15:$C$28,[1]инфо!$A$15:$A$28,F1234)*H1233</f>
        <v/>
      </c>
    </row>
    <row r="1235">
      <c r="A1235" s="71">
        <f>A1233+1</f>
        <v/>
      </c>
      <c r="B1235" s="89" t="n"/>
      <c r="C1235" s="72" t="n"/>
      <c r="D1235" s="73" t="n"/>
      <c r="E1235" s="91" t="n"/>
      <c r="F1235" s="67" t="n"/>
      <c r="G1235" s="74" t="n"/>
      <c r="H1235" s="55" t="n"/>
      <c r="I1235" s="55" t="n"/>
      <c r="J1235" s="55" t="n"/>
      <c r="K1235" s="55" t="n"/>
      <c r="L1235" s="55" t="n"/>
      <c r="M1235" s="55" t="n"/>
      <c r="N1235" s="67" t="n"/>
      <c r="O1235" s="74" t="n"/>
      <c r="P1235" s="74" t="n"/>
      <c r="Q1235" s="74" t="n"/>
      <c r="R1235" s="74" t="n"/>
      <c r="S1235" s="70">
        <f>SUM(O1235:R1235)</f>
        <v/>
      </c>
      <c r="T1235" s="72" t="n"/>
      <c r="U1235" s="73" t="n"/>
      <c r="V1235" s="74" t="n"/>
      <c r="W1235" s="74" t="n"/>
      <c r="X1235" s="74" t="n"/>
      <c r="Y1235" s="72" t="n"/>
      <c r="Z1235" s="74" t="n"/>
      <c r="AA1235" s="74" t="n"/>
      <c r="AB1235" s="74" t="n"/>
      <c r="AC1235" s="74" t="n"/>
      <c r="AD1235" s="73" t="n"/>
      <c r="AE1235" s="75">
        <f>SUMIFS([1]инфо!$D$15:$D$28,[1]инфо!$A$15:$A$28,F1235)</f>
        <v/>
      </c>
      <c r="AF1235" s="62">
        <f>IF(H1235=0,0,N1235/H1235)</f>
        <v/>
      </c>
      <c r="AG1235" s="76">
        <f>AF1235-AE1235</f>
        <v/>
      </c>
      <c r="AH1235" s="75">
        <f>SUMIFS([1]инфо!$E$15:$E$28,[1]инфо!$A$15:$A$28,F1235)</f>
        <v/>
      </c>
      <c r="AI1235" s="64">
        <f>IF(H1234=0,0,S1235/H1234)</f>
        <v/>
      </c>
      <c r="AJ1235" s="76">
        <f>AI1235-AH1235</f>
        <v/>
      </c>
      <c r="AK1235" s="75">
        <f>SUMIFS([1]инфо!$F$15:$F$28,[1]инфо!$A$15:$A$28,F1235)</f>
        <v/>
      </c>
      <c r="AL1235" s="64">
        <f>IF(H1235=0,0,Y1235/H1235)</f>
        <v/>
      </c>
      <c r="AM1235" s="76">
        <f>AL1235-AK1235</f>
        <v/>
      </c>
      <c r="AN1235" s="75">
        <f>SUMIFS([1]инфо!$G$15:$G$28,[1]инфо!$A$15:$A$28,F1235)</f>
        <v/>
      </c>
      <c r="AO1235" s="64">
        <f>IF(H1235=0,0,AA1235/H1235)</f>
        <v/>
      </c>
      <c r="AP1235" s="76">
        <f>AO1235-AN1235</f>
        <v/>
      </c>
      <c r="AQ1235" s="75">
        <f>SUMIFS([1]инфо!$H$15:$H$28,[1]инфо!$A$15:$A$28,F1235)</f>
        <v/>
      </c>
      <c r="AR1235" s="64">
        <f>IF(H1234=0,0,AC1235/H1234)</f>
        <v/>
      </c>
      <c r="AS1235" s="76">
        <f>AR1235-AQ1235</f>
        <v/>
      </c>
      <c r="AT1235" s="75">
        <f>SUMIFS([1]инфо!$I$15:$I$28,[1]инфо!$A$15:$A$28,F1235)</f>
        <v/>
      </c>
      <c r="AU1235" s="62">
        <f>IF(H1235=0,0,AD1235/H1235)</f>
        <v/>
      </c>
      <c r="AV1235" s="76">
        <f>AU1235-AT1235</f>
        <v/>
      </c>
      <c r="AX1235" s="70">
        <f>SUMIFS([1]инфо!$C$15:$C$28,[1]инфо!$A$15:$A$28,F1235)*H1234</f>
        <v/>
      </c>
    </row>
    <row r="1236">
      <c r="A1236" s="71">
        <f>A1234+1</f>
        <v/>
      </c>
      <c r="B1236" s="90" t="n"/>
      <c r="C1236" s="52" t="n"/>
      <c r="D1236" s="53" t="n"/>
      <c r="E1236" s="91" t="n"/>
      <c r="F1236" s="67" t="n"/>
      <c r="G1236" s="58" t="n"/>
      <c r="H1236" s="55" t="n"/>
      <c r="I1236" s="55" t="n"/>
      <c r="J1236" s="55" t="n"/>
      <c r="K1236" s="55" t="n"/>
      <c r="L1236" s="55" t="n"/>
      <c r="M1236" s="55" t="n"/>
      <c r="N1236" s="55" t="n"/>
      <c r="O1236" s="58" t="n"/>
      <c r="P1236" s="58" t="n"/>
      <c r="Q1236" s="58" t="n"/>
      <c r="R1236" s="58" t="n"/>
      <c r="S1236" s="59">
        <f>SUM(O1236:R1236)</f>
        <v/>
      </c>
      <c r="T1236" s="52" t="n"/>
      <c r="U1236" s="53" t="n"/>
      <c r="V1236" s="58" t="n"/>
      <c r="W1236" s="58" t="n"/>
      <c r="X1236" s="58" t="n"/>
      <c r="Y1236" s="52" t="n"/>
      <c r="Z1236" s="58" t="n"/>
      <c r="AA1236" s="58" t="n"/>
      <c r="AB1236" s="58" t="n"/>
      <c r="AC1236" s="58" t="n"/>
      <c r="AD1236" s="53" t="n"/>
      <c r="AE1236" s="61">
        <f>SUMIFS([1]инфо!$D$15:$D$28,[1]инфо!$A$15:$A$28,F1236)</f>
        <v/>
      </c>
      <c r="AF1236" s="62">
        <f>IF(H1236=0,0,N1236/H1236)</f>
        <v/>
      </c>
      <c r="AG1236" s="63">
        <f>AF1236-AE1236</f>
        <v/>
      </c>
      <c r="AH1236" s="61">
        <f>SUMIFS([1]инфо!$E$15:$E$28,[1]инфо!$A$15:$A$28,F1236)</f>
        <v/>
      </c>
      <c r="AI1236" s="62">
        <f>IF(H1235=0,0,S1236/H1235)</f>
        <v/>
      </c>
      <c r="AJ1236" s="63">
        <f>AI1236-AH1236</f>
        <v/>
      </c>
      <c r="AK1236" s="61">
        <f>SUMIFS([1]инфо!$F$15:$F$28,[1]инфо!$A$15:$A$28,F1236)</f>
        <v/>
      </c>
      <c r="AL1236" s="64">
        <f>IF(H1236=0,0,Y1236/H1236)</f>
        <v/>
      </c>
      <c r="AM1236" s="63">
        <f>AL1236-AK1236</f>
        <v/>
      </c>
      <c r="AN1236" s="61">
        <f>SUMIFS([1]инфо!$G$15:$G$28,[1]инфо!$A$15:$A$28,F1236)</f>
        <v/>
      </c>
      <c r="AO1236" s="64">
        <f>IF(H1236=0,0,AA1236/H1236)</f>
        <v/>
      </c>
      <c r="AP1236" s="63">
        <f>AO1236-AN1236</f>
        <v/>
      </c>
      <c r="AQ1236" s="61">
        <f>SUMIFS([1]инфо!$H$15:$H$28,[1]инфо!$A$15:$A$28,F1236)</f>
        <v/>
      </c>
      <c r="AR1236" s="62">
        <f>IF(H1235=0,0,AC1236/H1235)</f>
        <v/>
      </c>
      <c r="AS1236" s="63">
        <f>AR1236-AQ1236</f>
        <v/>
      </c>
      <c r="AT1236" s="61">
        <f>SUMIFS([1]инфо!$I$15:$I$28,[1]инфо!$A$15:$A$28,F1236)</f>
        <v/>
      </c>
      <c r="AU1236" s="62">
        <f>IF(H1236=0,0,AD1236/H1236)</f>
        <v/>
      </c>
      <c r="AV1236" s="63">
        <f>AU1236-AT1236</f>
        <v/>
      </c>
      <c r="AX1236" s="59">
        <f>SUMIFS([1]инфо!$C$15:$C$28,[1]инфо!$A$15:$A$28,F1236)*H1235</f>
        <v/>
      </c>
    </row>
    <row r="1237">
      <c r="A1237" s="71">
        <f>A1235+1</f>
        <v/>
      </c>
      <c r="B1237" s="90" t="n"/>
      <c r="C1237" s="52" t="n"/>
      <c r="D1237" s="53" t="n"/>
      <c r="E1237" s="91" t="n"/>
      <c r="F1237" s="67" t="n"/>
      <c r="G1237" s="58" t="n"/>
      <c r="H1237" s="56" t="n"/>
      <c r="I1237" s="55" t="n"/>
      <c r="J1237" s="55" t="n"/>
      <c r="K1237" s="55" t="n"/>
      <c r="L1237" s="55" t="n"/>
      <c r="M1237" s="55" t="n"/>
      <c r="N1237" s="55" t="n"/>
      <c r="O1237" s="58" t="n"/>
      <c r="P1237" s="58" t="n"/>
      <c r="Q1237" s="58" t="n"/>
      <c r="R1237" s="58" t="n"/>
      <c r="S1237" s="59">
        <f>SUM(O1237:R1237)</f>
        <v/>
      </c>
      <c r="T1237" s="52" t="n"/>
      <c r="U1237" s="53" t="n"/>
      <c r="V1237" s="58" t="n"/>
      <c r="W1237" s="58" t="n"/>
      <c r="X1237" s="58" t="n"/>
      <c r="Y1237" s="52" t="n"/>
      <c r="Z1237" s="58" t="n"/>
      <c r="AA1237" s="58" t="n"/>
      <c r="AB1237" s="58" t="n"/>
      <c r="AC1237" s="58" t="n"/>
      <c r="AD1237" s="53" t="n"/>
      <c r="AE1237" s="61">
        <f>SUMIFS([1]инфо!$D$15:$D$28,[1]инфо!$A$15:$A$28,F1237)</f>
        <v/>
      </c>
      <c r="AF1237" s="62">
        <f>IF(H1237=0,0,N1237/H1237)</f>
        <v/>
      </c>
      <c r="AG1237" s="63">
        <f>AF1237-AE1237</f>
        <v/>
      </c>
      <c r="AH1237" s="61">
        <f>SUMIFS([1]инфо!$E$15:$E$28,[1]инфо!$A$15:$A$28,F1237)</f>
        <v/>
      </c>
      <c r="AI1237" s="62">
        <f>IF(H1236=0,0,S1237/H1236)</f>
        <v/>
      </c>
      <c r="AJ1237" s="63">
        <f>AI1237-AH1237</f>
        <v/>
      </c>
      <c r="AK1237" s="61">
        <f>SUMIFS([1]инфо!$F$15:$F$28,[1]инфо!$A$15:$A$28,F1237)</f>
        <v/>
      </c>
      <c r="AL1237" s="64">
        <f>IF(H1237=0,0,Y1237/H1237)</f>
        <v/>
      </c>
      <c r="AM1237" s="63">
        <f>AL1237-AK1237</f>
        <v/>
      </c>
      <c r="AN1237" s="61">
        <f>SUMIFS([1]инфо!$G$15:$G$28,[1]инфо!$A$15:$A$28,F1237)</f>
        <v/>
      </c>
      <c r="AO1237" s="64">
        <f>IF(H1237=0,0,AA1237/H1237)</f>
        <v/>
      </c>
      <c r="AP1237" s="63">
        <f>AO1237-AN1237</f>
        <v/>
      </c>
      <c r="AQ1237" s="61">
        <f>SUMIFS([1]инфо!$H$15:$H$28,[1]инфо!$A$15:$A$28,F1237)</f>
        <v/>
      </c>
      <c r="AR1237" s="62">
        <f>IF(H1236=0,0,AC1237/H1236)</f>
        <v/>
      </c>
      <c r="AS1237" s="63">
        <f>AR1237-AQ1237</f>
        <v/>
      </c>
      <c r="AT1237" s="61">
        <f>SUMIFS([1]инфо!$I$15:$I$28,[1]инфо!$A$15:$A$28,F1237)</f>
        <v/>
      </c>
      <c r="AU1237" s="62">
        <f>IF(H1237=0,0,AD1237/H1237)</f>
        <v/>
      </c>
      <c r="AV1237" s="63">
        <f>AU1237-AT1237</f>
        <v/>
      </c>
      <c r="AX1237" s="59">
        <f>SUMIFS([1]инфо!$C$15:$C$28,[1]инфо!$A$15:$A$28,F1237)*H1236</f>
        <v/>
      </c>
    </row>
    <row r="1238">
      <c r="A1238" s="71">
        <f>A1236+1</f>
        <v/>
      </c>
      <c r="B1238" s="88" t="n"/>
      <c r="C1238" s="77" t="n"/>
      <c r="D1238" s="78" t="n"/>
      <c r="E1238" s="91" t="n"/>
      <c r="F1238" s="67" t="n"/>
      <c r="G1238" s="79" t="n"/>
      <c r="H1238" s="67" t="n"/>
      <c r="I1238" s="55" t="n"/>
      <c r="J1238" s="55" t="n"/>
      <c r="K1238" s="55" t="n"/>
      <c r="L1238" s="55" t="n"/>
      <c r="M1238" s="55" t="n"/>
      <c r="N1238" s="56" t="n"/>
      <c r="O1238" s="79" t="n"/>
      <c r="P1238" s="79" t="n"/>
      <c r="Q1238" s="79" t="n"/>
      <c r="R1238" s="79" t="n"/>
      <c r="S1238" s="80">
        <f>SUM(O1238:R1238)</f>
        <v/>
      </c>
      <c r="T1238" s="77" t="n"/>
      <c r="U1238" s="78" t="n"/>
      <c r="V1238" s="79" t="n"/>
      <c r="W1238" s="79" t="n"/>
      <c r="X1238" s="79" t="n"/>
      <c r="Y1238" s="77" t="n"/>
      <c r="Z1238" s="79" t="n"/>
      <c r="AA1238" s="79" t="n"/>
      <c r="AB1238" s="79" t="n"/>
      <c r="AC1238" s="79" t="n"/>
      <c r="AD1238" s="78" t="n"/>
      <c r="AE1238" s="81">
        <f>SUMIFS([1]инфо!$D$15:$D$28,[1]инфо!$A$15:$A$28,F1238)</f>
        <v/>
      </c>
      <c r="AF1238" s="62">
        <f>IF(H1238=0,0,N1238/H1238)</f>
        <v/>
      </c>
      <c r="AG1238" s="82">
        <f>AF1238-AE1238</f>
        <v/>
      </c>
      <c r="AH1238" s="81">
        <f>SUMIFS([1]инфо!$E$15:$E$28,[1]инфо!$A$15:$A$28,F1238)</f>
        <v/>
      </c>
      <c r="AI1238" s="85">
        <f>IF(H1237=0,0,S1238/H1237)</f>
        <v/>
      </c>
      <c r="AJ1238" s="82">
        <f>AI1238-AH1238</f>
        <v/>
      </c>
      <c r="AK1238" s="81">
        <f>SUMIFS([1]инфо!$F$15:$F$28,[1]инфо!$A$15:$A$28,F1238)</f>
        <v/>
      </c>
      <c r="AL1238" s="64">
        <f>IF(H1238=0,0,Y1238/H1238)</f>
        <v/>
      </c>
      <c r="AM1238" s="82">
        <f>AL1238-AK1238</f>
        <v/>
      </c>
      <c r="AN1238" s="81">
        <f>SUMIFS([1]инфо!$G$15:$G$28,[1]инфо!$A$15:$A$28,F1238)</f>
        <v/>
      </c>
      <c r="AO1238" s="64">
        <f>IF(H1238=0,0,AA1238/H1238)</f>
        <v/>
      </c>
      <c r="AP1238" s="82">
        <f>AO1238-AN1238</f>
        <v/>
      </c>
      <c r="AQ1238" s="81">
        <f>SUMIFS([1]инфо!$H$15:$H$28,[1]инфо!$A$15:$A$28,F1238)</f>
        <v/>
      </c>
      <c r="AR1238" s="85">
        <f>IF(H1237=0,0,AC1238/H1237)</f>
        <v/>
      </c>
      <c r="AS1238" s="82">
        <f>AR1238-AQ1238</f>
        <v/>
      </c>
      <c r="AT1238" s="81">
        <f>SUMIFS([1]инфо!$I$15:$I$28,[1]инфо!$A$15:$A$28,F1238)</f>
        <v/>
      </c>
      <c r="AU1238" s="62">
        <f>IF(H1238=0,0,AD1238/H1238)</f>
        <v/>
      </c>
      <c r="AV1238" s="82">
        <f>AU1238-AT1238</f>
        <v/>
      </c>
      <c r="AX1238" s="80">
        <f>SUMIFS([1]инфо!$C$15:$C$28,[1]инфо!$A$15:$A$28,F1238)*H1237</f>
        <v/>
      </c>
    </row>
    <row r="1239">
      <c r="A1239" s="71">
        <f>A1237+1</f>
        <v/>
      </c>
      <c r="B1239" s="89" t="n"/>
      <c r="C1239" s="72" t="n"/>
      <c r="D1239" s="73" t="n"/>
      <c r="E1239" s="91" t="n"/>
      <c r="F1239" s="67" t="n"/>
      <c r="G1239" s="74" t="n"/>
      <c r="H1239" s="55" t="n"/>
      <c r="I1239" s="55" t="n"/>
      <c r="J1239" s="55" t="n"/>
      <c r="K1239" s="55" t="n"/>
      <c r="L1239" s="55" t="n"/>
      <c r="M1239" s="55" t="n"/>
      <c r="N1239" s="67" t="n"/>
      <c r="O1239" s="74" t="n"/>
      <c r="P1239" s="74" t="n"/>
      <c r="Q1239" s="74" t="n"/>
      <c r="R1239" s="74" t="n"/>
      <c r="S1239" s="70">
        <f>SUM(O1239:R1239)</f>
        <v/>
      </c>
      <c r="T1239" s="72" t="n"/>
      <c r="U1239" s="73" t="n"/>
      <c r="V1239" s="74" t="n"/>
      <c r="W1239" s="74" t="n"/>
      <c r="X1239" s="74" t="n"/>
      <c r="Y1239" s="72" t="n"/>
      <c r="Z1239" s="74" t="n"/>
      <c r="AA1239" s="74" t="n"/>
      <c r="AB1239" s="74" t="n"/>
      <c r="AC1239" s="74" t="n"/>
      <c r="AD1239" s="73" t="n"/>
      <c r="AE1239" s="75">
        <f>SUMIFS([1]инфо!$D$15:$D$28,[1]инфо!$A$15:$A$28,F1239)</f>
        <v/>
      </c>
      <c r="AF1239" s="62">
        <f>IF(H1239=0,0,N1239/H1239)</f>
        <v/>
      </c>
      <c r="AG1239" s="76">
        <f>AF1239-AE1239</f>
        <v/>
      </c>
      <c r="AH1239" s="75">
        <f>SUMIFS([1]инфо!$E$15:$E$28,[1]инфо!$A$15:$A$28,F1239)</f>
        <v/>
      </c>
      <c r="AI1239" s="64">
        <f>IF(H1238=0,0,S1239/H1238)</f>
        <v/>
      </c>
      <c r="AJ1239" s="76">
        <f>AI1239-AH1239</f>
        <v/>
      </c>
      <c r="AK1239" s="75">
        <f>SUMIFS([1]инфо!$F$15:$F$28,[1]инфо!$A$15:$A$28,F1239)</f>
        <v/>
      </c>
      <c r="AL1239" s="64">
        <f>IF(H1239=0,0,Y1239/H1239)</f>
        <v/>
      </c>
      <c r="AM1239" s="76">
        <f>AL1239-AK1239</f>
        <v/>
      </c>
      <c r="AN1239" s="75">
        <f>SUMIFS([1]инфо!$G$15:$G$28,[1]инфо!$A$15:$A$28,F1239)</f>
        <v/>
      </c>
      <c r="AO1239" s="64">
        <f>IF(H1239=0,0,AA1239/H1239)</f>
        <v/>
      </c>
      <c r="AP1239" s="76">
        <f>AO1239-AN1239</f>
        <v/>
      </c>
      <c r="AQ1239" s="75">
        <f>SUMIFS([1]инфо!$H$15:$H$28,[1]инфо!$A$15:$A$28,F1239)</f>
        <v/>
      </c>
      <c r="AR1239" s="64">
        <f>IF(H1238=0,0,AC1239/H1238)</f>
        <v/>
      </c>
      <c r="AS1239" s="76">
        <f>AR1239-AQ1239</f>
        <v/>
      </c>
      <c r="AT1239" s="75">
        <f>SUMIFS([1]инфо!$I$15:$I$28,[1]инфо!$A$15:$A$28,F1239)</f>
        <v/>
      </c>
      <c r="AU1239" s="62">
        <f>IF(H1239=0,0,AD1239/H1239)</f>
        <v/>
      </c>
      <c r="AV1239" s="76">
        <f>AU1239-AT1239</f>
        <v/>
      </c>
      <c r="AX1239" s="70">
        <f>SUMIFS([1]инфо!$C$15:$C$28,[1]инфо!$A$15:$A$28,F1239)*H1238</f>
        <v/>
      </c>
    </row>
    <row r="1240">
      <c r="A1240" s="71">
        <f>A1238+1</f>
        <v/>
      </c>
      <c r="B1240" s="90" t="n"/>
      <c r="C1240" s="52" t="n"/>
      <c r="D1240" s="53" t="n"/>
      <c r="E1240" s="91" t="n"/>
      <c r="F1240" s="67" t="n"/>
      <c r="G1240" s="58" t="n"/>
      <c r="H1240" s="55" t="n"/>
      <c r="I1240" s="55" t="n"/>
      <c r="J1240" s="55" t="n"/>
      <c r="K1240" s="55" t="n"/>
      <c r="L1240" s="55" t="n"/>
      <c r="M1240" s="55" t="n"/>
      <c r="N1240" s="55" t="n"/>
      <c r="O1240" s="58" t="n"/>
      <c r="P1240" s="58" t="n"/>
      <c r="Q1240" s="58" t="n"/>
      <c r="R1240" s="58" t="n"/>
      <c r="S1240" s="59">
        <f>SUM(O1240:R1240)</f>
        <v/>
      </c>
      <c r="T1240" s="52" t="n"/>
      <c r="U1240" s="53" t="n"/>
      <c r="V1240" s="58" t="n"/>
      <c r="W1240" s="58" t="n"/>
      <c r="X1240" s="58" t="n"/>
      <c r="Y1240" s="52" t="n"/>
      <c r="Z1240" s="58" t="n"/>
      <c r="AA1240" s="58" t="n"/>
      <c r="AB1240" s="58" t="n"/>
      <c r="AC1240" s="58" t="n"/>
      <c r="AD1240" s="53" t="n"/>
      <c r="AE1240" s="61">
        <f>SUMIFS([1]инфо!$D$15:$D$28,[1]инфо!$A$15:$A$28,F1240)</f>
        <v/>
      </c>
      <c r="AF1240" s="62">
        <f>IF(H1240=0,0,N1240/H1240)</f>
        <v/>
      </c>
      <c r="AG1240" s="63">
        <f>AF1240-AE1240</f>
        <v/>
      </c>
      <c r="AH1240" s="61">
        <f>SUMIFS([1]инфо!$E$15:$E$28,[1]инфо!$A$15:$A$28,F1240)</f>
        <v/>
      </c>
      <c r="AI1240" s="62">
        <f>IF(H1239=0,0,S1240/H1239)</f>
        <v/>
      </c>
      <c r="AJ1240" s="63">
        <f>AI1240-AH1240</f>
        <v/>
      </c>
      <c r="AK1240" s="61">
        <f>SUMIFS([1]инфо!$F$15:$F$28,[1]инфо!$A$15:$A$28,F1240)</f>
        <v/>
      </c>
      <c r="AL1240" s="64">
        <f>IF(H1240=0,0,Y1240/H1240)</f>
        <v/>
      </c>
      <c r="AM1240" s="63">
        <f>AL1240-AK1240</f>
        <v/>
      </c>
      <c r="AN1240" s="61">
        <f>SUMIFS([1]инфо!$G$15:$G$28,[1]инфо!$A$15:$A$28,F1240)</f>
        <v/>
      </c>
      <c r="AO1240" s="64">
        <f>IF(H1240=0,0,AA1240/H1240)</f>
        <v/>
      </c>
      <c r="AP1240" s="63">
        <f>AO1240-AN1240</f>
        <v/>
      </c>
      <c r="AQ1240" s="61">
        <f>SUMIFS([1]инфо!$H$15:$H$28,[1]инфо!$A$15:$A$28,F1240)</f>
        <v/>
      </c>
      <c r="AR1240" s="62">
        <f>IF(H1239=0,0,AC1240/H1239)</f>
        <v/>
      </c>
      <c r="AS1240" s="63">
        <f>AR1240-AQ1240</f>
        <v/>
      </c>
      <c r="AT1240" s="61">
        <f>SUMIFS([1]инфо!$I$15:$I$28,[1]инфо!$A$15:$A$28,F1240)</f>
        <v/>
      </c>
      <c r="AU1240" s="62">
        <f>IF(H1240=0,0,AD1240/H1240)</f>
        <v/>
      </c>
      <c r="AV1240" s="63">
        <f>AU1240-AT1240</f>
        <v/>
      </c>
      <c r="AX1240" s="59">
        <f>SUMIFS([1]инфо!$C$15:$C$28,[1]инфо!$A$15:$A$28,F1240)*H1239</f>
        <v/>
      </c>
    </row>
    <row r="1241">
      <c r="A1241" s="71">
        <f>A1239+1</f>
        <v/>
      </c>
      <c r="B1241" s="90" t="n"/>
      <c r="C1241" s="52" t="n"/>
      <c r="D1241" s="53" t="n"/>
      <c r="E1241" s="91" t="n"/>
      <c r="F1241" s="67" t="n"/>
      <c r="G1241" s="58" t="n"/>
      <c r="H1241" s="56" t="n"/>
      <c r="I1241" s="55" t="n"/>
      <c r="J1241" s="55" t="n"/>
      <c r="K1241" s="55" t="n"/>
      <c r="L1241" s="55" t="n"/>
      <c r="M1241" s="55" t="n"/>
      <c r="N1241" s="55" t="n"/>
      <c r="O1241" s="58" t="n"/>
      <c r="P1241" s="58" t="n"/>
      <c r="Q1241" s="58" t="n"/>
      <c r="R1241" s="58" t="n"/>
      <c r="S1241" s="59">
        <f>SUM(O1241:R1241)</f>
        <v/>
      </c>
      <c r="T1241" s="52" t="n"/>
      <c r="U1241" s="53" t="n"/>
      <c r="V1241" s="58" t="n"/>
      <c r="W1241" s="58" t="n"/>
      <c r="X1241" s="58" t="n"/>
      <c r="Y1241" s="52" t="n"/>
      <c r="Z1241" s="58" t="n"/>
      <c r="AA1241" s="58" t="n"/>
      <c r="AB1241" s="58" t="n"/>
      <c r="AC1241" s="58" t="n"/>
      <c r="AD1241" s="53" t="n"/>
      <c r="AE1241" s="61">
        <f>SUMIFS([1]инфо!$D$15:$D$28,[1]инфо!$A$15:$A$28,F1241)</f>
        <v/>
      </c>
      <c r="AF1241" s="62">
        <f>IF(H1241=0,0,N1241/H1241)</f>
        <v/>
      </c>
      <c r="AG1241" s="63">
        <f>AF1241-AE1241</f>
        <v/>
      </c>
      <c r="AH1241" s="61">
        <f>SUMIFS([1]инфо!$E$15:$E$28,[1]инфо!$A$15:$A$28,F1241)</f>
        <v/>
      </c>
      <c r="AI1241" s="62">
        <f>IF(H1240=0,0,S1241/H1240)</f>
        <v/>
      </c>
      <c r="AJ1241" s="63">
        <f>AI1241-AH1241</f>
        <v/>
      </c>
      <c r="AK1241" s="61">
        <f>SUMIFS([1]инфо!$F$15:$F$28,[1]инфо!$A$15:$A$28,F1241)</f>
        <v/>
      </c>
      <c r="AL1241" s="64">
        <f>IF(H1241=0,0,Y1241/H1241)</f>
        <v/>
      </c>
      <c r="AM1241" s="63">
        <f>AL1241-AK1241</f>
        <v/>
      </c>
      <c r="AN1241" s="61">
        <f>SUMIFS([1]инфо!$G$15:$G$28,[1]инфо!$A$15:$A$28,F1241)</f>
        <v/>
      </c>
      <c r="AO1241" s="64">
        <f>IF(H1241=0,0,AA1241/H1241)</f>
        <v/>
      </c>
      <c r="AP1241" s="63">
        <f>AO1241-AN1241</f>
        <v/>
      </c>
      <c r="AQ1241" s="61">
        <f>SUMIFS([1]инфо!$H$15:$H$28,[1]инфо!$A$15:$A$28,F1241)</f>
        <v/>
      </c>
      <c r="AR1241" s="62">
        <f>IF(H1240=0,0,AC1241/H1240)</f>
        <v/>
      </c>
      <c r="AS1241" s="63">
        <f>AR1241-AQ1241</f>
        <v/>
      </c>
      <c r="AT1241" s="61">
        <f>SUMIFS([1]инфо!$I$15:$I$28,[1]инфо!$A$15:$A$28,F1241)</f>
        <v/>
      </c>
      <c r="AU1241" s="62">
        <f>IF(H1241=0,0,AD1241/H1241)</f>
        <v/>
      </c>
      <c r="AV1241" s="63">
        <f>AU1241-AT1241</f>
        <v/>
      </c>
      <c r="AX1241" s="59">
        <f>SUMIFS([1]инфо!$C$15:$C$28,[1]инфо!$A$15:$A$28,F1241)*H1240</f>
        <v/>
      </c>
    </row>
    <row r="1242">
      <c r="A1242" s="71">
        <f>A1240+1</f>
        <v/>
      </c>
      <c r="B1242" s="88" t="n"/>
      <c r="C1242" s="77" t="n"/>
      <c r="D1242" s="78" t="n"/>
      <c r="E1242" s="91" t="n"/>
      <c r="F1242" s="67" t="n"/>
      <c r="G1242" s="79" t="n"/>
      <c r="H1242" s="67" t="n"/>
      <c r="I1242" s="55" t="n"/>
      <c r="J1242" s="55" t="n"/>
      <c r="K1242" s="55" t="n"/>
      <c r="L1242" s="55" t="n"/>
      <c r="M1242" s="55" t="n"/>
      <c r="N1242" s="56" t="n"/>
      <c r="O1242" s="79" t="n"/>
      <c r="P1242" s="79" t="n"/>
      <c r="Q1242" s="79" t="n"/>
      <c r="R1242" s="79" t="n"/>
      <c r="S1242" s="80">
        <f>SUM(O1242:R1242)</f>
        <v/>
      </c>
      <c r="T1242" s="77" t="n"/>
      <c r="U1242" s="78" t="n"/>
      <c r="V1242" s="79" t="n"/>
      <c r="W1242" s="79" t="n"/>
      <c r="X1242" s="79" t="n"/>
      <c r="Y1242" s="77" t="n"/>
      <c r="Z1242" s="79" t="n"/>
      <c r="AA1242" s="79" t="n"/>
      <c r="AB1242" s="79" t="n"/>
      <c r="AC1242" s="79" t="n"/>
      <c r="AD1242" s="78" t="n"/>
      <c r="AE1242" s="81">
        <f>SUMIFS([1]инфо!$D$15:$D$28,[1]инфо!$A$15:$A$28,F1242)</f>
        <v/>
      </c>
      <c r="AF1242" s="62">
        <f>IF(H1242=0,0,N1242/H1242)</f>
        <v/>
      </c>
      <c r="AG1242" s="82">
        <f>AF1242-AE1242</f>
        <v/>
      </c>
      <c r="AH1242" s="81">
        <f>SUMIFS([1]инфо!$E$15:$E$28,[1]инфо!$A$15:$A$28,F1242)</f>
        <v/>
      </c>
      <c r="AI1242" s="85">
        <f>IF(H1241=0,0,S1242/H1241)</f>
        <v/>
      </c>
      <c r="AJ1242" s="82">
        <f>AI1242-AH1242</f>
        <v/>
      </c>
      <c r="AK1242" s="81">
        <f>SUMIFS([1]инфо!$F$15:$F$28,[1]инфо!$A$15:$A$28,F1242)</f>
        <v/>
      </c>
      <c r="AL1242" s="64">
        <f>IF(H1242=0,0,Y1242/H1242)</f>
        <v/>
      </c>
      <c r="AM1242" s="82">
        <f>AL1242-AK1242</f>
        <v/>
      </c>
      <c r="AN1242" s="81">
        <f>SUMIFS([1]инфо!$G$15:$G$28,[1]инфо!$A$15:$A$28,F1242)</f>
        <v/>
      </c>
      <c r="AO1242" s="64">
        <f>IF(H1242=0,0,AA1242/H1242)</f>
        <v/>
      </c>
      <c r="AP1242" s="82">
        <f>AO1242-AN1242</f>
        <v/>
      </c>
      <c r="AQ1242" s="81">
        <f>SUMIFS([1]инфо!$H$15:$H$28,[1]инфо!$A$15:$A$28,F1242)</f>
        <v/>
      </c>
      <c r="AR1242" s="85">
        <f>IF(H1241=0,0,AC1242/H1241)</f>
        <v/>
      </c>
      <c r="AS1242" s="82">
        <f>AR1242-AQ1242</f>
        <v/>
      </c>
      <c r="AT1242" s="81">
        <f>SUMIFS([1]инфо!$I$15:$I$28,[1]инфо!$A$15:$A$28,F1242)</f>
        <v/>
      </c>
      <c r="AU1242" s="62">
        <f>IF(H1242=0,0,AD1242/H1242)</f>
        <v/>
      </c>
      <c r="AV1242" s="82">
        <f>AU1242-AT1242</f>
        <v/>
      </c>
      <c r="AX1242" s="80">
        <f>SUMIFS([1]инфо!$C$15:$C$28,[1]инфо!$A$15:$A$28,F1242)*H1241</f>
        <v/>
      </c>
    </row>
    <row r="1243">
      <c r="A1243" s="71">
        <f>A1241+1</f>
        <v/>
      </c>
      <c r="B1243" s="89" t="n"/>
      <c r="C1243" s="72" t="n"/>
      <c r="D1243" s="73" t="n"/>
      <c r="E1243" s="91" t="n"/>
      <c r="F1243" s="67" t="n"/>
      <c r="G1243" s="74" t="n"/>
      <c r="H1243" s="55" t="n"/>
      <c r="I1243" s="55" t="n"/>
      <c r="J1243" s="55" t="n"/>
      <c r="K1243" s="55" t="n"/>
      <c r="L1243" s="55" t="n"/>
      <c r="M1243" s="55" t="n"/>
      <c r="N1243" s="67" t="n"/>
      <c r="O1243" s="74" t="n"/>
      <c r="P1243" s="74" t="n"/>
      <c r="Q1243" s="74" t="n"/>
      <c r="R1243" s="74" t="n"/>
      <c r="S1243" s="70">
        <f>SUM(O1243:R1243)</f>
        <v/>
      </c>
      <c r="T1243" s="72" t="n"/>
      <c r="U1243" s="73" t="n"/>
      <c r="V1243" s="74" t="n"/>
      <c r="W1243" s="74" t="n"/>
      <c r="X1243" s="74" t="n"/>
      <c r="Y1243" s="72" t="n"/>
      <c r="Z1243" s="74" t="n"/>
      <c r="AA1243" s="74" t="n"/>
      <c r="AB1243" s="74" t="n"/>
      <c r="AC1243" s="74" t="n"/>
      <c r="AD1243" s="73" t="n"/>
      <c r="AE1243" s="75">
        <f>SUMIFS([1]инфо!$D$15:$D$28,[1]инфо!$A$15:$A$28,F1243)</f>
        <v/>
      </c>
      <c r="AF1243" s="62">
        <f>IF(H1243=0,0,N1243/H1243)</f>
        <v/>
      </c>
      <c r="AG1243" s="76">
        <f>AF1243-AE1243</f>
        <v/>
      </c>
      <c r="AH1243" s="75">
        <f>SUMIFS([1]инфо!$E$15:$E$28,[1]инфо!$A$15:$A$28,F1243)</f>
        <v/>
      </c>
      <c r="AI1243" s="64">
        <f>IF(H1242=0,0,S1243/H1242)</f>
        <v/>
      </c>
      <c r="AJ1243" s="76">
        <f>AI1243-AH1243</f>
        <v/>
      </c>
      <c r="AK1243" s="75">
        <f>SUMIFS([1]инфо!$F$15:$F$28,[1]инфо!$A$15:$A$28,F1243)</f>
        <v/>
      </c>
      <c r="AL1243" s="64">
        <f>IF(H1243=0,0,Y1243/H1243)</f>
        <v/>
      </c>
      <c r="AM1243" s="76">
        <f>AL1243-AK1243</f>
        <v/>
      </c>
      <c r="AN1243" s="75">
        <f>SUMIFS([1]инфо!$G$15:$G$28,[1]инфо!$A$15:$A$28,F1243)</f>
        <v/>
      </c>
      <c r="AO1243" s="64">
        <f>IF(H1243=0,0,AA1243/H1243)</f>
        <v/>
      </c>
      <c r="AP1243" s="76">
        <f>AO1243-AN1243</f>
        <v/>
      </c>
      <c r="AQ1243" s="75">
        <f>SUMIFS([1]инфо!$H$15:$H$28,[1]инфо!$A$15:$A$28,F1243)</f>
        <v/>
      </c>
      <c r="AR1243" s="64">
        <f>IF(H1242=0,0,AC1243/H1242)</f>
        <v/>
      </c>
      <c r="AS1243" s="76">
        <f>AR1243-AQ1243</f>
        <v/>
      </c>
      <c r="AT1243" s="75">
        <f>SUMIFS([1]инфо!$I$15:$I$28,[1]инфо!$A$15:$A$28,F1243)</f>
        <v/>
      </c>
      <c r="AU1243" s="62">
        <f>IF(H1243=0,0,AD1243/H1243)</f>
        <v/>
      </c>
      <c r="AV1243" s="76">
        <f>AU1243-AT1243</f>
        <v/>
      </c>
      <c r="AX1243" s="70">
        <f>SUMIFS([1]инфо!$C$15:$C$28,[1]инфо!$A$15:$A$28,F1243)*H1242</f>
        <v/>
      </c>
    </row>
    <row r="1244">
      <c r="A1244" s="71">
        <f>A1242+1</f>
        <v/>
      </c>
      <c r="B1244" s="90" t="n"/>
      <c r="C1244" s="52" t="n"/>
      <c r="D1244" s="53" t="n"/>
      <c r="E1244" s="91" t="n"/>
      <c r="F1244" s="67" t="n"/>
      <c r="G1244" s="58" t="n"/>
      <c r="H1244" s="55" t="n"/>
      <c r="I1244" s="55" t="n"/>
      <c r="J1244" s="55" t="n"/>
      <c r="K1244" s="55" t="n"/>
      <c r="L1244" s="55" t="n"/>
      <c r="M1244" s="55" t="n"/>
      <c r="N1244" s="55" t="n"/>
      <c r="O1244" s="58" t="n"/>
      <c r="P1244" s="58" t="n"/>
      <c r="Q1244" s="58" t="n"/>
      <c r="R1244" s="58" t="n"/>
      <c r="S1244" s="59">
        <f>SUM(O1244:R1244)</f>
        <v/>
      </c>
      <c r="T1244" s="52" t="n"/>
      <c r="U1244" s="53" t="n"/>
      <c r="V1244" s="58" t="n"/>
      <c r="W1244" s="58" t="n"/>
      <c r="X1244" s="58" t="n"/>
      <c r="Y1244" s="52" t="n"/>
      <c r="Z1244" s="58" t="n"/>
      <c r="AA1244" s="58" t="n"/>
      <c r="AB1244" s="58" t="n"/>
      <c r="AC1244" s="58" t="n"/>
      <c r="AD1244" s="53" t="n"/>
      <c r="AE1244" s="61">
        <f>SUMIFS([1]инфо!$D$15:$D$28,[1]инфо!$A$15:$A$28,F1244)</f>
        <v/>
      </c>
      <c r="AF1244" s="62">
        <f>IF(H1244=0,0,N1244/H1244)</f>
        <v/>
      </c>
      <c r="AG1244" s="63">
        <f>AF1244-AE1244</f>
        <v/>
      </c>
      <c r="AH1244" s="61">
        <f>SUMIFS([1]инфо!$E$15:$E$28,[1]инфо!$A$15:$A$28,F1244)</f>
        <v/>
      </c>
      <c r="AI1244" s="62">
        <f>IF(H1243=0,0,S1244/H1243)</f>
        <v/>
      </c>
      <c r="AJ1244" s="63">
        <f>AI1244-AH1244</f>
        <v/>
      </c>
      <c r="AK1244" s="61">
        <f>SUMIFS([1]инфо!$F$15:$F$28,[1]инфо!$A$15:$A$28,F1244)</f>
        <v/>
      </c>
      <c r="AL1244" s="64">
        <f>IF(H1244=0,0,Y1244/H1244)</f>
        <v/>
      </c>
      <c r="AM1244" s="63">
        <f>AL1244-AK1244</f>
        <v/>
      </c>
      <c r="AN1244" s="61">
        <f>SUMIFS([1]инфо!$G$15:$G$28,[1]инфо!$A$15:$A$28,F1244)</f>
        <v/>
      </c>
      <c r="AO1244" s="64">
        <f>IF(H1244=0,0,AA1244/H1244)</f>
        <v/>
      </c>
      <c r="AP1244" s="63">
        <f>AO1244-AN1244</f>
        <v/>
      </c>
      <c r="AQ1244" s="61">
        <f>SUMIFS([1]инфо!$H$15:$H$28,[1]инфо!$A$15:$A$28,F1244)</f>
        <v/>
      </c>
      <c r="AR1244" s="62">
        <f>IF(H1243=0,0,AC1244/H1243)</f>
        <v/>
      </c>
      <c r="AS1244" s="63">
        <f>AR1244-AQ1244</f>
        <v/>
      </c>
      <c r="AT1244" s="61">
        <f>SUMIFS([1]инфо!$I$15:$I$28,[1]инфо!$A$15:$A$28,F1244)</f>
        <v/>
      </c>
      <c r="AU1244" s="62">
        <f>IF(H1244=0,0,AD1244/H1244)</f>
        <v/>
      </c>
      <c r="AV1244" s="63">
        <f>AU1244-AT1244</f>
        <v/>
      </c>
      <c r="AX1244" s="59">
        <f>SUMIFS([1]инфо!$C$15:$C$28,[1]инфо!$A$15:$A$28,F1244)*H1243</f>
        <v/>
      </c>
    </row>
    <row r="1245">
      <c r="A1245" s="71">
        <f>A1243+1</f>
        <v/>
      </c>
      <c r="B1245" s="90" t="n"/>
      <c r="C1245" s="52" t="n"/>
      <c r="D1245" s="53" t="n"/>
      <c r="E1245" s="91" t="n"/>
      <c r="F1245" s="67" t="n"/>
      <c r="G1245" s="58" t="n"/>
      <c r="H1245" s="56" t="n"/>
      <c r="I1245" s="55" t="n"/>
      <c r="J1245" s="55" t="n"/>
      <c r="K1245" s="55" t="n"/>
      <c r="L1245" s="55" t="n"/>
      <c r="M1245" s="55" t="n"/>
      <c r="N1245" s="55" t="n"/>
      <c r="O1245" s="58" t="n"/>
      <c r="P1245" s="58" t="n"/>
      <c r="Q1245" s="58" t="n"/>
      <c r="R1245" s="58" t="n"/>
      <c r="S1245" s="59">
        <f>SUM(O1245:R1245)</f>
        <v/>
      </c>
      <c r="T1245" s="52" t="n"/>
      <c r="U1245" s="53" t="n"/>
      <c r="V1245" s="58" t="n"/>
      <c r="W1245" s="58" t="n"/>
      <c r="X1245" s="58" t="n"/>
      <c r="Y1245" s="52" t="n"/>
      <c r="Z1245" s="58" t="n"/>
      <c r="AA1245" s="58" t="n"/>
      <c r="AB1245" s="58" t="n"/>
      <c r="AC1245" s="58" t="n"/>
      <c r="AD1245" s="53" t="n"/>
      <c r="AE1245" s="61">
        <f>SUMIFS([1]инфо!$D$15:$D$28,[1]инфо!$A$15:$A$28,F1245)</f>
        <v/>
      </c>
      <c r="AF1245" s="62">
        <f>IF(H1245=0,0,N1245/H1245)</f>
        <v/>
      </c>
      <c r="AG1245" s="63">
        <f>AF1245-AE1245</f>
        <v/>
      </c>
      <c r="AH1245" s="61">
        <f>SUMIFS([1]инфо!$E$15:$E$28,[1]инфо!$A$15:$A$28,F1245)</f>
        <v/>
      </c>
      <c r="AI1245" s="62">
        <f>IF(H1244=0,0,S1245/H1244)</f>
        <v/>
      </c>
      <c r="AJ1245" s="63">
        <f>AI1245-AH1245</f>
        <v/>
      </c>
      <c r="AK1245" s="61">
        <f>SUMIFS([1]инфо!$F$15:$F$28,[1]инфо!$A$15:$A$28,F1245)</f>
        <v/>
      </c>
      <c r="AL1245" s="64">
        <f>IF(H1245=0,0,Y1245/H1245)</f>
        <v/>
      </c>
      <c r="AM1245" s="63">
        <f>AL1245-AK1245</f>
        <v/>
      </c>
      <c r="AN1245" s="61">
        <f>SUMIFS([1]инфо!$G$15:$G$28,[1]инфо!$A$15:$A$28,F1245)</f>
        <v/>
      </c>
      <c r="AO1245" s="64">
        <f>IF(H1245=0,0,AA1245/H1245)</f>
        <v/>
      </c>
      <c r="AP1245" s="63">
        <f>AO1245-AN1245</f>
        <v/>
      </c>
      <c r="AQ1245" s="61">
        <f>SUMIFS([1]инфо!$H$15:$H$28,[1]инфо!$A$15:$A$28,F1245)</f>
        <v/>
      </c>
      <c r="AR1245" s="62">
        <f>IF(H1244=0,0,AC1245/H1244)</f>
        <v/>
      </c>
      <c r="AS1245" s="63">
        <f>AR1245-AQ1245</f>
        <v/>
      </c>
      <c r="AT1245" s="61">
        <f>SUMIFS([1]инфо!$I$15:$I$28,[1]инфо!$A$15:$A$28,F1245)</f>
        <v/>
      </c>
      <c r="AU1245" s="62">
        <f>IF(H1245=0,0,AD1245/H1245)</f>
        <v/>
      </c>
      <c r="AV1245" s="63">
        <f>AU1245-AT1245</f>
        <v/>
      </c>
      <c r="AX1245" s="59">
        <f>SUMIFS([1]инфо!$C$15:$C$28,[1]инфо!$A$15:$A$28,F1245)*H1244</f>
        <v/>
      </c>
    </row>
    <row r="1246">
      <c r="A1246" s="71">
        <f>A1244+1</f>
        <v/>
      </c>
      <c r="B1246" s="88" t="n"/>
      <c r="C1246" s="77" t="n"/>
      <c r="D1246" s="78" t="n"/>
      <c r="E1246" s="91" t="n"/>
      <c r="F1246" s="67" t="n"/>
      <c r="G1246" s="79" t="n"/>
      <c r="H1246" s="67" t="n"/>
      <c r="I1246" s="55" t="n"/>
      <c r="J1246" s="55" t="n"/>
      <c r="K1246" s="55" t="n"/>
      <c r="L1246" s="55" t="n"/>
      <c r="M1246" s="55" t="n"/>
      <c r="N1246" s="56" t="n"/>
      <c r="O1246" s="79" t="n"/>
      <c r="P1246" s="79" t="n"/>
      <c r="Q1246" s="79" t="n"/>
      <c r="R1246" s="79" t="n"/>
      <c r="S1246" s="80">
        <f>SUM(O1246:R1246)</f>
        <v/>
      </c>
      <c r="T1246" s="77" t="n"/>
      <c r="U1246" s="78" t="n"/>
      <c r="V1246" s="79" t="n"/>
      <c r="W1246" s="79" t="n"/>
      <c r="X1246" s="79" t="n"/>
      <c r="Y1246" s="77" t="n"/>
      <c r="Z1246" s="79" t="n"/>
      <c r="AA1246" s="79" t="n"/>
      <c r="AB1246" s="79" t="n"/>
      <c r="AC1246" s="79" t="n"/>
      <c r="AD1246" s="78" t="n"/>
      <c r="AE1246" s="81">
        <f>SUMIFS([1]инфо!$D$15:$D$28,[1]инфо!$A$15:$A$28,F1246)</f>
        <v/>
      </c>
      <c r="AF1246" s="62">
        <f>IF(H1246=0,0,N1246/H1246)</f>
        <v/>
      </c>
      <c r="AG1246" s="82">
        <f>AF1246-AE1246</f>
        <v/>
      </c>
      <c r="AH1246" s="81">
        <f>SUMIFS([1]инфо!$E$15:$E$28,[1]инфо!$A$15:$A$28,F1246)</f>
        <v/>
      </c>
      <c r="AI1246" s="85">
        <f>IF(H1245=0,0,S1246/H1245)</f>
        <v/>
      </c>
      <c r="AJ1246" s="82">
        <f>AI1246-AH1246</f>
        <v/>
      </c>
      <c r="AK1246" s="81">
        <f>SUMIFS([1]инфо!$F$15:$F$28,[1]инфо!$A$15:$A$28,F1246)</f>
        <v/>
      </c>
      <c r="AL1246" s="64">
        <f>IF(H1246=0,0,Y1246/H1246)</f>
        <v/>
      </c>
      <c r="AM1246" s="82">
        <f>AL1246-AK1246</f>
        <v/>
      </c>
      <c r="AN1246" s="81">
        <f>SUMIFS([1]инфо!$G$15:$G$28,[1]инфо!$A$15:$A$28,F1246)</f>
        <v/>
      </c>
      <c r="AO1246" s="64">
        <f>IF(H1246=0,0,AA1246/H1246)</f>
        <v/>
      </c>
      <c r="AP1246" s="82">
        <f>AO1246-AN1246</f>
        <v/>
      </c>
      <c r="AQ1246" s="81">
        <f>SUMIFS([1]инфо!$H$15:$H$28,[1]инфо!$A$15:$A$28,F1246)</f>
        <v/>
      </c>
      <c r="AR1246" s="85">
        <f>IF(H1245=0,0,AC1246/H1245)</f>
        <v/>
      </c>
      <c r="AS1246" s="82">
        <f>AR1246-AQ1246</f>
        <v/>
      </c>
      <c r="AT1246" s="81">
        <f>SUMIFS([1]инфо!$I$15:$I$28,[1]инфо!$A$15:$A$28,F1246)</f>
        <v/>
      </c>
      <c r="AU1246" s="62">
        <f>IF(H1246=0,0,AD1246/H1246)</f>
        <v/>
      </c>
      <c r="AV1246" s="82">
        <f>AU1246-AT1246</f>
        <v/>
      </c>
      <c r="AX1246" s="80">
        <f>SUMIFS([1]инфо!$C$15:$C$28,[1]инфо!$A$15:$A$28,F1246)*H1245</f>
        <v/>
      </c>
    </row>
    <row r="1247">
      <c r="A1247" s="71">
        <f>A1245+1</f>
        <v/>
      </c>
      <c r="B1247" s="89" t="n"/>
      <c r="C1247" s="72" t="n"/>
      <c r="D1247" s="73" t="n"/>
      <c r="E1247" s="91" t="n"/>
      <c r="F1247" s="67" t="n"/>
      <c r="G1247" s="74" t="n"/>
      <c r="H1247" s="55" t="n"/>
      <c r="I1247" s="55" t="n"/>
      <c r="J1247" s="55" t="n"/>
      <c r="K1247" s="55" t="n"/>
      <c r="L1247" s="55" t="n"/>
      <c r="M1247" s="55" t="n"/>
      <c r="N1247" s="67" t="n"/>
      <c r="O1247" s="74" t="n"/>
      <c r="P1247" s="74" t="n"/>
      <c r="Q1247" s="74" t="n"/>
      <c r="R1247" s="74" t="n"/>
      <c r="S1247" s="70">
        <f>SUM(O1247:R1247)</f>
        <v/>
      </c>
      <c r="T1247" s="72" t="n"/>
      <c r="U1247" s="73" t="n"/>
      <c r="V1247" s="74" t="n"/>
      <c r="W1247" s="74" t="n"/>
      <c r="X1247" s="74" t="n"/>
      <c r="Y1247" s="72" t="n"/>
      <c r="Z1247" s="74" t="n"/>
      <c r="AA1247" s="74" t="n"/>
      <c r="AB1247" s="74" t="n"/>
      <c r="AC1247" s="74" t="n"/>
      <c r="AD1247" s="73" t="n"/>
      <c r="AE1247" s="75">
        <f>SUMIFS([1]инфо!$D$15:$D$28,[1]инфо!$A$15:$A$28,F1247)</f>
        <v/>
      </c>
      <c r="AF1247" s="62">
        <f>IF(H1247=0,0,N1247/H1247)</f>
        <v/>
      </c>
      <c r="AG1247" s="76">
        <f>AF1247-AE1247</f>
        <v/>
      </c>
      <c r="AH1247" s="75">
        <f>SUMIFS([1]инфо!$E$15:$E$28,[1]инфо!$A$15:$A$28,F1247)</f>
        <v/>
      </c>
      <c r="AI1247" s="64">
        <f>IF(H1246=0,0,S1247/H1246)</f>
        <v/>
      </c>
      <c r="AJ1247" s="76">
        <f>AI1247-AH1247</f>
        <v/>
      </c>
      <c r="AK1247" s="75">
        <f>SUMIFS([1]инфо!$F$15:$F$28,[1]инфо!$A$15:$A$28,F1247)</f>
        <v/>
      </c>
      <c r="AL1247" s="64">
        <f>IF(H1247=0,0,Y1247/H1247)</f>
        <v/>
      </c>
      <c r="AM1247" s="76">
        <f>AL1247-AK1247</f>
        <v/>
      </c>
      <c r="AN1247" s="75">
        <f>SUMIFS([1]инфо!$G$15:$G$28,[1]инфо!$A$15:$A$28,F1247)</f>
        <v/>
      </c>
      <c r="AO1247" s="64">
        <f>IF(H1247=0,0,AA1247/H1247)</f>
        <v/>
      </c>
      <c r="AP1247" s="76">
        <f>AO1247-AN1247</f>
        <v/>
      </c>
      <c r="AQ1247" s="75">
        <f>SUMIFS([1]инфо!$H$15:$H$28,[1]инфо!$A$15:$A$28,F1247)</f>
        <v/>
      </c>
      <c r="AR1247" s="64">
        <f>IF(H1246=0,0,AC1247/H1246)</f>
        <v/>
      </c>
      <c r="AS1247" s="76">
        <f>AR1247-AQ1247</f>
        <v/>
      </c>
      <c r="AT1247" s="75">
        <f>SUMIFS([1]инфо!$I$15:$I$28,[1]инфо!$A$15:$A$28,F1247)</f>
        <v/>
      </c>
      <c r="AU1247" s="62">
        <f>IF(H1247=0,0,AD1247/H1247)</f>
        <v/>
      </c>
      <c r="AV1247" s="76">
        <f>AU1247-AT1247</f>
        <v/>
      </c>
      <c r="AX1247" s="70">
        <f>SUMIFS([1]инфо!$C$15:$C$28,[1]инфо!$A$15:$A$28,F1247)*H1246</f>
        <v/>
      </c>
    </row>
    <row r="1248">
      <c r="A1248" s="71">
        <f>A1246+1</f>
        <v/>
      </c>
      <c r="B1248" s="90" t="n"/>
      <c r="C1248" s="52" t="n"/>
      <c r="D1248" s="53" t="n"/>
      <c r="E1248" s="91" t="n"/>
      <c r="F1248" s="67" t="n"/>
      <c r="G1248" s="58" t="n"/>
      <c r="H1248" s="55" t="n"/>
      <c r="I1248" s="55" t="n"/>
      <c r="J1248" s="55" t="n"/>
      <c r="K1248" s="55" t="n"/>
      <c r="L1248" s="55" t="n"/>
      <c r="M1248" s="55" t="n"/>
      <c r="N1248" s="55" t="n"/>
      <c r="O1248" s="58" t="n"/>
      <c r="P1248" s="58" t="n"/>
      <c r="Q1248" s="58" t="n"/>
      <c r="R1248" s="58" t="n"/>
      <c r="S1248" s="59">
        <f>SUM(O1248:R1248)</f>
        <v/>
      </c>
      <c r="T1248" s="52" t="n"/>
      <c r="U1248" s="53" t="n"/>
      <c r="V1248" s="58" t="n"/>
      <c r="W1248" s="58" t="n"/>
      <c r="X1248" s="58" t="n"/>
      <c r="Y1248" s="52" t="n"/>
      <c r="Z1248" s="58" t="n"/>
      <c r="AA1248" s="58" t="n"/>
      <c r="AB1248" s="58" t="n"/>
      <c r="AC1248" s="58" t="n"/>
      <c r="AD1248" s="53" t="n"/>
      <c r="AE1248" s="61">
        <f>SUMIFS([1]инфо!$D$15:$D$28,[1]инфо!$A$15:$A$28,F1248)</f>
        <v/>
      </c>
      <c r="AF1248" s="62">
        <f>IF(H1248=0,0,N1248/H1248)</f>
        <v/>
      </c>
      <c r="AG1248" s="63">
        <f>AF1248-AE1248</f>
        <v/>
      </c>
      <c r="AH1248" s="61">
        <f>SUMIFS([1]инфо!$E$15:$E$28,[1]инфо!$A$15:$A$28,F1248)</f>
        <v/>
      </c>
      <c r="AI1248" s="62">
        <f>IF(H1247=0,0,S1248/H1247)</f>
        <v/>
      </c>
      <c r="AJ1248" s="63">
        <f>AI1248-AH1248</f>
        <v/>
      </c>
      <c r="AK1248" s="61">
        <f>SUMIFS([1]инфо!$F$15:$F$28,[1]инфо!$A$15:$A$28,F1248)</f>
        <v/>
      </c>
      <c r="AL1248" s="64">
        <f>IF(H1248=0,0,Y1248/H1248)</f>
        <v/>
      </c>
      <c r="AM1248" s="63">
        <f>AL1248-AK1248</f>
        <v/>
      </c>
      <c r="AN1248" s="61">
        <f>SUMIFS([1]инфо!$G$15:$G$28,[1]инфо!$A$15:$A$28,F1248)</f>
        <v/>
      </c>
      <c r="AO1248" s="64">
        <f>IF(H1248=0,0,AA1248/H1248)</f>
        <v/>
      </c>
      <c r="AP1248" s="63">
        <f>AO1248-AN1248</f>
        <v/>
      </c>
      <c r="AQ1248" s="61">
        <f>SUMIFS([1]инфо!$H$15:$H$28,[1]инфо!$A$15:$A$28,F1248)</f>
        <v/>
      </c>
      <c r="AR1248" s="62">
        <f>IF(H1247=0,0,AC1248/H1247)</f>
        <v/>
      </c>
      <c r="AS1248" s="63">
        <f>AR1248-AQ1248</f>
        <v/>
      </c>
      <c r="AT1248" s="61">
        <f>SUMIFS([1]инфо!$I$15:$I$28,[1]инфо!$A$15:$A$28,F1248)</f>
        <v/>
      </c>
      <c r="AU1248" s="62">
        <f>IF(H1248=0,0,AD1248/H1248)</f>
        <v/>
      </c>
      <c r="AV1248" s="63">
        <f>AU1248-AT1248</f>
        <v/>
      </c>
      <c r="AX1248" s="59">
        <f>SUMIFS([1]инфо!$C$15:$C$28,[1]инфо!$A$15:$A$28,F1248)*H1247</f>
        <v/>
      </c>
    </row>
    <row r="1249">
      <c r="A1249" s="71">
        <f>A1247+1</f>
        <v/>
      </c>
      <c r="B1249" s="90" t="n"/>
      <c r="C1249" s="52" t="n"/>
      <c r="D1249" s="53" t="n"/>
      <c r="E1249" s="91" t="n"/>
      <c r="F1249" s="67" t="n"/>
      <c r="G1249" s="58" t="n"/>
      <c r="H1249" s="56" t="n"/>
      <c r="I1249" s="55" t="n"/>
      <c r="J1249" s="55" t="n"/>
      <c r="K1249" s="55" t="n"/>
      <c r="L1249" s="55" t="n"/>
      <c r="M1249" s="55" t="n"/>
      <c r="N1249" s="55" t="n"/>
      <c r="O1249" s="58" t="n"/>
      <c r="P1249" s="58" t="n"/>
      <c r="Q1249" s="58" t="n"/>
      <c r="R1249" s="58" t="n"/>
      <c r="S1249" s="59">
        <f>SUM(O1249:R1249)</f>
        <v/>
      </c>
      <c r="T1249" s="52" t="n"/>
      <c r="U1249" s="53" t="n"/>
      <c r="V1249" s="58" t="n"/>
      <c r="W1249" s="58" t="n"/>
      <c r="X1249" s="58" t="n"/>
      <c r="Y1249" s="52" t="n"/>
      <c r="Z1249" s="58" t="n"/>
      <c r="AA1249" s="58" t="n"/>
      <c r="AB1249" s="58" t="n"/>
      <c r="AC1249" s="58" t="n"/>
      <c r="AD1249" s="53" t="n"/>
      <c r="AE1249" s="61">
        <f>SUMIFS([1]инфо!$D$15:$D$28,[1]инфо!$A$15:$A$28,F1249)</f>
        <v/>
      </c>
      <c r="AF1249" s="62">
        <f>IF(H1249=0,0,N1249/H1249)</f>
        <v/>
      </c>
      <c r="AG1249" s="63">
        <f>AF1249-AE1249</f>
        <v/>
      </c>
      <c r="AH1249" s="61">
        <f>SUMIFS([1]инфо!$E$15:$E$28,[1]инфо!$A$15:$A$28,F1249)</f>
        <v/>
      </c>
      <c r="AI1249" s="62">
        <f>IF(H1248=0,0,S1249/H1248)</f>
        <v/>
      </c>
      <c r="AJ1249" s="63">
        <f>AI1249-AH1249</f>
        <v/>
      </c>
      <c r="AK1249" s="61">
        <f>SUMIFS([1]инфо!$F$15:$F$28,[1]инфо!$A$15:$A$28,F1249)</f>
        <v/>
      </c>
      <c r="AL1249" s="64">
        <f>IF(H1249=0,0,Y1249/H1249)</f>
        <v/>
      </c>
      <c r="AM1249" s="63">
        <f>AL1249-AK1249</f>
        <v/>
      </c>
      <c r="AN1249" s="61">
        <f>SUMIFS([1]инфо!$G$15:$G$28,[1]инфо!$A$15:$A$28,F1249)</f>
        <v/>
      </c>
      <c r="AO1249" s="64">
        <f>IF(H1249=0,0,AA1249/H1249)</f>
        <v/>
      </c>
      <c r="AP1249" s="63">
        <f>AO1249-AN1249</f>
        <v/>
      </c>
      <c r="AQ1249" s="61">
        <f>SUMIFS([1]инфо!$H$15:$H$28,[1]инфо!$A$15:$A$28,F1249)</f>
        <v/>
      </c>
      <c r="AR1249" s="62">
        <f>IF(H1248=0,0,AC1249/H1248)</f>
        <v/>
      </c>
      <c r="AS1249" s="63">
        <f>AR1249-AQ1249</f>
        <v/>
      </c>
      <c r="AT1249" s="61">
        <f>SUMIFS([1]инфо!$I$15:$I$28,[1]инфо!$A$15:$A$28,F1249)</f>
        <v/>
      </c>
      <c r="AU1249" s="62">
        <f>IF(H1249=0,0,AD1249/H1249)</f>
        <v/>
      </c>
      <c r="AV1249" s="63">
        <f>AU1249-AT1249</f>
        <v/>
      </c>
      <c r="AX1249" s="59">
        <f>SUMIFS([1]инфо!$C$15:$C$28,[1]инфо!$A$15:$A$28,F1249)*H1248</f>
        <v/>
      </c>
    </row>
    <row r="1250">
      <c r="A1250" s="71">
        <f>A1248+1</f>
        <v/>
      </c>
      <c r="B1250" s="88" t="n"/>
      <c r="C1250" s="77" t="n"/>
      <c r="D1250" s="78" t="n"/>
      <c r="E1250" s="91" t="n"/>
      <c r="F1250" s="67" t="n"/>
      <c r="G1250" s="79" t="n"/>
      <c r="H1250" s="67" t="n"/>
      <c r="I1250" s="55" t="n"/>
      <c r="J1250" s="55" t="n"/>
      <c r="K1250" s="55" t="n"/>
      <c r="L1250" s="55" t="n"/>
      <c r="M1250" s="55" t="n"/>
      <c r="N1250" s="56" t="n"/>
      <c r="O1250" s="79" t="n"/>
      <c r="P1250" s="79" t="n"/>
      <c r="Q1250" s="79" t="n"/>
      <c r="R1250" s="79" t="n"/>
      <c r="S1250" s="80">
        <f>SUM(O1250:R1250)</f>
        <v/>
      </c>
      <c r="T1250" s="77" t="n"/>
      <c r="U1250" s="78" t="n"/>
      <c r="V1250" s="79" t="n"/>
      <c r="W1250" s="79" t="n"/>
      <c r="X1250" s="79" t="n"/>
      <c r="Y1250" s="77" t="n"/>
      <c r="Z1250" s="79" t="n"/>
      <c r="AA1250" s="79" t="n"/>
      <c r="AB1250" s="79" t="n"/>
      <c r="AC1250" s="79" t="n"/>
      <c r="AD1250" s="78" t="n"/>
      <c r="AE1250" s="81">
        <f>SUMIFS([1]инфо!$D$15:$D$28,[1]инфо!$A$15:$A$28,F1250)</f>
        <v/>
      </c>
      <c r="AF1250" s="62">
        <f>IF(H1250=0,0,N1250/H1250)</f>
        <v/>
      </c>
      <c r="AG1250" s="82">
        <f>AF1250-AE1250</f>
        <v/>
      </c>
      <c r="AH1250" s="81">
        <f>SUMIFS([1]инфо!$E$15:$E$28,[1]инфо!$A$15:$A$28,F1250)</f>
        <v/>
      </c>
      <c r="AI1250" s="85">
        <f>IF(H1249=0,0,S1250/H1249)</f>
        <v/>
      </c>
      <c r="AJ1250" s="82">
        <f>AI1250-AH1250</f>
        <v/>
      </c>
      <c r="AK1250" s="81">
        <f>SUMIFS([1]инфо!$F$15:$F$28,[1]инфо!$A$15:$A$28,F1250)</f>
        <v/>
      </c>
      <c r="AL1250" s="64">
        <f>IF(H1250=0,0,Y1250/H1250)</f>
        <v/>
      </c>
      <c r="AM1250" s="82">
        <f>AL1250-AK1250</f>
        <v/>
      </c>
      <c r="AN1250" s="81">
        <f>SUMIFS([1]инфо!$G$15:$G$28,[1]инфо!$A$15:$A$28,F1250)</f>
        <v/>
      </c>
      <c r="AO1250" s="64">
        <f>IF(H1250=0,0,AA1250/H1250)</f>
        <v/>
      </c>
      <c r="AP1250" s="82">
        <f>AO1250-AN1250</f>
        <v/>
      </c>
      <c r="AQ1250" s="81">
        <f>SUMIFS([1]инфо!$H$15:$H$28,[1]инфо!$A$15:$A$28,F1250)</f>
        <v/>
      </c>
      <c r="AR1250" s="85">
        <f>IF(H1249=0,0,AC1250/H1249)</f>
        <v/>
      </c>
      <c r="AS1250" s="82">
        <f>AR1250-AQ1250</f>
        <v/>
      </c>
      <c r="AT1250" s="81">
        <f>SUMIFS([1]инфо!$I$15:$I$28,[1]инфо!$A$15:$A$28,F1250)</f>
        <v/>
      </c>
      <c r="AU1250" s="62">
        <f>IF(H1250=0,0,AD1250/H1250)</f>
        <v/>
      </c>
      <c r="AV1250" s="82">
        <f>AU1250-AT1250</f>
        <v/>
      </c>
      <c r="AX1250" s="80">
        <f>SUMIFS([1]инфо!$C$15:$C$28,[1]инфо!$A$15:$A$28,F1250)*H1249</f>
        <v/>
      </c>
    </row>
    <row r="1251">
      <c r="A1251" s="71">
        <f>A1249+1</f>
        <v/>
      </c>
      <c r="B1251" s="89" t="n"/>
      <c r="C1251" s="72" t="n"/>
      <c r="D1251" s="73" t="n"/>
      <c r="E1251" s="91" t="n"/>
      <c r="F1251" s="67" t="n"/>
      <c r="G1251" s="74" t="n"/>
      <c r="H1251" s="55" t="n"/>
      <c r="I1251" s="55" t="n"/>
      <c r="J1251" s="55" t="n"/>
      <c r="K1251" s="55" t="n"/>
      <c r="L1251" s="55" t="n"/>
      <c r="M1251" s="55" t="n"/>
      <c r="N1251" s="67" t="n"/>
      <c r="O1251" s="74" t="n"/>
      <c r="P1251" s="74" t="n"/>
      <c r="Q1251" s="74" t="n"/>
      <c r="R1251" s="74" t="n"/>
      <c r="S1251" s="70">
        <f>SUM(O1251:R1251)</f>
        <v/>
      </c>
      <c r="T1251" s="72" t="n"/>
      <c r="U1251" s="73" t="n"/>
      <c r="V1251" s="74" t="n"/>
      <c r="W1251" s="74" t="n"/>
      <c r="X1251" s="74" t="n"/>
      <c r="Y1251" s="72" t="n"/>
      <c r="Z1251" s="74" t="n"/>
      <c r="AA1251" s="74" t="n"/>
      <c r="AB1251" s="74" t="n"/>
      <c r="AC1251" s="74" t="n"/>
      <c r="AD1251" s="73" t="n"/>
      <c r="AE1251" s="75">
        <f>SUMIFS([1]инфо!$D$15:$D$28,[1]инфо!$A$15:$A$28,F1251)</f>
        <v/>
      </c>
      <c r="AF1251" s="62">
        <f>IF(H1251=0,0,N1251/H1251)</f>
        <v/>
      </c>
      <c r="AG1251" s="76">
        <f>AF1251-AE1251</f>
        <v/>
      </c>
      <c r="AH1251" s="75">
        <f>SUMIFS([1]инфо!$E$15:$E$28,[1]инфо!$A$15:$A$28,F1251)</f>
        <v/>
      </c>
      <c r="AI1251" s="64">
        <f>IF(H1250=0,0,S1251/H1250)</f>
        <v/>
      </c>
      <c r="AJ1251" s="76">
        <f>AI1251-AH1251</f>
        <v/>
      </c>
      <c r="AK1251" s="75">
        <f>SUMIFS([1]инфо!$F$15:$F$28,[1]инфо!$A$15:$A$28,F1251)</f>
        <v/>
      </c>
      <c r="AL1251" s="64">
        <f>IF(H1251=0,0,Y1251/H1251)</f>
        <v/>
      </c>
      <c r="AM1251" s="76">
        <f>AL1251-AK1251</f>
        <v/>
      </c>
      <c r="AN1251" s="75">
        <f>SUMIFS([1]инфо!$G$15:$G$28,[1]инфо!$A$15:$A$28,F1251)</f>
        <v/>
      </c>
      <c r="AO1251" s="64">
        <f>IF(H1251=0,0,AA1251/H1251)</f>
        <v/>
      </c>
      <c r="AP1251" s="76">
        <f>AO1251-AN1251</f>
        <v/>
      </c>
      <c r="AQ1251" s="75">
        <f>SUMIFS([1]инфо!$H$15:$H$28,[1]инфо!$A$15:$A$28,F1251)</f>
        <v/>
      </c>
      <c r="AR1251" s="64">
        <f>IF(H1250=0,0,AC1251/H1250)</f>
        <v/>
      </c>
      <c r="AS1251" s="76">
        <f>AR1251-AQ1251</f>
        <v/>
      </c>
      <c r="AT1251" s="75">
        <f>SUMIFS([1]инфо!$I$15:$I$28,[1]инфо!$A$15:$A$28,F1251)</f>
        <v/>
      </c>
      <c r="AU1251" s="62">
        <f>IF(H1251=0,0,AD1251/H1251)</f>
        <v/>
      </c>
      <c r="AV1251" s="76">
        <f>AU1251-AT1251</f>
        <v/>
      </c>
      <c r="AX1251" s="70">
        <f>SUMIFS([1]инфо!$C$15:$C$28,[1]инфо!$A$15:$A$28,F1251)*H1250</f>
        <v/>
      </c>
    </row>
    <row r="1252">
      <c r="A1252" s="71">
        <f>A1250+1</f>
        <v/>
      </c>
      <c r="B1252" s="90" t="n"/>
      <c r="C1252" s="52" t="n"/>
      <c r="D1252" s="53" t="n"/>
      <c r="E1252" s="91" t="n"/>
      <c r="F1252" s="67" t="n"/>
      <c r="G1252" s="58" t="n"/>
      <c r="H1252" s="55" t="n"/>
      <c r="I1252" s="55" t="n"/>
      <c r="J1252" s="55" t="n"/>
      <c r="K1252" s="55" t="n"/>
      <c r="L1252" s="55" t="n"/>
      <c r="M1252" s="55" t="n"/>
      <c r="N1252" s="55" t="n"/>
      <c r="O1252" s="58" t="n"/>
      <c r="P1252" s="58" t="n"/>
      <c r="Q1252" s="58" t="n"/>
      <c r="R1252" s="58" t="n"/>
      <c r="S1252" s="59">
        <f>SUM(O1252:R1252)</f>
        <v/>
      </c>
      <c r="T1252" s="52" t="n"/>
      <c r="U1252" s="53" t="n"/>
      <c r="V1252" s="58" t="n"/>
      <c r="W1252" s="58" t="n"/>
      <c r="X1252" s="58" t="n"/>
      <c r="Y1252" s="52" t="n"/>
      <c r="Z1252" s="58" t="n"/>
      <c r="AA1252" s="58" t="n"/>
      <c r="AB1252" s="58" t="n"/>
      <c r="AC1252" s="58" t="n"/>
      <c r="AD1252" s="53" t="n"/>
      <c r="AE1252" s="61">
        <f>SUMIFS([1]инфо!$D$15:$D$28,[1]инфо!$A$15:$A$28,F1252)</f>
        <v/>
      </c>
      <c r="AF1252" s="62">
        <f>IF(H1252=0,0,N1252/H1252)</f>
        <v/>
      </c>
      <c r="AG1252" s="63">
        <f>AF1252-AE1252</f>
        <v/>
      </c>
      <c r="AH1252" s="61">
        <f>SUMIFS([1]инфо!$E$15:$E$28,[1]инфо!$A$15:$A$28,F1252)</f>
        <v/>
      </c>
      <c r="AI1252" s="62">
        <f>IF(H1251=0,0,S1252/H1251)</f>
        <v/>
      </c>
      <c r="AJ1252" s="63">
        <f>AI1252-AH1252</f>
        <v/>
      </c>
      <c r="AK1252" s="61">
        <f>SUMIFS([1]инфо!$F$15:$F$28,[1]инфо!$A$15:$A$28,F1252)</f>
        <v/>
      </c>
      <c r="AL1252" s="64">
        <f>IF(H1252=0,0,Y1252/H1252)</f>
        <v/>
      </c>
      <c r="AM1252" s="63">
        <f>AL1252-AK1252</f>
        <v/>
      </c>
      <c r="AN1252" s="61">
        <f>SUMIFS([1]инфо!$G$15:$G$28,[1]инфо!$A$15:$A$28,F1252)</f>
        <v/>
      </c>
      <c r="AO1252" s="64">
        <f>IF(H1252=0,0,AA1252/H1252)</f>
        <v/>
      </c>
      <c r="AP1252" s="63">
        <f>AO1252-AN1252</f>
        <v/>
      </c>
      <c r="AQ1252" s="61">
        <f>SUMIFS([1]инфо!$H$15:$H$28,[1]инфо!$A$15:$A$28,F1252)</f>
        <v/>
      </c>
      <c r="AR1252" s="62">
        <f>IF(H1251=0,0,AC1252/H1251)</f>
        <v/>
      </c>
      <c r="AS1252" s="63">
        <f>AR1252-AQ1252</f>
        <v/>
      </c>
      <c r="AT1252" s="61">
        <f>SUMIFS([1]инфо!$I$15:$I$28,[1]инфо!$A$15:$A$28,F1252)</f>
        <v/>
      </c>
      <c r="AU1252" s="62">
        <f>IF(H1252=0,0,AD1252/H1252)</f>
        <v/>
      </c>
      <c r="AV1252" s="63">
        <f>AU1252-AT1252</f>
        <v/>
      </c>
      <c r="AX1252" s="59">
        <f>SUMIFS([1]инфо!$C$15:$C$28,[1]инфо!$A$15:$A$28,F1252)*H1251</f>
        <v/>
      </c>
    </row>
    <row r="1253">
      <c r="A1253" s="71">
        <f>A1251+1</f>
        <v/>
      </c>
      <c r="B1253" s="90" t="n"/>
      <c r="C1253" s="52" t="n"/>
      <c r="D1253" s="53" t="n"/>
      <c r="E1253" s="91" t="n"/>
      <c r="F1253" s="67" t="n"/>
      <c r="G1253" s="58" t="n"/>
      <c r="H1253" s="56" t="n"/>
      <c r="I1253" s="55" t="n"/>
      <c r="J1253" s="55" t="n"/>
      <c r="K1253" s="55" t="n"/>
      <c r="L1253" s="55" t="n"/>
      <c r="M1253" s="55" t="n"/>
      <c r="N1253" s="55" t="n"/>
      <c r="O1253" s="58" t="n"/>
      <c r="P1253" s="58" t="n"/>
      <c r="Q1253" s="58" t="n"/>
      <c r="R1253" s="58" t="n"/>
      <c r="S1253" s="59">
        <f>SUM(O1253:R1253)</f>
        <v/>
      </c>
      <c r="T1253" s="52" t="n"/>
      <c r="U1253" s="53" t="n"/>
      <c r="V1253" s="58" t="n"/>
      <c r="W1253" s="58" t="n"/>
      <c r="X1253" s="58" t="n"/>
      <c r="Y1253" s="52" t="n"/>
      <c r="Z1253" s="58" t="n"/>
      <c r="AA1253" s="58" t="n"/>
      <c r="AB1253" s="58" t="n"/>
      <c r="AC1253" s="58" t="n"/>
      <c r="AD1253" s="53" t="n"/>
      <c r="AE1253" s="61">
        <f>SUMIFS([1]инфо!$D$15:$D$28,[1]инфо!$A$15:$A$28,F1253)</f>
        <v/>
      </c>
      <c r="AF1253" s="62">
        <f>IF(H1253=0,0,N1253/H1253)</f>
        <v/>
      </c>
      <c r="AG1253" s="63">
        <f>AF1253-AE1253</f>
        <v/>
      </c>
      <c r="AH1253" s="61">
        <f>SUMIFS([1]инфо!$E$15:$E$28,[1]инфо!$A$15:$A$28,F1253)</f>
        <v/>
      </c>
      <c r="AI1253" s="62">
        <f>IF(H1252=0,0,S1253/H1252)</f>
        <v/>
      </c>
      <c r="AJ1253" s="63">
        <f>AI1253-AH1253</f>
        <v/>
      </c>
      <c r="AK1253" s="61">
        <f>SUMIFS([1]инфо!$F$15:$F$28,[1]инфо!$A$15:$A$28,F1253)</f>
        <v/>
      </c>
      <c r="AL1253" s="64">
        <f>IF(H1253=0,0,Y1253/H1253)</f>
        <v/>
      </c>
      <c r="AM1253" s="63">
        <f>AL1253-AK1253</f>
        <v/>
      </c>
      <c r="AN1253" s="61">
        <f>SUMIFS([1]инфо!$G$15:$G$28,[1]инфо!$A$15:$A$28,F1253)</f>
        <v/>
      </c>
      <c r="AO1253" s="64">
        <f>IF(H1253=0,0,AA1253/H1253)</f>
        <v/>
      </c>
      <c r="AP1253" s="63">
        <f>AO1253-AN1253</f>
        <v/>
      </c>
      <c r="AQ1253" s="61">
        <f>SUMIFS([1]инфо!$H$15:$H$28,[1]инфо!$A$15:$A$28,F1253)</f>
        <v/>
      </c>
      <c r="AR1253" s="62">
        <f>IF(H1252=0,0,AC1253/H1252)</f>
        <v/>
      </c>
      <c r="AS1253" s="63">
        <f>AR1253-AQ1253</f>
        <v/>
      </c>
      <c r="AT1253" s="61">
        <f>SUMIFS([1]инфо!$I$15:$I$28,[1]инфо!$A$15:$A$28,F1253)</f>
        <v/>
      </c>
      <c r="AU1253" s="62">
        <f>IF(H1253=0,0,AD1253/H1253)</f>
        <v/>
      </c>
      <c r="AV1253" s="63">
        <f>AU1253-AT1253</f>
        <v/>
      </c>
      <c r="AX1253" s="59">
        <f>SUMIFS([1]инфо!$C$15:$C$28,[1]инфо!$A$15:$A$28,F1253)*H1252</f>
        <v/>
      </c>
    </row>
    <row r="1254">
      <c r="A1254" s="71">
        <f>A1252+1</f>
        <v/>
      </c>
      <c r="B1254" s="88" t="n"/>
      <c r="C1254" s="77" t="n"/>
      <c r="D1254" s="78" t="n"/>
      <c r="E1254" s="91" t="n"/>
      <c r="F1254" s="67" t="n"/>
      <c r="G1254" s="79" t="n"/>
      <c r="H1254" s="67" t="n"/>
      <c r="I1254" s="55" t="n"/>
      <c r="J1254" s="55" t="n"/>
      <c r="K1254" s="55" t="n"/>
      <c r="L1254" s="55" t="n"/>
      <c r="M1254" s="55" t="n"/>
      <c r="N1254" s="56" t="n"/>
      <c r="O1254" s="79" t="n"/>
      <c r="P1254" s="79" t="n"/>
      <c r="Q1254" s="79" t="n"/>
      <c r="R1254" s="79" t="n"/>
      <c r="S1254" s="80">
        <f>SUM(O1254:R1254)</f>
        <v/>
      </c>
      <c r="T1254" s="77" t="n"/>
      <c r="U1254" s="78" t="n"/>
      <c r="V1254" s="79" t="n"/>
      <c r="W1254" s="79" t="n"/>
      <c r="X1254" s="79" t="n"/>
      <c r="Y1254" s="77" t="n"/>
      <c r="Z1254" s="79" t="n"/>
      <c r="AA1254" s="79" t="n"/>
      <c r="AB1254" s="79" t="n"/>
      <c r="AC1254" s="79" t="n"/>
      <c r="AD1254" s="78" t="n"/>
      <c r="AE1254" s="81">
        <f>SUMIFS([1]инфо!$D$15:$D$28,[1]инфо!$A$15:$A$28,F1254)</f>
        <v/>
      </c>
      <c r="AF1254" s="62">
        <f>IF(H1254=0,0,N1254/H1254)</f>
        <v/>
      </c>
      <c r="AG1254" s="82">
        <f>AF1254-AE1254</f>
        <v/>
      </c>
      <c r="AH1254" s="81">
        <f>SUMIFS([1]инфо!$E$15:$E$28,[1]инфо!$A$15:$A$28,F1254)</f>
        <v/>
      </c>
      <c r="AI1254" s="85">
        <f>IF(H1253=0,0,S1254/H1253)</f>
        <v/>
      </c>
      <c r="AJ1254" s="82">
        <f>AI1254-AH1254</f>
        <v/>
      </c>
      <c r="AK1254" s="81">
        <f>SUMIFS([1]инфо!$F$15:$F$28,[1]инфо!$A$15:$A$28,F1254)</f>
        <v/>
      </c>
      <c r="AL1254" s="64">
        <f>IF(H1254=0,0,Y1254/H1254)</f>
        <v/>
      </c>
      <c r="AM1254" s="82">
        <f>AL1254-AK1254</f>
        <v/>
      </c>
      <c r="AN1254" s="81">
        <f>SUMIFS([1]инфо!$G$15:$G$28,[1]инфо!$A$15:$A$28,F1254)</f>
        <v/>
      </c>
      <c r="AO1254" s="64">
        <f>IF(H1254=0,0,AA1254/H1254)</f>
        <v/>
      </c>
      <c r="AP1254" s="82">
        <f>AO1254-AN1254</f>
        <v/>
      </c>
      <c r="AQ1254" s="81">
        <f>SUMIFS([1]инфо!$H$15:$H$28,[1]инфо!$A$15:$A$28,F1254)</f>
        <v/>
      </c>
      <c r="AR1254" s="85">
        <f>IF(H1253=0,0,AC1254/H1253)</f>
        <v/>
      </c>
      <c r="AS1254" s="82">
        <f>AR1254-AQ1254</f>
        <v/>
      </c>
      <c r="AT1254" s="81">
        <f>SUMIFS([1]инфо!$I$15:$I$28,[1]инфо!$A$15:$A$28,F1254)</f>
        <v/>
      </c>
      <c r="AU1254" s="62">
        <f>IF(H1254=0,0,AD1254/H1254)</f>
        <v/>
      </c>
      <c r="AV1254" s="82">
        <f>AU1254-AT1254</f>
        <v/>
      </c>
      <c r="AX1254" s="80">
        <f>SUMIFS([1]инфо!$C$15:$C$28,[1]инфо!$A$15:$A$28,F1254)*H1253</f>
        <v/>
      </c>
    </row>
    <row r="1255">
      <c r="A1255" s="71">
        <f>A1253+1</f>
        <v/>
      </c>
      <c r="B1255" s="89" t="n"/>
      <c r="C1255" s="72" t="n"/>
      <c r="D1255" s="73" t="n"/>
      <c r="E1255" s="91" t="n"/>
      <c r="F1255" s="67" t="n"/>
      <c r="G1255" s="74" t="n"/>
      <c r="H1255" s="55" t="n"/>
      <c r="I1255" s="55" t="n"/>
      <c r="J1255" s="55" t="n"/>
      <c r="K1255" s="55" t="n"/>
      <c r="L1255" s="55" t="n"/>
      <c r="M1255" s="55" t="n"/>
      <c r="N1255" s="67" t="n"/>
      <c r="O1255" s="74" t="n"/>
      <c r="P1255" s="74" t="n"/>
      <c r="Q1255" s="74" t="n"/>
      <c r="R1255" s="74" t="n"/>
      <c r="S1255" s="70">
        <f>SUM(O1255:R1255)</f>
        <v/>
      </c>
      <c r="T1255" s="72" t="n"/>
      <c r="U1255" s="73" t="n"/>
      <c r="V1255" s="74" t="n"/>
      <c r="W1255" s="74" t="n"/>
      <c r="X1255" s="74" t="n"/>
      <c r="Y1255" s="72" t="n"/>
      <c r="Z1255" s="74" t="n"/>
      <c r="AA1255" s="74" t="n"/>
      <c r="AB1255" s="74" t="n"/>
      <c r="AC1255" s="74" t="n"/>
      <c r="AD1255" s="73" t="n"/>
      <c r="AE1255" s="75">
        <f>SUMIFS([1]инфо!$D$15:$D$28,[1]инфо!$A$15:$A$28,F1255)</f>
        <v/>
      </c>
      <c r="AF1255" s="62">
        <f>IF(H1255=0,0,N1255/H1255)</f>
        <v/>
      </c>
      <c r="AG1255" s="76">
        <f>AF1255-AE1255</f>
        <v/>
      </c>
      <c r="AH1255" s="75">
        <f>SUMIFS([1]инфо!$E$15:$E$28,[1]инфо!$A$15:$A$28,F1255)</f>
        <v/>
      </c>
      <c r="AI1255" s="64">
        <f>IF(H1254=0,0,S1255/H1254)</f>
        <v/>
      </c>
      <c r="AJ1255" s="76">
        <f>AI1255-AH1255</f>
        <v/>
      </c>
      <c r="AK1255" s="75">
        <f>SUMIFS([1]инфо!$F$15:$F$28,[1]инфо!$A$15:$A$28,F1255)</f>
        <v/>
      </c>
      <c r="AL1255" s="64">
        <f>IF(H1255=0,0,Y1255/H1255)</f>
        <v/>
      </c>
      <c r="AM1255" s="76">
        <f>AL1255-AK1255</f>
        <v/>
      </c>
      <c r="AN1255" s="75">
        <f>SUMIFS([1]инфо!$G$15:$G$28,[1]инфо!$A$15:$A$28,F1255)</f>
        <v/>
      </c>
      <c r="AO1255" s="64">
        <f>IF(H1255=0,0,AA1255/H1255)</f>
        <v/>
      </c>
      <c r="AP1255" s="76">
        <f>AO1255-AN1255</f>
        <v/>
      </c>
      <c r="AQ1255" s="75">
        <f>SUMIFS([1]инфо!$H$15:$H$28,[1]инфо!$A$15:$A$28,F1255)</f>
        <v/>
      </c>
      <c r="AR1255" s="64">
        <f>IF(H1254=0,0,AC1255/H1254)</f>
        <v/>
      </c>
      <c r="AS1255" s="76">
        <f>AR1255-AQ1255</f>
        <v/>
      </c>
      <c r="AT1255" s="75">
        <f>SUMIFS([1]инфо!$I$15:$I$28,[1]инфо!$A$15:$A$28,F1255)</f>
        <v/>
      </c>
      <c r="AU1255" s="62">
        <f>IF(H1255=0,0,AD1255/H1255)</f>
        <v/>
      </c>
      <c r="AV1255" s="76">
        <f>AU1255-AT1255</f>
        <v/>
      </c>
      <c r="AX1255" s="70">
        <f>SUMIFS([1]инфо!$C$15:$C$28,[1]инфо!$A$15:$A$28,F1255)*H1254</f>
        <v/>
      </c>
    </row>
    <row r="1256">
      <c r="A1256" s="71">
        <f>A1254+1</f>
        <v/>
      </c>
      <c r="B1256" s="90" t="n"/>
      <c r="C1256" s="52" t="n"/>
      <c r="D1256" s="53" t="n"/>
      <c r="E1256" s="91" t="n"/>
      <c r="F1256" s="67" t="n"/>
      <c r="G1256" s="58" t="n"/>
      <c r="H1256" s="55" t="n"/>
      <c r="I1256" s="55" t="n"/>
      <c r="J1256" s="55" t="n"/>
      <c r="K1256" s="55" t="n"/>
      <c r="L1256" s="55" t="n"/>
      <c r="M1256" s="55" t="n"/>
      <c r="N1256" s="55" t="n"/>
      <c r="O1256" s="58" t="n"/>
      <c r="P1256" s="58" t="n"/>
      <c r="Q1256" s="58" t="n"/>
      <c r="R1256" s="58" t="n"/>
      <c r="S1256" s="59">
        <f>SUM(O1256:R1256)</f>
        <v/>
      </c>
      <c r="T1256" s="52" t="n"/>
      <c r="U1256" s="53" t="n"/>
      <c r="V1256" s="58" t="n"/>
      <c r="W1256" s="58" t="n"/>
      <c r="X1256" s="58" t="n"/>
      <c r="Y1256" s="52" t="n"/>
      <c r="Z1256" s="58" t="n"/>
      <c r="AA1256" s="58" t="n"/>
      <c r="AB1256" s="58" t="n"/>
      <c r="AC1256" s="58" t="n"/>
      <c r="AD1256" s="53" t="n"/>
      <c r="AE1256" s="61">
        <f>SUMIFS([1]инфо!$D$15:$D$28,[1]инфо!$A$15:$A$28,F1256)</f>
        <v/>
      </c>
      <c r="AF1256" s="62">
        <f>IF(H1256=0,0,N1256/H1256)</f>
        <v/>
      </c>
      <c r="AG1256" s="63">
        <f>AF1256-AE1256</f>
        <v/>
      </c>
      <c r="AH1256" s="61">
        <f>SUMIFS([1]инфо!$E$15:$E$28,[1]инфо!$A$15:$A$28,F1256)</f>
        <v/>
      </c>
      <c r="AI1256" s="62">
        <f>IF(H1255=0,0,S1256/H1255)</f>
        <v/>
      </c>
      <c r="AJ1256" s="63">
        <f>AI1256-AH1256</f>
        <v/>
      </c>
      <c r="AK1256" s="61">
        <f>SUMIFS([1]инфо!$F$15:$F$28,[1]инфо!$A$15:$A$28,F1256)</f>
        <v/>
      </c>
      <c r="AL1256" s="64">
        <f>IF(H1256=0,0,Y1256/H1256)</f>
        <v/>
      </c>
      <c r="AM1256" s="63">
        <f>AL1256-AK1256</f>
        <v/>
      </c>
      <c r="AN1256" s="61">
        <f>SUMIFS([1]инфо!$G$15:$G$28,[1]инфо!$A$15:$A$28,F1256)</f>
        <v/>
      </c>
      <c r="AO1256" s="64">
        <f>IF(H1256=0,0,AA1256/H1256)</f>
        <v/>
      </c>
      <c r="AP1256" s="63">
        <f>AO1256-AN1256</f>
        <v/>
      </c>
      <c r="AQ1256" s="61">
        <f>SUMIFS([1]инфо!$H$15:$H$28,[1]инфо!$A$15:$A$28,F1256)</f>
        <v/>
      </c>
      <c r="AR1256" s="62">
        <f>IF(H1255=0,0,AC1256/H1255)</f>
        <v/>
      </c>
      <c r="AS1256" s="63">
        <f>AR1256-AQ1256</f>
        <v/>
      </c>
      <c r="AT1256" s="61">
        <f>SUMIFS([1]инфо!$I$15:$I$28,[1]инфо!$A$15:$A$28,F1256)</f>
        <v/>
      </c>
      <c r="AU1256" s="62">
        <f>IF(H1256=0,0,AD1256/H1256)</f>
        <v/>
      </c>
      <c r="AV1256" s="63">
        <f>AU1256-AT1256</f>
        <v/>
      </c>
      <c r="AX1256" s="59">
        <f>SUMIFS([1]инфо!$C$15:$C$28,[1]инфо!$A$15:$A$28,F1256)*H1255</f>
        <v/>
      </c>
    </row>
    <row r="1257">
      <c r="A1257" s="71">
        <f>A1255+1</f>
        <v/>
      </c>
      <c r="B1257" s="90" t="n"/>
      <c r="C1257" s="52" t="n"/>
      <c r="D1257" s="53" t="n"/>
      <c r="E1257" s="91" t="n"/>
      <c r="F1257" s="67" t="n"/>
      <c r="G1257" s="58" t="n"/>
      <c r="H1257" s="56" t="n"/>
      <c r="I1257" s="55" t="n"/>
      <c r="J1257" s="55" t="n"/>
      <c r="K1257" s="55" t="n"/>
      <c r="L1257" s="55" t="n"/>
      <c r="M1257" s="55" t="n"/>
      <c r="N1257" s="55" t="n"/>
      <c r="O1257" s="58" t="n"/>
      <c r="P1257" s="58" t="n"/>
      <c r="Q1257" s="58" t="n"/>
      <c r="R1257" s="58" t="n"/>
      <c r="S1257" s="59">
        <f>SUM(O1257:R1257)</f>
        <v/>
      </c>
      <c r="T1257" s="52" t="n"/>
      <c r="U1257" s="53" t="n"/>
      <c r="V1257" s="58" t="n"/>
      <c r="W1257" s="58" t="n"/>
      <c r="X1257" s="58" t="n"/>
      <c r="Y1257" s="52" t="n"/>
      <c r="Z1257" s="58" t="n"/>
      <c r="AA1257" s="58" t="n"/>
      <c r="AB1257" s="58" t="n"/>
      <c r="AC1257" s="58" t="n"/>
      <c r="AD1257" s="53" t="n"/>
      <c r="AE1257" s="61">
        <f>SUMIFS([1]инфо!$D$15:$D$28,[1]инфо!$A$15:$A$28,F1257)</f>
        <v/>
      </c>
      <c r="AF1257" s="62">
        <f>IF(H1257=0,0,N1257/H1257)</f>
        <v/>
      </c>
      <c r="AG1257" s="63">
        <f>AF1257-AE1257</f>
        <v/>
      </c>
      <c r="AH1257" s="61">
        <f>SUMIFS([1]инфо!$E$15:$E$28,[1]инфо!$A$15:$A$28,F1257)</f>
        <v/>
      </c>
      <c r="AI1257" s="62">
        <f>IF(H1256=0,0,S1257/H1256)</f>
        <v/>
      </c>
      <c r="AJ1257" s="63">
        <f>AI1257-AH1257</f>
        <v/>
      </c>
      <c r="AK1257" s="61">
        <f>SUMIFS([1]инфо!$F$15:$F$28,[1]инфо!$A$15:$A$28,F1257)</f>
        <v/>
      </c>
      <c r="AL1257" s="64">
        <f>IF(H1257=0,0,Y1257/H1257)</f>
        <v/>
      </c>
      <c r="AM1257" s="63">
        <f>AL1257-AK1257</f>
        <v/>
      </c>
      <c r="AN1257" s="61">
        <f>SUMIFS([1]инфо!$G$15:$G$28,[1]инфо!$A$15:$A$28,F1257)</f>
        <v/>
      </c>
      <c r="AO1257" s="64">
        <f>IF(H1257=0,0,AA1257/H1257)</f>
        <v/>
      </c>
      <c r="AP1257" s="63">
        <f>AO1257-AN1257</f>
        <v/>
      </c>
      <c r="AQ1257" s="61">
        <f>SUMIFS([1]инфо!$H$15:$H$28,[1]инфо!$A$15:$A$28,F1257)</f>
        <v/>
      </c>
      <c r="AR1257" s="62">
        <f>IF(H1256=0,0,AC1257/H1256)</f>
        <v/>
      </c>
      <c r="AS1257" s="63">
        <f>AR1257-AQ1257</f>
        <v/>
      </c>
      <c r="AT1257" s="61">
        <f>SUMIFS([1]инфо!$I$15:$I$28,[1]инфо!$A$15:$A$28,F1257)</f>
        <v/>
      </c>
      <c r="AU1257" s="62">
        <f>IF(H1257=0,0,AD1257/H1257)</f>
        <v/>
      </c>
      <c r="AV1257" s="63">
        <f>AU1257-AT1257</f>
        <v/>
      </c>
      <c r="AX1257" s="59">
        <f>SUMIFS([1]инфо!$C$15:$C$28,[1]инфо!$A$15:$A$28,F1257)*H1256</f>
        <v/>
      </c>
    </row>
    <row r="1258">
      <c r="A1258" s="71">
        <f>A1256+1</f>
        <v/>
      </c>
      <c r="B1258" s="88" t="n"/>
      <c r="C1258" s="77" t="n"/>
      <c r="D1258" s="78" t="n"/>
      <c r="E1258" s="91" t="n"/>
      <c r="F1258" s="67" t="n"/>
      <c r="G1258" s="79" t="n"/>
      <c r="H1258" s="56">
        <f>SUM(H3:H1257)</f>
        <v/>
      </c>
      <c r="I1258" s="56" t="n"/>
      <c r="J1258" s="56" t="n"/>
      <c r="K1258" s="56" t="n"/>
      <c r="L1258" s="56" t="n"/>
      <c r="M1258" s="56" t="n"/>
      <c r="N1258" s="56" t="n"/>
      <c r="O1258" s="79" t="n"/>
      <c r="P1258" s="79" t="n"/>
      <c r="Q1258" s="79" t="n"/>
      <c r="R1258" s="79" t="n"/>
      <c r="S1258" s="80">
        <f>SUM(O1258:R1258)</f>
        <v/>
      </c>
      <c r="T1258" s="77" t="n"/>
      <c r="U1258" s="78" t="n"/>
      <c r="V1258" s="79" t="n"/>
      <c r="W1258" s="79" t="n"/>
      <c r="X1258" s="79" t="n"/>
      <c r="Y1258" s="77" t="n"/>
      <c r="Z1258" s="79" t="n"/>
      <c r="AA1258" s="79" t="n"/>
      <c r="AB1258" s="79" t="n"/>
      <c r="AC1258" s="79" t="n"/>
      <c r="AD1258" s="78" t="n"/>
      <c r="AE1258" s="81">
        <f>SUMIFS([1]инфо!$D$15:$D$28,[1]инфо!$A$15:$A$28,F1258)</f>
        <v/>
      </c>
      <c r="AF1258" s="62">
        <f>IF(H1258=0,0,N1258/H1258)</f>
        <v/>
      </c>
      <c r="AG1258" s="82">
        <f>AF1258-AE1258</f>
        <v/>
      </c>
      <c r="AH1258" s="81">
        <f>SUMIFS([1]инфо!$E$15:$E$28,[1]инфо!$A$15:$A$28,F1258)</f>
        <v/>
      </c>
      <c r="AI1258" s="85">
        <f>IF(H1257=0,0,S1258/H1257)</f>
        <v/>
      </c>
      <c r="AJ1258" s="82">
        <f>AI1258-AH1258</f>
        <v/>
      </c>
      <c r="AK1258" s="81">
        <f>SUMIFS([1]инфо!$F$15:$F$28,[1]инфо!$A$15:$A$28,F1258)</f>
        <v/>
      </c>
      <c r="AL1258" s="64">
        <f>IF(H1258=0,0,Y1258/H1258)</f>
        <v/>
      </c>
      <c r="AM1258" s="82">
        <f>AL1258-AK1258</f>
        <v/>
      </c>
      <c r="AN1258" s="81">
        <f>SUMIFS([1]инфо!$G$15:$G$28,[1]инфо!$A$15:$A$28,F1258)</f>
        <v/>
      </c>
      <c r="AO1258" s="64">
        <f>IF(H1258=0,0,AA1258/H1258)</f>
        <v/>
      </c>
      <c r="AP1258" s="82">
        <f>AO1258-AN1258</f>
        <v/>
      </c>
      <c r="AQ1258" s="81">
        <f>SUMIFS([1]инфо!$H$15:$H$28,[1]инфо!$A$15:$A$28,F1258)</f>
        <v/>
      </c>
      <c r="AR1258" s="85">
        <f>IF(H1257=0,0,AC1258/H1257)</f>
        <v/>
      </c>
      <c r="AS1258" s="82">
        <f>AR1258-AQ1258</f>
        <v/>
      </c>
      <c r="AT1258" s="81">
        <f>SUMIFS([1]инфо!$I$15:$I$28,[1]инфо!$A$15:$A$28,F1258)</f>
        <v/>
      </c>
      <c r="AU1258" s="62">
        <f>IF(H1258=0,0,AD1258/H1258)</f>
        <v/>
      </c>
      <c r="AV1258" s="82">
        <f>AU1258-AT1258</f>
        <v/>
      </c>
      <c r="AX1258" s="80">
        <f>SUMIFS([1]инфо!$C$15:$C$28,[1]инфо!$A$15:$A$28,F1258)*H1257</f>
        <v/>
      </c>
    </row>
    <row r="1259">
      <c r="A1259" s="92" t="n"/>
      <c r="B1259" s="93" t="n"/>
      <c r="C1259" s="77" t="n"/>
      <c r="D1259" s="78" t="n"/>
      <c r="E1259" s="94" t="n"/>
      <c r="F1259" s="56">
        <f>SUM(F3:F1258)</f>
        <v/>
      </c>
      <c r="G1259" s="79">
        <f>SUM(G3:G1258)</f>
        <v/>
      </c>
      <c r="N1259" s="56">
        <f>SUM(N3:N1258)</f>
        <v/>
      </c>
      <c r="O1259" s="79">
        <f>SUM(O3:O1258)</f>
        <v/>
      </c>
      <c r="P1259" s="79">
        <f>SUM(P3:P1258)</f>
        <v/>
      </c>
      <c r="Q1259" s="79">
        <f>SUM(Q3:Q1258)</f>
        <v/>
      </c>
      <c r="R1259" s="79">
        <f>SUM(R3:R1258)</f>
        <v/>
      </c>
      <c r="S1259" s="80">
        <f>SUM(S3:S1258)</f>
        <v/>
      </c>
      <c r="T1259" s="77">
        <f>SUM(T3:T1258)</f>
        <v/>
      </c>
      <c r="U1259" s="78">
        <f>SUM(U3:U1258)</f>
        <v/>
      </c>
      <c r="V1259" s="79" t="n"/>
      <c r="W1259" s="79" t="n"/>
      <c r="X1259" s="79" t="n"/>
      <c r="Y1259" s="77">
        <f>SUM(Y3:Y1258)</f>
        <v/>
      </c>
      <c r="Z1259" s="79" t="n"/>
      <c r="AA1259" s="79">
        <f>SUM(AA3:AA1258)</f>
        <v/>
      </c>
      <c r="AB1259" s="79" t="n"/>
      <c r="AC1259" s="79">
        <f>SUM(AC3:AC1258)</f>
        <v/>
      </c>
      <c r="AD1259" s="78">
        <f>SUM(AD3:AD1258)</f>
        <v/>
      </c>
      <c r="AE1259" s="81" t="n"/>
      <c r="AF1259" s="85" t="n"/>
      <c r="AG1259" s="82" t="n"/>
      <c r="AH1259" s="81" t="n"/>
      <c r="AI1259" s="85" t="n"/>
      <c r="AJ1259" s="82" t="n"/>
      <c r="AK1259" s="81" t="n"/>
      <c r="AL1259" s="85" t="n"/>
      <c r="AM1259" s="82" t="n"/>
      <c r="AN1259" s="81" t="n"/>
      <c r="AO1259" s="85" t="n"/>
      <c r="AP1259" s="82" t="n"/>
      <c r="AQ1259" s="81" t="n"/>
      <c r="AR1259" s="85" t="n"/>
      <c r="AS1259" s="82" t="n"/>
      <c r="AT1259" s="81" t="n"/>
      <c r="AU1259" s="85" t="n"/>
      <c r="AV1259" s="82" t="n"/>
      <c r="AX1259" s="80">
        <f>SUM(AX3:AX1258)</f>
        <v/>
      </c>
    </row>
  </sheetData>
  <autoFilter ref="A2:AV1259"/>
  <mergeCells count="42">
    <mergeCell ref="AU1:AU2"/>
    <mergeCell ref="AD1:AD2"/>
    <mergeCell ref="AI1:AI2"/>
    <mergeCell ref="C1:C2"/>
    <mergeCell ref="E1:E2"/>
    <mergeCell ref="K1:K2"/>
    <mergeCell ref="M1:M2"/>
    <mergeCell ref="AH1:AH2"/>
    <mergeCell ref="AN1:AN2"/>
    <mergeCell ref="AP1:AP2"/>
    <mergeCell ref="AB1:AC1"/>
    <mergeCell ref="V1:W1"/>
    <mergeCell ref="B1:B2"/>
    <mergeCell ref="L1:L2"/>
    <mergeCell ref="N1:N2"/>
    <mergeCell ref="T1:T2"/>
    <mergeCell ref="AE1:AE2"/>
    <mergeCell ref="AF1:AF2"/>
    <mergeCell ref="AM1:AM2"/>
    <mergeCell ref="AK1:AK2"/>
    <mergeCell ref="AO1:AO2"/>
    <mergeCell ref="AQ1:AQ2"/>
    <mergeCell ref="G1:G2"/>
    <mergeCell ref="I1:I2"/>
    <mergeCell ref="AR1:AR2"/>
    <mergeCell ref="O1:R1"/>
    <mergeCell ref="AJ1:AJ2"/>
    <mergeCell ref="AT1:AT2"/>
    <mergeCell ref="AV1:AV2"/>
    <mergeCell ref="AL1:AL2"/>
    <mergeCell ref="S1:S2"/>
    <mergeCell ref="AX1:AX2"/>
    <mergeCell ref="U1:U2"/>
    <mergeCell ref="X1:Y1"/>
    <mergeCell ref="Z1:AA1"/>
    <mergeCell ref="D1:D2"/>
    <mergeCell ref="F1:F2"/>
    <mergeCell ref="H1:H2"/>
    <mergeCell ref="J1:J2"/>
    <mergeCell ref="AG1:AG2"/>
    <mergeCell ref="AS1:AS2"/>
    <mergeCell ref="A1:A2"/>
  </mergeCells>
  <conditionalFormatting sqref="AG3:AG1259 AJ3:AJ1259">
    <cfRule type="cellIs" priority="8" operator="lessThan" dxfId="7">
      <formula>-0.1</formula>
    </cfRule>
    <cfRule type="cellIs" priority="10" operator="greaterThan" dxfId="5">
      <formula>0.1</formula>
    </cfRule>
    <cfRule type="cellIs" priority="9" operator="between" dxfId="6">
      <formula>-0.1</formula>
      <formula>0.1</formula>
    </cfRule>
  </conditionalFormatting>
  <conditionalFormatting sqref="AG27:AG29 AG1259 AJ27:AJ29 AJ1259 AM27:AM29 AP27:AP29 AS27:AS29 AV27:AV29">
    <cfRule type="cellIs" priority="11" operator="between" dxfId="2">
      <formula>-0.1</formula>
      <formula>0.1</formula>
    </cfRule>
  </conditionalFormatting>
  <conditionalFormatting sqref="AJ20 AJ22:AJ26 AJ31:AJ36 AJ38:AJ40 AJ42:AJ45 AJ47:AJ49 AJ51:AJ53 AJ55:AJ57 AJ59:AJ61 AJ63:AJ65 AJ67:AJ69 AJ71:AJ73 AJ75:AJ77 AJ79:AJ81 AJ83:AJ85 AJ87:AJ89 AJ91:AJ93 AJ95:AJ97 AJ99:AJ101 AJ103:AJ106 AJ108:AJ110 AJ112:AJ114 AJ116:AJ118 AJ120:AJ122 AJ124:AJ126 AJ128:AJ130 AJ132:AJ134 AJ136:AJ138 AJ140:AJ142 AJ144:AJ146 AJ148:AJ150 AJ152:AJ154 AJ156:AJ158 AJ160:AJ162 AJ164:AJ166 AJ168:AJ170 AJ172:AJ174 AJ176:AJ178 AJ180:AJ182 AJ184:AJ186 AJ188:AJ190 AJ192:AJ194 AJ196:AJ198 AJ200:AJ203 AJ205:AJ207 AJ209:AJ211 AJ213:AJ215 AJ217:AJ219 AJ221:AJ223 AJ226:AJ228 AJ230:AJ232 AJ234:AJ237 AJ239:AJ241 AJ243:AJ245 AJ247:AJ250 AJ252:AJ254 AJ256:AJ258 AJ260:AJ262 AJ264:AJ266 AJ268:AJ270 AJ272:AJ274 AJ276:AJ278 AJ280:AJ282 AJ284:AJ286 AJ288:AJ290 AJ292:AJ294 AJ296:AJ298 AJ300:AJ302 AJ304:AJ306 AJ308:AJ310 AJ312:AJ314 AJ316:AJ318 AJ320:AJ322 AJ324:AJ326 AJ328:AJ330 AJ332:AJ334 AJ336:AJ338 AJ340:AJ342 AJ344:AJ346 AJ348:AJ350 AJ352:AJ354 AJ356:AJ358 AJ360:AJ362 AJ364:AJ366 AJ368:AJ370 AJ372:AJ374 AJ376:AJ378 AJ380:AJ382 AJ384:AJ386 AJ388:AJ390 AJ392:AJ394 AJ396:AJ398 AJ400:AJ402 AJ404:AJ406 AJ408:AJ410 AJ412:AJ414 AJ416:AJ418 AJ420:AJ422 AJ424:AJ426 AJ428:AJ430 AJ432:AJ434 AJ436:AJ438 AJ440:AJ442 AJ444:AJ446 AJ448:AJ450 AJ452:AJ454 AJ456:AJ458 AJ460:AJ462 AJ464:AJ466 AJ468:AJ470 AJ472:AJ474 AJ476:AJ478 AJ480:AJ482 AJ484:AJ486 AJ488:AJ490 AJ492:AJ494 AJ496:AJ498 AJ500:AJ502 AJ504:AJ506 AJ508:AJ510 AJ512:AJ514 AJ516:AJ518 AJ520:AJ522 AJ524:AJ526 AJ528:AJ530 AJ532:AJ534 AJ536:AJ538 AJ540:AJ542 AJ544:AJ546 AJ548:AJ550 AJ552:AJ554 AJ556:AJ558 AJ560:AJ562 AJ564:AJ566 AJ568:AJ570 AJ572:AJ574 AJ576:AJ578 AJ580:AJ582 AJ584:AJ586 AJ588:AJ590 AJ592:AJ594 AJ596:AJ598 AJ600:AJ602 AJ604:AJ606 AJ608:AJ610 AJ612:AJ614 AJ616:AJ618 AJ620:AJ622 AJ624:AJ626 AJ628:AJ630 AJ632:AJ634 AJ636:AJ638 AJ640:AJ642 AJ644:AJ646 AJ648:AJ650 AJ652:AJ654 AJ656:AJ658 AJ660:AJ662 AJ664:AJ666 AJ668:AJ670 AJ672:AJ674 AJ676:AJ678 AJ680:AJ682 AJ684:AJ686 AJ688:AJ690 AJ692:AJ694 AJ696:AJ698 AJ700:AJ702 AJ704:AJ706 AJ708:AJ710 AJ712:AJ714 AJ716:AJ718 AJ720:AJ722 AJ724:AJ726 AJ728:AJ730 AJ732:AJ734 AJ736:AJ738 AJ740:AJ742 AJ744:AJ746 AJ748:AJ750 AJ752:AJ754 AJ756:AJ758 AJ760:AJ762 AJ764:AJ766 AJ768:AJ770 AJ772:AJ774 AJ776:AJ778 AJ780:AJ782 AJ784:AJ786 AJ788:AJ790 AJ792:AJ794 AJ796:AJ798 AJ800:AJ802 AJ804:AJ806 AJ808:AJ810 AJ812:AJ814 AJ816:AJ818 AJ820:AJ822 AJ824:AJ826 AJ828:AJ830 AJ832:AJ834 AJ836:AJ838 AJ840:AJ842 AJ844:AJ846 AJ848:AJ850 AJ852:AJ854 AJ856:AJ858 AJ860:AJ862 AJ864:AJ866 AJ868:AJ870 AJ872:AJ874 AJ876:AJ878 AJ880:AJ882 AJ884:AJ886 AJ888:AJ890 AJ892:AJ894 AJ896:AJ898 AJ900:AJ902 AJ904:AJ906 AJ908:AJ910 AJ912:AJ914 AJ916:AJ918 AJ920:AJ922 AJ924:AJ926 AJ928:AJ930 AJ932:AJ934 AJ936:AJ938 AJ940:AJ942 AJ944:AJ946 AJ948:AJ950 AJ952:AJ954 AJ956:AJ958 AJ960:AJ962 AJ964:AJ966 AJ968:AJ970 AJ972:AJ974 AJ976:AJ978 AJ980:AJ982 AJ984:AJ986 AJ988:AJ990 AJ992:AJ994 AJ996:AJ998 AJ1000:AJ1002 AJ1004:AJ1006 AJ1008:AJ1010 AJ1012:AJ1014 AJ1016:AJ1018 AJ1020:AJ1022 AJ1024:AJ1026 AJ1028:AJ1030 AJ1032:AJ1034 AJ1036:AJ1038 AJ1040:AJ1042 AJ1044:AJ1046 AJ1048:AJ1050 AJ1052:AJ1054 AJ1056:AJ1058 AJ1060:AJ1062 AJ1064:AJ1066 AJ1068:AJ1070 AJ1072:AJ1074 AJ1076:AJ1078 AJ1080:AJ1082 AJ1084:AJ1086 AJ1088:AJ1090 AJ1092:AJ1094 AJ1096:AJ1098 AJ1100:AJ1102 AJ1104:AJ1106 AJ1108:AJ1110 AJ1112:AJ1114 AJ1116:AJ1118 AJ1120:AJ1122 AJ1124:AJ1126 AJ1128:AJ1130 AJ1132:AJ1134 AJ1136:AJ1138 AJ1140:AJ1142 AJ1144:AJ1146 AJ1148:AJ1150 AJ1152:AJ1154 AJ1156:AJ1158 AJ1160:AJ1162 AJ1164:AJ1166 AJ1168:AJ1170 AJ1172:AJ1174 AJ1176:AJ1178 AJ1180:AJ1182 AJ1184:AJ1186 AJ1188:AJ1190 AJ1192:AJ1194 AJ1196:AJ1198 AJ1200:AJ1202 AJ1204:AJ1206 AJ1208:AJ1210 AJ1212:AJ1214 AJ1216:AJ1218 AJ1220:AJ1222 AJ1224:AJ1226 AJ1228:AJ1230 AJ1232:AJ1234 AJ1236:AJ1238 AJ1240:AJ1242 AJ1244:AJ1246 AJ1248:AJ1250 AJ1252:AJ1254 AJ1256:AJ1258">
    <cfRule type="cellIs" priority="7" operator="between" dxfId="2">
      <formula>-0.1</formula>
      <formula>0.1</formula>
    </cfRule>
  </conditionalFormatting>
  <conditionalFormatting sqref="AM3:AM1259 AP3:AP1259 AS3:AS1259 AV3:AV1259">
    <cfRule type="cellIs" priority="2" operator="lessThan" dxfId="7">
      <formula>-0.1</formula>
    </cfRule>
    <cfRule type="cellIs" priority="3" operator="between" dxfId="6">
      <formula>-0.1</formula>
      <formula>0.1</formula>
    </cfRule>
    <cfRule type="cellIs" priority="4" operator="greaterThan" dxfId="5">
      <formula>0.1</formula>
    </cfRule>
  </conditionalFormatting>
  <conditionalFormatting sqref="AG4 AG7 AG9:AG10 AG12 AG14 AG16 AG18 AG20 AG22:AG26 AG31:AG36 AG38:AG40 AG42:AG45 AG47:AG49 AG51:AG53 AG55:AG57 AG59:AG61 AG63:AG65 AG67:AG69 AG71:AG73 AG75:AG77 AG79:AG81 AG83:AG85 AG87:AG89 AG91:AG93 AG95:AG97 AG99:AG101 AG103:AG106 AG108:AG110 AG112:AG114 AG116:AG118 AG120:AG122 AG124:AG126 AG128:AG130 AG132:AG134 AG136:AG138 AG140:AG142 AG144:AG146 AG148:AG150 AG152:AG154 AG156:AG158 AG160:AG162 AG164:AG166 AG168:AG170 AG172:AG174 AG176:AG178 AG180:AG182 AG184:AG186 AG188:AG190 AG192:AG194 AG196:AG198 AG200:AG203 AG205:AG207 AG209:AG211 AG213:AG215 AG217:AG219 AG221:AG223 AG226:AG228 AG230:AG232 AG234:AG237 AG239:AG241 AG243:AG245 AG247:AG250 AG252:AG254 AG256:AG258 AG260:AG262 AG264:AG266 AG268:AG270 AG272:AG274 AG276:AG278 AG280:AG282 AG284:AG286 AG288:AG290 AG292:AG294 AG296:AG298 AG300:AG302 AG304:AG306 AG308:AG310 AG312:AG314 AG316:AG318 AG320:AG322 AG324:AG326 AG328:AG330 AG332:AG334 AG336:AG338 AG340:AG342 AG344:AG346 AG348:AG350 AG352:AG354 AG356:AG358 AG360:AG362 AG364:AG366 AG368:AG370 AG372:AG374 AG376:AG378 AG380:AG382 AG384:AG386 AG388:AG390 AG392:AG394 AG396:AG398 AG400:AG402 AG404:AG406 AG408:AG410 AG412:AG414 AG416:AG418 AG420:AG422 AG424:AG426 AG428:AG430 AG432:AG434 AG436:AG438 AG440:AG442 AG444:AG446 AG448:AG450 AG452:AG454 AG456:AG458 AG460:AG462 AG464:AG466 AG468:AG470 AG472:AG474 AG476:AG478 AG480:AG482 AG484:AG486 AG488:AG490 AG492:AG494 AG496:AG498 AG500:AG502 AG504:AG506 AG508:AG510 AG512:AG514 AG516:AG518 AG520:AG522 AG524:AG526 AG528:AG530 AG532:AG534 AG536:AG538 AG540:AG542 AG544:AG546 AG548:AG550 AG552:AG554 AG556:AG558 AG560:AG562 AG564:AG566 AG568:AG570 AG572:AG574 AG576:AG578 AG580:AG582 AG584:AG586 AG588:AG590 AG592:AG594 AG596:AG598 AG600:AG602 AG604:AG606 AG608:AG610 AG612:AG614 AG616:AG618 AG620:AG622 AG624:AG626 AG628:AG630 AG632:AG634 AG636:AG638 AG640:AG642 AG644:AG646 AG648:AG650 AG652:AG654 AG656:AG658 AG660:AG662 AG664:AG666 AG668:AG670 AG672:AG674 AG676:AG678 AG680:AG682 AG684:AG686 AG688:AG690 AG692:AG694 AG696:AG698 AG700:AG702 AG704:AG706 AG708:AG710 AG712:AG714 AG716:AG718 AG720:AG722 AG724:AG726 AG728:AG730 AG732:AG734 AG736:AG738 AG740:AG742 AG744:AG746 AG748:AG750 AG752:AG754 AG756:AG758 AG760:AG762 AG764:AG766 AG768:AG770 AG772:AG774 AG776:AG778 AG780:AG782 AG784:AG786 AG788:AG790 AG792:AG794 AG796:AG798 AG800:AG802 AG804:AG806 AG808:AG810 AG812:AG814 AG816:AG818 AG820:AG822 AG824:AG826 AG828:AG830 AG832:AG834 AG836:AG838 AG840:AG842 AG844:AG846 AG848:AG850 AG852:AG854 AG856:AG858 AG860:AG862 AG864:AG866 AG868:AG870 AG872:AG874 AG876:AG878 AG880:AG882 AG884:AG886 AG888:AG890 AG892:AG894 AG896:AG898 AG900:AG902 AG904:AG906 AG908:AG910 AG912:AG914 AG916:AG918 AG920:AG922 AG924:AG926 AG928:AG930 AG932:AG934 AG936:AG938 AG940:AG942 AG944:AG946 AG948:AG950 AG952:AG954 AG956:AG958 AG960:AG962 AG964:AG966 AG968:AG970 AG972:AG974 AG976:AG978 AG980:AG982 AG984:AG986 AG988:AG990 AG992:AG994 AG996:AG998 AG1000:AG1002 AG1004:AG1006 AG1008:AG1010 AG1012:AG1014 AG1016:AG1018 AG1020:AG1022 AG1024:AG1026 AG1028:AG1030 AG1032:AG1034 AG1036:AG1038 AG1040:AG1042 AG1044:AG1046 AG1048:AG1050 AG1052:AG1054 AG1056:AG1058 AG1060:AG1062 AG1064:AG1066 AG1068:AG1070 AG1072:AG1074 AG1076:AG1078 AG1080:AG1082 AG1084:AG1086 AG1088:AG1090 AG1092:AG1094 AG1096:AG1098 AG1100:AG1102 AG1104:AG1106 AG1108:AG1110 AG1112:AG1114 AG1116:AG1118 AG1120:AG1122 AG1124:AG1126 AG1128:AG1130 AG1132:AG1134 AG1136:AG1138 AG1140:AG1142 AG1144:AG1146 AG1148:AG1150 AG1152:AG1154 AG1156:AG1158 AG1160:AG1162 AG1164:AG1166 AG1168:AG1170 AG1172:AG1174 AG1176:AG1178 AG1180:AG1182 AG1184:AG1186 AG1188:AG1190 AG1192:AG1194 AG1196:AG1198 AG1200:AG1202 AG1204:AG1206 AG1208:AG1210 AG1212:AG1214 AG1216:AG1218 AG1220:AG1222 AG1224:AG1226 AG1228:AG1230 AG1232:AG1234 AG1236:AG1238 AG1240:AG1242 AG1244:AG1246 AG1248:AG1250 AG1252:AG1254 AG1256:AG1258 AJ4 AJ7 AJ9:AJ10 AJ12 AJ14 AJ16 AJ18 AM4 AM7 AM9:AM10 AM12 AM14 AM16 AM18 AP4 AP7 AP9:AP10 AP12 AP14 AP16 AP18 AS4 AS7 AS9:AS10 AS12 AS14 AS16 AS18 AV4 AV7 AV9:AV10 AV12 AV14 AV16 AV18">
    <cfRule type="cellIs" priority="6" operator="between" dxfId="2">
      <formula>-0.1</formula>
      <formula>0.1</formula>
    </cfRule>
  </conditionalFormatting>
  <conditionalFormatting sqref="AM20 AM22:AM26 AM31:AM36 AM38:AM40 AM42:AM45 AM47:AM49 AM51:AM53 AM55:AM57 AM59:AM61 AM63:AM65 AM67:AM69 AM71:AM73 AM75:AM77 AM79:AM81 AM83:AM85 AM87:AM89 AM91:AM93 AM95:AM97 AM99:AM101 AM103:AM106 AM108:AM110 AM112:AM114 AM116:AM118 AM120:AM122 AM124:AM126 AM128:AM130 AM132:AM134 AM136:AM138 AM140:AM142 AM144:AM146 AM148:AM150 AM152:AM154 AM156:AM158 AM160:AM162 AM164:AM166 AM168:AM170 AM172:AM174 AM176:AM178 AM180:AM182 AM184:AM186 AM188:AM190 AM192:AM194 AM196:AM198 AM200:AM203 AM205:AM207 AM209:AM211 AM213:AM215 AM217:AM219 AM221:AM223 AM226:AM228 AM230:AM232 AM234:AM237 AM239:AM241 AM243:AM245 AM247:AM250 AM252:AM254 AM256:AM258 AM260:AM262 AM264:AM266 AM268:AM270 AM272:AM274 AM276:AM278 AM280:AM282 AM284:AM286 AM288:AM290 AM292:AM294 AM296:AM298 AM300:AM302 AM304:AM306 AM308:AM310 AM312:AM314 AM316:AM318 AM320:AM322 AM324:AM326 AM328:AM330 AM332:AM334 AM336:AM338 AM340:AM342 AM344:AM346 AM348:AM350 AM352:AM354 AM356:AM358 AM360:AM362 AM364:AM366 AM368:AM370 AM372:AM374 AM376:AM378 AM380:AM382 AM384:AM386 AM388:AM390 AM392:AM394 AM396:AM398 AM400:AM402 AM404:AM406 AM408:AM410 AM412:AM414 AM416:AM418 AM420:AM422 AM424:AM426 AM428:AM430 AM432:AM434 AM436:AM438 AM440:AM442 AM444:AM446 AM448:AM450 AM452:AM454 AM456:AM458 AM460:AM462 AM464:AM466 AM468:AM470 AM472:AM474 AM476:AM478 AM480:AM482 AM484:AM486 AM488:AM490 AM492:AM494 AM496:AM498 AM500:AM502 AM504:AM506 AM508:AM510 AM512:AM514 AM516:AM518 AM520:AM522 AM524:AM526 AM528:AM530 AM532:AM534 AM536:AM538 AM540:AM542 AM544:AM546 AM548:AM550 AM552:AM554 AM556:AM558 AM560:AM562 AM564:AM566 AM568:AM570 AM572:AM574 AM576:AM578 AM580:AM582 AM584:AM586 AM588:AM590 AM592:AM594 AM596:AM598 AM600:AM602 AM604:AM606 AM608:AM610 AM612:AM614 AM616:AM618 AM620:AM622 AM624:AM626 AM628:AM630 AM632:AM634 AM636:AM638 AM640:AM642 AM644:AM646 AM648:AM650 AM652:AM654 AM656:AM658 AM660:AM662 AM664:AM666 AM668:AM670 AM672:AM674 AM676:AM678 AM680:AM682 AM684:AM686 AM688:AM690 AM692:AM694 AM696:AM698 AM700:AM702 AM704:AM706 AM708:AM710 AM712:AM714 AM716:AM718 AM720:AM722 AM724:AM726 AM728:AM730 AM732:AM734 AM736:AM738 AM740:AM742 AM744:AM746 AM748:AM750 AM752:AM754 AM756:AM758 AM760:AM762 AM764:AM766 AM768:AM770 AM772:AM774 AM776:AM778 AM780:AM782 AM784:AM786 AM788:AM790 AM792:AM794 AM796:AM798 AM800:AM802 AM804:AM806 AM808:AM810 AM812:AM814 AM816:AM818 AM820:AM822 AM824:AM826 AM828:AM830 AM832:AM834 AM836:AM838 AM840:AM842 AM844:AM846 AM848:AM850 AM852:AM854 AM856:AM858 AM860:AM862 AM864:AM866 AM868:AM870 AM872:AM874 AM876:AM878 AM880:AM882 AM884:AM886 AM888:AM890 AM892:AM894 AM896:AM898 AM900:AM902 AM904:AM906 AM908:AM910 AM912:AM914 AM916:AM918 AM920:AM922 AM924:AM926 AM928:AM930 AM932:AM934 AM936:AM938 AM940:AM942 AM944:AM946 AM948:AM950 AM952:AM954 AM956:AM958 AM960:AM962 AM964:AM966 AM968:AM970 AM972:AM974 AM976:AM978 AM980:AM982 AM984:AM986 AM988:AM990 AM992:AM994 AM996:AM998 AM1000:AM1002 AM1004:AM1006 AM1008:AM1010 AM1012:AM1014 AM1016:AM1018 AM1020:AM1022 AM1024:AM1026 AM1028:AM1030 AM1032:AM1034 AM1036:AM1038 AM1040:AM1042 AM1044:AM1046 AM1048:AM1050 AM1052:AM1054 AM1056:AM1058 AM1060:AM1062 AM1064:AM1066 AM1068:AM1070 AM1072:AM1074 AM1076:AM1078 AM1080:AM1082 AM1084:AM1086 AM1088:AM1090 AM1092:AM1094 AM1096:AM1098 AM1100:AM1102 AM1104:AM1106 AM1108:AM1110 AM1112:AM1114 AM1116:AM1118 AM1120:AM1122 AM1124:AM1126 AM1128:AM1130 AM1132:AM1134 AM1136:AM1138 AM1140:AM1142 AM1144:AM1146 AM1148:AM1150 AM1152:AM1154 AM1156:AM1158 AM1160:AM1162 AM1164:AM1166 AM1168:AM1170 AM1172:AM1174 AM1176:AM1178 AM1180:AM1182 AM1184:AM1186 AM1188:AM1190 AM1192:AM1194 AM1196:AM1198 AM1200:AM1202 AM1204:AM1206 AM1208:AM1210 AM1212:AM1214 AM1216:AM1218 AM1220:AM1222 AM1224:AM1226 AM1228:AM1230 AM1232:AM1234 AM1236:AM1238 AM1240:AM1242 AM1244:AM1246 AM1248:AM1250 AM1252:AM1254 AM1256:AM1258 AP20 AP22:AP26 AP31:AP36 AP38:AP40 AP42:AP45 AP47:AP49 AP51:AP53 AP55:AP57 AP59:AP61 AP63:AP65 AP67:AP69 AP71:AP73 AP75:AP77 AP79:AP81 AP83:AP85 AP87:AP89 AP91:AP93 AP95:AP97 AP99:AP101 AP103:AP106 AP108:AP110 AP112:AP114 AP116:AP118 AP120:AP122 AP124:AP126 AP128:AP130 AP132:AP134 AP136:AP138 AP140:AP142 AP144:AP146 AP148:AP150 AP152:AP154 AP156:AP158 AP160:AP162 AP164:AP166 AP168:AP170 AP172:AP174 AP176:AP178 AP180:AP182 AP184:AP186 AP188:AP190 AP192:AP194 AP196:AP198 AP200:AP203 AP205:AP207 AP209:AP211 AP213:AP215 AP217:AP219 AP221:AP223 AP226:AP228 AP230:AP232 AP234:AP237 AP239:AP241 AP243:AP245 AP247:AP250 AP252:AP254 AP256:AP258 AP260:AP262 AP264:AP266 AP268:AP270 AP272:AP274 AP276:AP278 AP280:AP282 AP284:AP286 AP288:AP290 AP292:AP294 AP296:AP298 AP300:AP302 AP304:AP306 AP308:AP310 AP312:AP314 AP316:AP318 AP320:AP322 AP324:AP326 AP328:AP330 AP332:AP334 AP336:AP338 AP340:AP342 AP344:AP346 AP348:AP350 AP352:AP354 AP356:AP358 AP360:AP362 AP364:AP366 AP368:AP370 AP372:AP374 AP376:AP378 AP380:AP382 AP384:AP386 AP388:AP390 AP392:AP394 AP396:AP398 AP400:AP402 AP404:AP406 AP408:AP410 AP412:AP414 AP416:AP418 AP420:AP422 AP424:AP426 AP428:AP430 AP432:AP434 AP436:AP438 AP440:AP442 AP444:AP446 AP448:AP450 AP452:AP454 AP456:AP458 AP460:AP462 AP464:AP466 AP468:AP470 AP472:AP474 AP476:AP478 AP480:AP482 AP484:AP486 AP488:AP490 AP492:AP494 AP496:AP498 AP500:AP502 AP504:AP506 AP508:AP510 AP512:AP514 AP516:AP518 AP520:AP522 AP524:AP526 AP528:AP530 AP532:AP534 AP536:AP538 AP540:AP542 AP544:AP546 AP548:AP550 AP552:AP554 AP556:AP558 AP560:AP562 AP564:AP566 AP568:AP570 AP572:AP574 AP576:AP578 AP580:AP582 AP584:AP586 AP588:AP590 AP592:AP594 AP596:AP598 AP600:AP602 AP604:AP606 AP608:AP610 AP612:AP614 AP616:AP618 AP620:AP622 AP624:AP626 AP628:AP630 AP632:AP634 AP636:AP638 AP640:AP642 AP644:AP646 AP648:AP650 AP652:AP654 AP656:AP658 AP660:AP662 AP664:AP666 AP668:AP670 AP672:AP674 AP676:AP678 AP680:AP682 AP684:AP686 AP688:AP690 AP692:AP694 AP696:AP698 AP700:AP702 AP704:AP706 AP708:AP710 AP712:AP714 AP716:AP718 AP720:AP722 AP724:AP726 AP728:AP730 AP732:AP734 AP736:AP738 AP740:AP742 AP744:AP746 AP748:AP750 AP752:AP754 AP756:AP758 AP760:AP762 AP764:AP766 AP768:AP770 AP772:AP774 AP776:AP778 AP780:AP782 AP784:AP786 AP788:AP790 AP792:AP794 AP796:AP798 AP800:AP802 AP804:AP806 AP808:AP810 AP812:AP814 AP816:AP818 AP820:AP822 AP824:AP826 AP828:AP830 AP832:AP834 AP836:AP838 AP840:AP842 AP844:AP846 AP848:AP850 AP852:AP854 AP856:AP858 AP860:AP862 AP864:AP866 AP868:AP870 AP872:AP874 AP876:AP878 AP880:AP882 AP884:AP886 AP888:AP890 AP892:AP894 AP896:AP898 AP900:AP902 AP904:AP906 AP908:AP910 AP912:AP914 AP916:AP918 AP920:AP922 AP924:AP926 AP928:AP930 AP932:AP934 AP936:AP938 AP940:AP942 AP944:AP946 AP948:AP950 AP952:AP954 AP956:AP958 AP960:AP962 AP964:AP966 AP968:AP970 AP972:AP974 AP976:AP978 AP980:AP982 AP984:AP986 AP988:AP990 AP992:AP994 AP996:AP998 AP1000:AP1002 AP1004:AP1006 AP1008:AP1010 AP1012:AP1014 AP1016:AP1018 AP1020:AP1022 AP1024:AP1026 AP1028:AP1030 AP1032:AP1034 AP1036:AP1038 AP1040:AP1042 AP1044:AP1046 AP1048:AP1050 AP1052:AP1054 AP1056:AP1058 AP1060:AP1062 AP1064:AP1066 AP1068:AP1070 AP1072:AP1074 AP1076:AP1078 AP1080:AP1082 AP1084:AP1086 AP1088:AP1090 AP1092:AP1094 AP1096:AP1098 AP1100:AP1102 AP1104:AP1106 AP1108:AP1110 AP1112:AP1114 AP1116:AP1118 AP1120:AP1122 AP1124:AP1126 AP1128:AP1130 AP1132:AP1134 AP1136:AP1138 AP1140:AP1142 AP1144:AP1146 AP1148:AP1150 AP1152:AP1154 AP1156:AP1158 AP1160:AP1162 AP1164:AP1166 AP1168:AP1170 AP1172:AP1174 AP1176:AP1178 AP1180:AP1182 AP1184:AP1186 AP1188:AP1190 AP1192:AP1194 AP1196:AP1198 AP1200:AP1202 AP1204:AP1206 AP1208:AP1210 AP1212:AP1214 AP1216:AP1218 AP1220:AP1222 AP1224:AP1226 AP1228:AP1230 AP1232:AP1234 AP1236:AP1238 AP1240:AP1242 AP1244:AP1246 AP1248:AP1250 AP1252:AP1254 AP1256:AP1258 AS20 AS22:AS26 AS31:AS36 AS38:AS40 AS42:AS45 AS47:AS49 AS51:AS53 AS55:AS57 AS59:AS61 AS63:AS65 AS67:AS69 AS71:AS73 AS75:AS77 AS79:AS81 AS83:AS85 AS87:AS89 AS91:AS93 AS95:AS97 AS99:AS101 AS103:AS106 AS108:AS110 AS112:AS114 AS116:AS118 AS120:AS122 AS124:AS126 AS128:AS130 AS132:AS134 AS136:AS138 AS140:AS142 AS144:AS146 AS148:AS150 AS152:AS154 AS156:AS158 AS160:AS162 AS164:AS166 AS168:AS170 AS172:AS174 AS176:AS178 AS180:AS182 AS184:AS186 AS188:AS190 AS192:AS194 AS196:AS198 AS200:AS203 AS205:AS207 AS209:AS211 AS213:AS215 AS217:AS219 AS221:AS223 AS226:AS228 AS230:AS232 AS234:AS237 AS239:AS241 AS243:AS245 AS247:AS250 AS252:AS254 AS256:AS258 AS260:AS262 AS264:AS266 AS268:AS270 AS272:AS274 AS276:AS278 AS280:AS282 AS284:AS286 AS288:AS290 AS292:AS294 AS296:AS298 AS300:AS302 AS304:AS306 AS308:AS310 AS312:AS314 AS316:AS318 AS320:AS322 AS324:AS326 AS328:AS330 AS332:AS334 AS336:AS338 AS340:AS342 AS344:AS346 AS348:AS350 AS352:AS354 AS356:AS358 AS360:AS362 AS364:AS366 AS368:AS370 AS372:AS374 AS376:AS378 AS380:AS382 AS384:AS386 AS388:AS390 AS392:AS394 AS396:AS398 AS400:AS402 AS404:AS406 AS408:AS410 AS412:AS414 AS416:AS418 AS420:AS422 AS424:AS426 AS428:AS430 AS432:AS434 AS436:AS438 AS440:AS442 AS444:AS446 AS448:AS450 AS452:AS454 AS456:AS458 AS460:AS462 AS464:AS466 AS468:AS470 AS472:AS474 AS476:AS478 AS480:AS482 AS484:AS486 AS488:AS490 AS492:AS494 AS496:AS498 AS500:AS502 AS504:AS506 AS508:AS510 AS512:AS514 AS516:AS518 AS520:AS522 AS524:AS526 AS528:AS530 AS532:AS534 AS536:AS538 AS540:AS542 AS544:AS546 AS548:AS550 AS552:AS554 AS556:AS558 AS560:AS562 AS564:AS566 AS568:AS570 AS572:AS574 AS576:AS578 AS580:AS582 AS584:AS586 AS588:AS590 AS592:AS594 AS596:AS598 AS600:AS602 AS604:AS606 AS608:AS610 AS612:AS614 AS616:AS618 AS620:AS622 AS624:AS626 AS628:AS630 AS632:AS634 AS636:AS638 AS640:AS642 AS644:AS646 AS648:AS650 AS652:AS654 AS656:AS658 AS660:AS662 AS664:AS666 AS668:AS670 AS672:AS674 AS676:AS678 AS680:AS682 AS684:AS686 AS688:AS690 AS692:AS694 AS696:AS698 AS700:AS702 AS704:AS706 AS708:AS710 AS712:AS714 AS716:AS718 AS720:AS722 AS724:AS726 AS728:AS730 AS732:AS734 AS736:AS738 AS740:AS742 AS744:AS746 AS748:AS750 AS752:AS754 AS756:AS758 AS760:AS762 AS764:AS766 AS768:AS770 AS772:AS774 AS776:AS778 AS780:AS782 AS784:AS786 AS788:AS790 AS792:AS794 AS796:AS798 AS800:AS802 AS804:AS806 AS808:AS810 AS812:AS814 AS816:AS818 AS820:AS822 AS824:AS826 AS828:AS830 AS832:AS834 AS836:AS838 AS840:AS842 AS844:AS846 AS848:AS850 AS852:AS854 AS856:AS858 AS860:AS862 AS864:AS866 AS868:AS870 AS872:AS874 AS876:AS878 AS880:AS882 AS884:AS886 AS888:AS890 AS892:AS894 AS896:AS898 AS900:AS902 AS904:AS906 AS908:AS910 AS912:AS914 AS916:AS918 AS920:AS922 AS924:AS926 AS928:AS930 AS932:AS934 AS936:AS938 AS940:AS942 AS944:AS946 AS948:AS950 AS952:AS954 AS956:AS958 AS960:AS962 AS964:AS966 AS968:AS970 AS972:AS974 AS976:AS978 AS980:AS982 AS984:AS986 AS988:AS990 AS992:AS994 AS996:AS998 AS1000:AS1002 AS1004:AS1006 AS1008:AS1010 AS1012:AS1014 AS1016:AS1018 AS1020:AS1022 AS1024:AS1026 AS1028:AS1030 AS1032:AS1034 AS1036:AS1038 AS1040:AS1042 AS1044:AS1046 AS1048:AS1050 AS1052:AS1054 AS1056:AS1058 AS1060:AS1062 AS1064:AS1066 AS1068:AS1070 AS1072:AS1074 AS1076:AS1078 AS1080:AS1082 AS1084:AS1086 AS1088:AS1090 AS1092:AS1094 AS1096:AS1098 AS1100:AS1102 AS1104:AS1106 AS1108:AS1110 AS1112:AS1114 AS1116:AS1118 AS1120:AS1122 AS1124:AS1126 AS1128:AS1130 AS1132:AS1134 AS1136:AS1138 AS1140:AS1142 AS1144:AS1146 AS1148:AS1150 AS1152:AS1154 AS1156:AS1158 AS1160:AS1162 AS1164:AS1166 AS1168:AS1170 AS1172:AS1174 AS1176:AS1178 AS1180:AS1182 AS1184:AS1186 AS1188:AS1190 AS1192:AS1194 AS1196:AS1198 AS1200:AS1202 AS1204:AS1206 AS1208:AS1210 AS1212:AS1214 AS1216:AS1218 AS1220:AS1222 AS1224:AS1226 AS1228:AS1230 AS1232:AS1234 AS1236:AS1238 AS1240:AS1242 AS1244:AS1246 AS1248:AS1250 AS1252:AS1254 AS1256:AS1258 AV20 AV22:AV26 AV31:AV36 AV38:AV40 AV42:AV45 AV47:AV49 AV51:AV53 AV55:AV57 AV59:AV61 AV63:AV65 AV67:AV69 AV71:AV73 AV75:AV77 AV79:AV81 AV83:AV85 AV87:AV89 AV91:AV93 AV95:AV97 AV99:AV101 AV103:AV106 AV108:AV110 AV112:AV114 AV116:AV118 AV120:AV122 AV124:AV126 AV128:AV130 AV132:AV134 AV136:AV138 AV140:AV142 AV144:AV146 AV148:AV150 AV152:AV154 AV156:AV158 AV160:AV162 AV164:AV166 AV168:AV170 AV172:AV174 AV176:AV178 AV180:AV182 AV184:AV186 AV188:AV190 AV192:AV194 AV196:AV198 AV200:AV203 AV205:AV207 AV209:AV211 AV213:AV215 AV217:AV219 AV221:AV223 AV226:AV228 AV230:AV232 AV234:AV237 AV239:AV241 AV243:AV245 AV247:AV250 AV252:AV254 AV256:AV258 AV260:AV262 AV264:AV266 AV268:AV270 AV272:AV274 AV276:AV278 AV280:AV282 AV284:AV286 AV288:AV290 AV292:AV294 AV296:AV298 AV300:AV302 AV304:AV306 AV308:AV310 AV312:AV314 AV316:AV318 AV320:AV322 AV324:AV326 AV328:AV330 AV332:AV334 AV336:AV338 AV340:AV342 AV344:AV346 AV348:AV350 AV352:AV354 AV356:AV358 AV360:AV362 AV364:AV366 AV368:AV370 AV372:AV374 AV376:AV378 AV380:AV382 AV384:AV386 AV388:AV390 AV392:AV394 AV396:AV398 AV400:AV402 AV404:AV406 AV408:AV410 AV412:AV414 AV416:AV418 AV420:AV422 AV424:AV426 AV428:AV430 AV432:AV434 AV436:AV438 AV440:AV442 AV444:AV446 AV448:AV450 AV452:AV454 AV456:AV458 AV460:AV462 AV464:AV466 AV468:AV470 AV472:AV474 AV476:AV478 AV480:AV482 AV484:AV486 AV488:AV490 AV492:AV494 AV496:AV498 AV500:AV502 AV504:AV506 AV508:AV510 AV512:AV514 AV516:AV518 AV520:AV522 AV524:AV526 AV528:AV530 AV532:AV534 AV536:AV538 AV540:AV542 AV544:AV546 AV548:AV550 AV552:AV554 AV556:AV558 AV560:AV562 AV564:AV566 AV568:AV570 AV572:AV574 AV576:AV578 AV580:AV582 AV584:AV586 AV588:AV590 AV592:AV594 AV596:AV598 AV600:AV602 AV604:AV606 AV608:AV610 AV612:AV614 AV616:AV618 AV620:AV622 AV624:AV626 AV628:AV630 AV632:AV634 AV636:AV638 AV640:AV642 AV644:AV646 AV648:AV650 AV652:AV654 AV656:AV658 AV660:AV662 AV664:AV666 AV668:AV670 AV672:AV674 AV676:AV678 AV680:AV682 AV684:AV686 AV688:AV690 AV692:AV694 AV696:AV698 AV700:AV702 AV704:AV706 AV708:AV710 AV712:AV714 AV716:AV718 AV720:AV722 AV724:AV726 AV728:AV730 AV732:AV734 AV736:AV738 AV740:AV742 AV744:AV746 AV748:AV750 AV752:AV754 AV756:AV758 AV760:AV762 AV764:AV766 AV768:AV770 AV772:AV774 AV776:AV778 AV780:AV782 AV784:AV786 AV788:AV790 AV792:AV794 AV796:AV798 AV800:AV802 AV804:AV806 AV808:AV810 AV812:AV814 AV816:AV818 AV820:AV822 AV824:AV826 AV828:AV830 AV832:AV834 AV836:AV838 AV840:AV842 AV844:AV846 AV848:AV850 AV852:AV854 AV856:AV858 AV860:AV862 AV864:AV866 AV868:AV870 AV872:AV874 AV876:AV878 AV880:AV882 AV884:AV886 AV888:AV890 AV892:AV894 AV896:AV898 AV900:AV902 AV904:AV906 AV908:AV910 AV912:AV914 AV916:AV918 AV920:AV922 AV924:AV926 AV928:AV930 AV932:AV934 AV936:AV938 AV940:AV942 AV944:AV946 AV948:AV950 AV952:AV954 AV956:AV958 AV960:AV962 AV964:AV966 AV968:AV970 AV972:AV974 AV976:AV978 AV980:AV982 AV984:AV986 AV988:AV990 AV992:AV994 AV996:AV998 AV1000:AV1002 AV1004:AV1006 AV1008:AV1010 AV1012:AV1014 AV1016:AV1018 AV1020:AV1022 AV1024:AV1026 AV1028:AV1030 AV1032:AV1034 AV1036:AV1038 AV1040:AV1042 AV1044:AV1046 AV1048:AV1050 AV1052:AV1054 AV1056:AV1058 AV1060:AV1062 AV1064:AV1066 AV1068:AV1070 AV1072:AV1074 AV1076:AV1078 AV1080:AV1082 AV1084:AV1086 AV1088:AV1090 AV1092:AV1094 AV1096:AV1098 AV1100:AV1102 AV1104:AV1106 AV1108:AV1110 AV1112:AV1114 AV1116:AV1118 AV1120:AV1122 AV1124:AV1126 AV1128:AV1130 AV1132:AV1134 AV1136:AV1138 AV1140:AV1142 AV1144:AV1146 AV1148:AV1150 AV1152:AV1154 AV1156:AV1158 AV1160:AV1162 AV1164:AV1166 AV1168:AV1170 AV1172:AV1174 AV1176:AV1178 AV1180:AV1182 AV1184:AV1186 AV1188:AV1190 AV1192:AV1194 AV1196:AV1198 AV1200:AV1202 AV1204:AV1206 AV1208:AV1210 AV1212:AV1214 AV1216:AV1218 AV1220:AV1222 AV1224:AV1226 AV1228:AV1230 AV1232:AV1234 AV1236:AV1238 AV1240:AV1242 AV1244:AV1246 AV1248:AV1250 AV1252:AV1254 AV1256:AV1258">
    <cfRule type="cellIs" priority="1" operator="between" dxfId="2">
      <formula>-0.1</formula>
      <formula>0.1</formula>
    </cfRule>
  </conditionalFormatting>
  <conditionalFormatting sqref="AM1259 AP1259 AS1259 AV1259">
    <cfRule type="cellIs" priority="5" operator="between" dxfId="2">
      <formula>-0.1</formula>
      <formula>0.1</formula>
    </cfRule>
  </conditionalFormatting>
  <dataValidations count="3">
    <dataValidation sqref="E3:E1258" showDropDown="0" showInputMessage="1" showErrorMessage="1" allowBlank="0" errorTitle="Ошибка данных" error="Введите из списка" type="list">
      <formula1>Мастер</formula1>
    </dataValidation>
    <dataValidation sqref="F3:F1258" showDropDown="0" showInputMessage="1" showErrorMessage="1" allowBlank="0" type="list">
      <formula1>Продукт</formula1>
    </dataValidation>
    <dataValidation sqref="F3:F1258" showDropDown="0" showInputMessage="1" showErrorMessage="1" allowBlank="0" errorTitle="Ошибка данных" error="Введите список данных" type="list">
      <formula1>Продукт</formula1>
    </dataValidation>
  </dataValidations>
  <pageMargins left="0.7" right="0.7" top="0.75" bottom="0.75" header="0.3" footer="0.3"/>
  <pageSetup orientation="portrait" paperSize="9" horizontalDpi="200" verticalDpi="200" copies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3" topLeftCell="A4" activePane="bottomLeft" state="frozen"/>
      <selection pane="bottomLeft" activeCell="D23" sqref="D23"/>
    </sheetView>
  </sheetViews>
  <sheetFormatPr baseColWidth="8" defaultRowHeight="15"/>
  <cols>
    <col width="14.42578125" bestFit="1" customWidth="1" style="35" min="1" max="1"/>
    <col width="17.28515625" bestFit="1" customWidth="1" style="35" min="2" max="2"/>
    <col width="10.85546875" bestFit="1" customWidth="1" style="35" min="3" max="3"/>
    <col width="38" bestFit="1" customWidth="1" style="35" min="4" max="4"/>
    <col width="10.5703125" bestFit="1" customWidth="1" style="35" min="5" max="5"/>
  </cols>
  <sheetData>
    <row r="1" ht="21" customHeight="1" s="35">
      <c r="A1" s="34" t="inlineStr">
        <is>
          <t>Контроль выполнения плана</t>
        </is>
      </c>
    </row>
    <row r="3">
      <c r="A3" s="23" t="inlineStr">
        <is>
          <t>Месяц</t>
        </is>
      </c>
      <c r="B3" s="23" t="inlineStr">
        <is>
          <t>План месяца</t>
        </is>
      </c>
      <c r="D3" s="20" t="inlineStr">
        <is>
          <t>Выберите месяц</t>
        </is>
      </c>
      <c r="E3" s="21">
        <f>A4</f>
        <v/>
      </c>
    </row>
    <row r="4">
      <c r="A4" s="18">
        <f>DATE(2026,6,1)</f>
        <v/>
      </c>
      <c r="B4" s="19" t="n">
        <v>160000</v>
      </c>
    </row>
    <row r="5">
      <c r="D5" s="25" t="inlineStr">
        <is>
          <t>План месяца</t>
        </is>
      </c>
      <c r="E5" s="28">
        <f>_xlfn.XLOOKUP($E$3,ПланПоМесяцам[Месяц],ПланПоМесяцам[План месяца],0)</f>
        <v/>
      </c>
    </row>
    <row r="6">
      <c r="D6" s="25" t="inlineStr">
        <is>
          <t>Факт за месяц</t>
        </is>
      </c>
      <c r="E6" s="28">
        <f>SUMIFS(ТаблицаВыработки[Факт],ТаблицаВыработки[Месяц],$E$3)</f>
        <v/>
      </c>
    </row>
    <row r="7">
      <c r="A7" s="27" t="inlineStr">
        <is>
          <t>Мастер</t>
        </is>
      </c>
      <c r="B7" s="27" t="inlineStr">
        <is>
          <t>Факт</t>
        </is>
      </c>
      <c r="C7" s="27" t="inlineStr">
        <is>
          <t>% от плана</t>
        </is>
      </c>
      <c r="D7" s="24" t="inlineStr">
        <is>
          <t>Остаток до плана</t>
        </is>
      </c>
      <c r="E7" s="28">
        <f>E5-E6</f>
        <v/>
      </c>
    </row>
    <row r="8">
      <c r="A8" s="26">
        <f t="array" ref="A8:A11">_xlfn._xlws.SORT(_xlfn.UNIQUE(_xlfn._xlws.FILTER(ТаблицаВыработки[Мастер],ТаблицаВыработки[Месяц]=$E$3)))</f>
        <v/>
      </c>
      <c r="B8" s="30">
        <f>IF(A8="","",SUMIFS(ТаблицаВыработки[Факт],ТаблицаВыработки[Месяц],$E$3,ТаблицаВыработки[Мастер],A8))</f>
        <v/>
      </c>
      <c r="C8" s="31">
        <f>IF(A8="","",B8/$E$5)</f>
        <v/>
      </c>
      <c r="D8" s="24" t="inlineStr">
        <is>
          <t>% выполнения</t>
        </is>
      </c>
      <c r="E8" s="29">
        <f>E6/E5</f>
        <v/>
      </c>
    </row>
    <row r="9">
      <c r="A9" s="26" t="inlineStr">
        <is>
          <t>Дауылбай М.</t>
        </is>
      </c>
      <c r="B9" s="30">
        <f>IF(A9="","",SUMIFS(ТаблицаВыработки[Факт],ТаблицаВыработки[Месяц],$E$3,ТаблицаВыработки[Мастер],A9))</f>
        <v/>
      </c>
      <c r="C9" s="31">
        <f>IF(A9="","",B9/$E$5)</f>
        <v/>
      </c>
      <c r="D9" s="24" t="inlineStr">
        <is>
          <t>Смен с фактом</t>
        </is>
      </c>
      <c r="E9" s="28">
        <f>COUNTIFS(ТаблицаВыработки[Месяц],$E$3,ТаблицаВыработки[Факт],"&gt;0")</f>
        <v/>
      </c>
    </row>
    <row r="10">
      <c r="A10" s="26" t="inlineStr">
        <is>
          <t>Монаев С.</t>
        </is>
      </c>
      <c r="B10" s="30">
        <f>IF(A10="","",SUMIFS(ТаблицаВыработки[Факт],ТаблицаВыработки[Месяц],$E$3,ТаблицаВыработки[Мастер],A10))</f>
        <v/>
      </c>
      <c r="C10" s="31">
        <f>IF(A10="","",B10/$E$5)</f>
        <v/>
      </c>
      <c r="D10" s="24" t="inlineStr">
        <is>
          <t>Средняя выработка за смену</t>
        </is>
      </c>
      <c r="E10" s="28">
        <f>IF(E9=0,0,E6/E9)</f>
        <v/>
      </c>
    </row>
    <row r="11">
      <c r="A11" s="26" t="inlineStr">
        <is>
          <t>Султанулы С.</t>
        </is>
      </c>
      <c r="B11" s="30">
        <f>IF(A11="","",SUMIFS(ТаблицаВыработки[Факт],ТаблицаВыработки[Месяц],$E$3,ТаблицаВыработки[Мастер],A11))</f>
        <v/>
      </c>
      <c r="C11" s="31">
        <f>IF(A11="","",B11/$E$5)</f>
        <v/>
      </c>
      <c r="D11" s="24" t="inlineStr">
        <is>
          <t>Смен всего в месяце</t>
        </is>
      </c>
      <c r="E11" s="28">
        <f>COUNTIF(ТаблицаВыработки[Месяц],$E$3)</f>
        <v/>
      </c>
    </row>
    <row r="12">
      <c r="A12" s="26" t="n"/>
      <c r="B12" s="30">
        <f>IF(A12="","",SUMIFS(ТаблицаВыработки[Факт],ТаблицаВыработки[Месяц],$E$3,ТаблицаВыработки[Мастер],A12))</f>
        <v/>
      </c>
      <c r="C12" s="31">
        <f>IF(A12="","",B12/$E$5)</f>
        <v/>
      </c>
      <c r="D12" s="24" t="inlineStr">
        <is>
          <t>Осталось смен без факта</t>
        </is>
      </c>
      <c r="E12" s="28">
        <f>COUNTIFS(ТаблицаВыработки[Месяц],$E$3,ТаблицаВыработки[Факт],"")</f>
        <v/>
      </c>
    </row>
    <row r="13">
      <c r="A13" s="26" t="n"/>
      <c r="B13" s="30">
        <f>IF(A13="","",SUMIFS(ТаблицаВыработки[Факт],ТаблицаВыработки[Месяц],$E$3,ТаблицаВыработки[Мастер],A13))</f>
        <v/>
      </c>
      <c r="C13" s="31">
        <f>IF(A13="","",B13/$E$5)</f>
        <v/>
      </c>
      <c r="D13" s="24" t="inlineStr">
        <is>
          <t>Нужно в среднем за оставшуюся смену</t>
        </is>
      </c>
      <c r="E13" s="28">
        <f>IF(E12=0,0,E7/E12)</f>
        <v/>
      </c>
    </row>
    <row r="14">
      <c r="A14" s="26" t="n"/>
      <c r="B14" s="30">
        <f>IF(A14="","",SUMIFS(ТаблицаВыработки[Факт],ТаблицаВыработки[Месяц],$E$3,ТаблицаВыработки[Мастер],A14))</f>
        <v/>
      </c>
      <c r="C14" s="31">
        <f>IF(A14="","",B14/$E$5)</f>
        <v/>
      </c>
    </row>
    <row r="15">
      <c r="A15" s="26" t="n"/>
      <c r="B15" s="30">
        <f>IF(A15="","",SUMIFS(ТаблицаВыработки[Факт],ТаблицаВыработки[Месяц],$E$3,ТаблицаВыработки[Мастер],A15))</f>
        <v/>
      </c>
      <c r="C15" s="31">
        <f>IF(A15="","",B15/$E$5)</f>
        <v/>
      </c>
    </row>
    <row r="16">
      <c r="A16" s="26" t="n"/>
      <c r="B16" s="30">
        <f>IF(A16="","",SUMIFS(ТаблицаВыработки[Факт],ТаблицаВыработки[Месяц],$E$3,ТаблицаВыработки[Мастер],A16))</f>
        <v/>
      </c>
      <c r="C16" s="31">
        <f>IF(A16="","",B16/$E$5)</f>
        <v/>
      </c>
    </row>
    <row r="17">
      <c r="A17" s="26" t="n"/>
      <c r="B17" s="30">
        <f>IF(A17="","",SUMIFS(ТаблицаВыработки[Факт],ТаблицаВыработки[Месяц],$E$3,ТаблицаВыработки[Мастер],A17))</f>
        <v/>
      </c>
      <c r="C17" s="31">
        <f>IF(A17="","",B17/$E$5)</f>
        <v/>
      </c>
    </row>
    <row r="18">
      <c r="A18" s="26" t="n"/>
      <c r="B18" s="30">
        <f>IF(A18="","",SUMIFS(ТаблицаВыработки[Факт],ТаблицаВыработки[Месяц],$E$3,ТаблицаВыработки[Мастер],A18))</f>
        <v/>
      </c>
      <c r="C18" s="31">
        <f>IF(A18="","",B18/$E$5)</f>
        <v/>
      </c>
    </row>
    <row r="19">
      <c r="A19" s="26" t="n"/>
      <c r="B19" s="30">
        <f>IF(A19="","",SUMIFS(ТаблицаВыработки[Факт],ТаблицаВыработки[Месяц],$E$3,ТаблицаВыработки[Мастер],A19))</f>
        <v/>
      </c>
      <c r="C19" s="31">
        <f>IF(A19="","",B19/$E$5)</f>
        <v/>
      </c>
    </row>
    <row r="20">
      <c r="A20" s="26" t="n"/>
      <c r="B20" s="30">
        <f>IF(A20="","",SUMIFS(ТаблицаВыработки[Факт],ТаблицаВыработки[Месяц],$E$3,ТаблицаВыработки[Мастер],A20))</f>
        <v/>
      </c>
      <c r="C20" s="31">
        <f>IF(A20="","",B20/$E$5)</f>
        <v/>
      </c>
    </row>
  </sheetData>
  <mergeCells count="1">
    <mergeCell ref="A1:F1"/>
  </mergeCells>
  <dataValidations count="1">
    <dataValidation sqref="E3" showDropDown="0" showInputMessage="1" showErrorMessage="1" allowBlank="1" promptTitle="Месяц" prompt="Выберите месяц из списка плана" type="list">
      <formula1>$A$4:$A$100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.42578125" bestFit="1" customWidth="1" style="35" min="1" max="1"/>
    <col width="7" bestFit="1" customWidth="1" style="35" min="2" max="2"/>
  </cols>
  <sheetData>
    <row r="1">
      <c r="A1" s="22" t="inlineStr">
        <is>
          <t>Мастер</t>
        </is>
      </c>
      <c r="B1" s="22" t="inlineStr">
        <is>
          <t>Смена</t>
        </is>
      </c>
    </row>
    <row r="2">
      <c r="A2" t="inlineStr">
        <is>
          <t>Бекбосынов Р.</t>
        </is>
      </c>
      <c r="B2" t="n">
        <v>1</v>
      </c>
    </row>
    <row r="3">
      <c r="A3" t="inlineStr">
        <is>
          <t>Дауылбай М.</t>
        </is>
      </c>
      <c r="B3" t="n">
        <v>2</v>
      </c>
    </row>
    <row r="4">
      <c r="A4" t="inlineStr">
        <is>
          <t>Монаев С.</t>
        </is>
      </c>
      <c r="B4" t="n">
        <v>3</v>
      </c>
    </row>
    <row r="5">
      <c r="A5" t="inlineStr">
        <is>
          <t>Султанулы С.</t>
        </is>
      </c>
      <c r="B5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2026-06-23T10:47:46Z</dcterms:created>
  <dcterms:modified xsi:type="dcterms:W3CDTF">2026-06-25T06:31:19Z</dcterms:modified>
  <cp:lastModifiedBy>Tectum Engineering</cp:lastModifiedBy>
</cp:coreProperties>
</file>