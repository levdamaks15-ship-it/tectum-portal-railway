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ntigravity_Project\tectum_portal_railway\Чек-листы\"/>
    </mc:Choice>
  </mc:AlternateContent>
  <xr:revisionPtr revIDLastSave="0" documentId="13_ncr:1_{4D65B537-B9D1-4261-8798-E42E7B5B256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График_сменности_2026" sheetId="1" r:id="rId1"/>
    <sheet name="1 смена Табель" sheetId="2" r:id="rId2"/>
    <sheet name="2 смена Табель" sheetId="3" r:id="rId3"/>
    <sheet name="3 смена Табель" sheetId="4" r:id="rId4"/>
    <sheet name="4 смена Табель" sheetId="5" r:id="rId5"/>
  </sheets>
  <definedNames>
    <definedName name="_xlnm._FilterDatabase" localSheetId="1" hidden="1">'1 смена Табель'!$A$6:$AM$36</definedName>
    <definedName name="_xlnm._FilterDatabase" localSheetId="2" hidden="1">'2 смена Табель'!$A$6:$AM$36</definedName>
    <definedName name="_xlnm._FilterDatabase" localSheetId="3" hidden="1">'3 смена Табель'!$A$6:$AM$36</definedName>
    <definedName name="_xlnm._FilterDatabase" localSheetId="4" hidden="1">'4 смена Табель'!$A$6:$AM$36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L37" i="5" l="1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AM35" i="5"/>
  <c r="AL35" i="5"/>
  <c r="AK35" i="5"/>
  <c r="AJ35" i="5"/>
  <c r="AM33" i="5"/>
  <c r="AL33" i="5"/>
  <c r="AK33" i="5"/>
  <c r="AJ33" i="5"/>
  <c r="AM31" i="5"/>
  <c r="AL31" i="5"/>
  <c r="AK31" i="5"/>
  <c r="AJ31" i="5"/>
  <c r="AM29" i="5"/>
  <c r="AL29" i="5"/>
  <c r="AK29" i="5"/>
  <c r="AJ29" i="5"/>
  <c r="AM27" i="5"/>
  <c r="AL27" i="5"/>
  <c r="AK27" i="5"/>
  <c r="AJ27" i="5"/>
  <c r="AM25" i="5"/>
  <c r="AL25" i="5"/>
  <c r="AK25" i="5"/>
  <c r="AJ25" i="5"/>
  <c r="AM23" i="5"/>
  <c r="AL23" i="5"/>
  <c r="AK23" i="5"/>
  <c r="AJ23" i="5"/>
  <c r="AM21" i="5"/>
  <c r="AL21" i="5"/>
  <c r="AK21" i="5"/>
  <c r="AJ21" i="5"/>
  <c r="AM19" i="5"/>
  <c r="AL19" i="5"/>
  <c r="AK19" i="5"/>
  <c r="AJ19" i="5"/>
  <c r="AM17" i="5"/>
  <c r="AL17" i="5"/>
  <c r="AK17" i="5"/>
  <c r="AJ17" i="5"/>
  <c r="AM15" i="5"/>
  <c r="AL15" i="5"/>
  <c r="AK15" i="5"/>
  <c r="AJ15" i="5"/>
  <c r="AM13" i="5"/>
  <c r="AL13" i="5"/>
  <c r="AK13" i="5"/>
  <c r="AJ13" i="5"/>
  <c r="AM11" i="5"/>
  <c r="AL11" i="5"/>
  <c r="AK11" i="5"/>
  <c r="AJ11" i="5"/>
  <c r="AM9" i="5"/>
  <c r="AL9" i="5"/>
  <c r="AK9" i="5"/>
  <c r="AJ9" i="5"/>
  <c r="AM7" i="5"/>
  <c r="AM37" i="5" s="1"/>
  <c r="AL7" i="5"/>
  <c r="AK7" i="5"/>
  <c r="AJ7" i="5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AM35" i="4"/>
  <c r="AL35" i="4"/>
  <c r="AK35" i="4"/>
  <c r="AJ35" i="4"/>
  <c r="AM33" i="4"/>
  <c r="AL33" i="4"/>
  <c r="AK33" i="4"/>
  <c r="AJ33" i="4"/>
  <c r="AM31" i="4"/>
  <c r="AL31" i="4"/>
  <c r="AK31" i="4"/>
  <c r="AJ31" i="4"/>
  <c r="AM29" i="4"/>
  <c r="AL29" i="4"/>
  <c r="AK29" i="4"/>
  <c r="AJ29" i="4"/>
  <c r="AM27" i="4"/>
  <c r="AL27" i="4"/>
  <c r="AK27" i="4"/>
  <c r="AJ27" i="4"/>
  <c r="AM25" i="4"/>
  <c r="AL25" i="4"/>
  <c r="AK25" i="4"/>
  <c r="AJ25" i="4"/>
  <c r="AM23" i="4"/>
  <c r="AL23" i="4"/>
  <c r="AK23" i="4"/>
  <c r="AJ23" i="4"/>
  <c r="AM21" i="4"/>
  <c r="AL21" i="4"/>
  <c r="AK21" i="4"/>
  <c r="AJ21" i="4"/>
  <c r="AM19" i="4"/>
  <c r="AL19" i="4"/>
  <c r="AK19" i="4"/>
  <c r="AJ19" i="4"/>
  <c r="AM17" i="4"/>
  <c r="AL17" i="4"/>
  <c r="AK17" i="4"/>
  <c r="AJ17" i="4"/>
  <c r="AM15" i="4"/>
  <c r="AL15" i="4"/>
  <c r="AK15" i="4"/>
  <c r="AJ15" i="4"/>
  <c r="AM13" i="4"/>
  <c r="AL13" i="4"/>
  <c r="AK13" i="4"/>
  <c r="AJ13" i="4"/>
  <c r="AM11" i="4"/>
  <c r="AL11" i="4"/>
  <c r="AK11" i="4"/>
  <c r="AJ11" i="4"/>
  <c r="AM9" i="4"/>
  <c r="AL9" i="4"/>
  <c r="AK9" i="4"/>
  <c r="AJ9" i="4"/>
  <c r="AM7" i="4"/>
  <c r="AL7" i="4"/>
  <c r="AK7" i="4"/>
  <c r="AJ7" i="4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AM35" i="3"/>
  <c r="AL35" i="3"/>
  <c r="AK35" i="3"/>
  <c r="AJ35" i="3"/>
  <c r="AM33" i="3"/>
  <c r="AL33" i="3"/>
  <c r="AK33" i="3"/>
  <c r="AJ33" i="3"/>
  <c r="AM31" i="3"/>
  <c r="AM37" i="3" s="1"/>
  <c r="AL31" i="3"/>
  <c r="AK31" i="3"/>
  <c r="AJ31" i="3"/>
  <c r="AM29" i="3"/>
  <c r="AL29" i="3"/>
  <c r="AK29" i="3"/>
  <c r="AJ29" i="3"/>
  <c r="AM27" i="3"/>
  <c r="AL27" i="3"/>
  <c r="AK27" i="3"/>
  <c r="AJ27" i="3"/>
  <c r="AM25" i="3"/>
  <c r="AL25" i="3"/>
  <c r="AK25" i="3"/>
  <c r="AJ25" i="3"/>
  <c r="AM23" i="3"/>
  <c r="AL23" i="3"/>
  <c r="AK23" i="3"/>
  <c r="AJ23" i="3"/>
  <c r="AM21" i="3"/>
  <c r="AL21" i="3"/>
  <c r="AK21" i="3"/>
  <c r="AJ21" i="3"/>
  <c r="AM19" i="3"/>
  <c r="AL19" i="3"/>
  <c r="AK19" i="3"/>
  <c r="AJ19" i="3"/>
  <c r="AM17" i="3"/>
  <c r="AL17" i="3"/>
  <c r="AK17" i="3"/>
  <c r="AJ17" i="3"/>
  <c r="AM15" i="3"/>
  <c r="AL15" i="3"/>
  <c r="AK15" i="3"/>
  <c r="AJ15" i="3"/>
  <c r="AM13" i="3"/>
  <c r="AL13" i="3"/>
  <c r="AK13" i="3"/>
  <c r="AJ13" i="3"/>
  <c r="AM11" i="3"/>
  <c r="AL11" i="3"/>
  <c r="AK11" i="3"/>
  <c r="AJ11" i="3"/>
  <c r="AM9" i="3"/>
  <c r="AL9" i="3"/>
  <c r="AK9" i="3"/>
  <c r="AJ9" i="3"/>
  <c r="AM7" i="3"/>
  <c r="AL7" i="3"/>
  <c r="AK7" i="3"/>
  <c r="AJ7" i="3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AM35" i="2"/>
  <c r="AL35" i="2"/>
  <c r="AK35" i="2"/>
  <c r="AJ35" i="2"/>
  <c r="AM33" i="2"/>
  <c r="AL33" i="2"/>
  <c r="AK33" i="2"/>
  <c r="AJ33" i="2"/>
  <c r="AM31" i="2"/>
  <c r="AL31" i="2"/>
  <c r="AK31" i="2"/>
  <c r="AJ31" i="2"/>
  <c r="AM29" i="2"/>
  <c r="AL29" i="2"/>
  <c r="AK29" i="2"/>
  <c r="AJ29" i="2"/>
  <c r="AM27" i="2"/>
  <c r="AL27" i="2"/>
  <c r="AK27" i="2"/>
  <c r="AJ27" i="2"/>
  <c r="AM25" i="2"/>
  <c r="AL25" i="2"/>
  <c r="AK25" i="2"/>
  <c r="AJ25" i="2"/>
  <c r="AM23" i="2"/>
  <c r="AL23" i="2"/>
  <c r="AK23" i="2"/>
  <c r="AJ23" i="2"/>
  <c r="AM21" i="2"/>
  <c r="AL21" i="2"/>
  <c r="AK21" i="2"/>
  <c r="AJ21" i="2"/>
  <c r="AM19" i="2"/>
  <c r="AL19" i="2"/>
  <c r="AK19" i="2"/>
  <c r="AJ19" i="2"/>
  <c r="AM17" i="2"/>
  <c r="AL17" i="2"/>
  <c r="AK17" i="2"/>
  <c r="AJ17" i="2"/>
  <c r="AM15" i="2"/>
  <c r="AL15" i="2"/>
  <c r="AK15" i="2"/>
  <c r="AJ15" i="2"/>
  <c r="AM13" i="2"/>
  <c r="AL13" i="2"/>
  <c r="AK13" i="2"/>
  <c r="AJ13" i="2"/>
  <c r="AM11" i="2"/>
  <c r="AL11" i="2"/>
  <c r="AK11" i="2"/>
  <c r="AJ11" i="2"/>
  <c r="AM9" i="2"/>
  <c r="AL9" i="2"/>
  <c r="AK9" i="2"/>
  <c r="AJ9" i="2"/>
  <c r="AL7" i="2"/>
  <c r="AL37" i="2" s="1"/>
  <c r="AK7" i="2"/>
  <c r="AK37" i="2" s="1"/>
  <c r="AJ7" i="2"/>
  <c r="AM7" i="2" s="1"/>
  <c r="AG49" i="1"/>
  <c r="AG48" i="1"/>
  <c r="AG47" i="1"/>
  <c r="AG46" i="1"/>
  <c r="AG42" i="1"/>
  <c r="AG41" i="1"/>
  <c r="AG40" i="1"/>
  <c r="AG39" i="1"/>
  <c r="AG35" i="1"/>
  <c r="AG34" i="1"/>
  <c r="AG33" i="1"/>
  <c r="AG32" i="1"/>
  <c r="AG28" i="1"/>
  <c r="AG27" i="1"/>
  <c r="AG26" i="1"/>
  <c r="AG25" i="1"/>
  <c r="AG21" i="1"/>
  <c r="AG20" i="1"/>
  <c r="AG19" i="1"/>
  <c r="AG18" i="1"/>
  <c r="AG14" i="1"/>
  <c r="AG13" i="1"/>
  <c r="AG12" i="1"/>
  <c r="AG11" i="1"/>
  <c r="AJ37" i="2" l="1"/>
  <c r="AM37" i="2"/>
</calcChain>
</file>

<file path=xl/sharedStrings.xml><?xml version="1.0" encoding="utf-8"?>
<sst xmlns="http://schemas.openxmlformats.org/spreadsheetml/2006/main" count="1013" uniqueCount="60">
  <si>
    <t>СОГЛАСОВАНО</t>
  </si>
  <si>
    <t>УТВЕРЖДАЮ</t>
  </si>
  <si>
    <t>Технический директор ТОО «Tectum Engineering»</t>
  </si>
  <si>
    <t>Генеральный директор ТОО «Tectum Engineering»</t>
  </si>
  <si>
    <t>___________________ Герлинг С.В.</t>
  </si>
  <si>
    <t>___________________ Туматов Д.А.</t>
  </si>
  <si>
    <t>График</t>
  </si>
  <si>
    <t>Работы сменного персонала на 2026 год (II полугодие: Июль – Декабрь)</t>
  </si>
  <si>
    <t>В соответствии с должностями, предусмотренными штатным расписанием (4-х сменка продолжительностью смены 12 часов с чередованием смен день-ночь-отсыпной-выходной)</t>
  </si>
  <si>
    <t>ИЮЛЬ</t>
  </si>
  <si>
    <t>Смены</t>
  </si>
  <si>
    <t>Числа</t>
  </si>
  <si>
    <t>Итого</t>
  </si>
  <si>
    <t>Смена №1</t>
  </si>
  <si>
    <t>В</t>
  </si>
  <si>
    <t>Д</t>
  </si>
  <si>
    <t>Н</t>
  </si>
  <si>
    <t>О</t>
  </si>
  <si>
    <t>Смена №2</t>
  </si>
  <si>
    <t>Смена №3</t>
  </si>
  <si>
    <t>Смена №4</t>
  </si>
  <si>
    <t>АВГУСТ</t>
  </si>
  <si>
    <t>СЕНТЯБРЬ</t>
  </si>
  <si>
    <t>*</t>
  </si>
  <si>
    <t>ОКТЯБРЬ</t>
  </si>
  <si>
    <t>НОЯБРЬ</t>
  </si>
  <si>
    <t>ДЕКАБРЬ</t>
  </si>
  <si>
    <t>Разработано: Начальник ХЦИ ___________________ Булеханов К.Д.</t>
  </si>
  <si>
    <t>Обозначения:  [ Д ] — Дневная смена (08:00–19:00)    [ Н ] — Ночная смена (19:00–08:00)    [ О ] — Отсыпной    [ В ] — Выходной</t>
  </si>
  <si>
    <t>ТАБЕЛЬ УЧЁТА РАБОЧЕГО ВРЕМЕНИ — 1-Я СМЕНА</t>
  </si>
  <si>
    <t>Период: ________________ 2026 г. | Подразделение: Цех по производству ХЦИ</t>
  </si>
  <si>
    <t>_________________ Туматов Д.А.</t>
  </si>
  <si>
    <t>№</t>
  </si>
  <si>
    <t>ФИО сотрудника</t>
  </si>
  <si>
    <t>Должность</t>
  </si>
  <si>
    <t>д/н</t>
  </si>
  <si>
    <t>Числа месяца</t>
  </si>
  <si>
    <t>Всего часов</t>
  </si>
  <si>
    <t>Дневные (12ч)</t>
  </si>
  <si>
    <t>Ночные (4ч+8ч)</t>
  </si>
  <si>
    <t>Смен факт</t>
  </si>
  <si>
    <t>ДЕНЬ</t>
  </si>
  <si>
    <t>НОЧЬ</t>
  </si>
  <si>
    <t>ИТОГО ПО 1-Й СМЕНЕ (ЧАСЫ):</t>
  </si>
  <si>
    <t>ПРАВИЛА И СТАНДАРТЫ ЗАПОЛНЕНИЯ ЧАСОВ:</t>
  </si>
  <si>
    <t>1. ДНЕВНАЯ СМЕНА: проставляется 12 (автоматически учитывается в графе 'Дневные').</t>
  </si>
  <si>
    <t>2. НОЧНАЯ СМЕНА: 4 часа ставятся в дату заступления, 8 часов — на следующие сутки (автоматически учитываются в графе 'Ночные').</t>
  </si>
  <si>
    <t>3. БУКВЕННЫЕ ОБОЗНАЧЕНИЯ: [ В ] — Выходной, [ ОТ ] — Отпуск, [ Б ] — Больничный лист, [ НБ ] — Неявка / Отсутствие.</t>
  </si>
  <si>
    <t>4. Все итоговые балансы рабочего времени (Всего часов, Дневные, Ночные, Смены) пересчитываются АВТОМАТИЧЕСКИ.</t>
  </si>
  <si>
    <t>Мастер 1-й смены: _____________________ / ___________________ /</t>
  </si>
  <si>
    <t>Начальник ХЦИ: _________________ / Булеханов К.Д. /</t>
  </si>
  <si>
    <t>ТАБЕЛЬ УЧЁТА РАБОЧЕГО ВРЕМЕНИ — 2-Я СМЕНА</t>
  </si>
  <si>
    <t>ИТОГО ПО 2-Й СМЕНЕ (ЧАСЫ):</t>
  </si>
  <si>
    <t>Мастер 2-й смены: _____________________ / ___________________ /</t>
  </si>
  <si>
    <t>ТАБЕЛЬ УЧЁТА РАБОЧЕГО ВРЕМЕНИ — 3-Я СМЕНА</t>
  </si>
  <si>
    <t>ИТОГО ПО 3-Й СМЕНЕ (ЧАСЫ):</t>
  </si>
  <si>
    <t>Мастер 3-й смены: _____________________ / ___________________ /</t>
  </si>
  <si>
    <t>ТАБЕЛЬ УЧЁТА РАБОЧЕГО ВРЕМЕНИ — 4-Я СМЕНА</t>
  </si>
  <si>
    <t>ИТОГО ПО 4-Й СМЕНЕ (ЧАСЫ):</t>
  </si>
  <si>
    <t>Мастер 4-й смены: _____________________ / ___________________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</si>
</sst>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b/>
      <sz val="10"/>
      <name val="Times New Roman"/>
    </font>
    <font>
      <sz val="9.5"/>
      <name val="Times New Roman"/>
    </font>
    <font>
      <b/>
      <sz val="11"/>
      <name val="Times New Roman"/>
    </font>
    <font>
      <i/>
      <sz val="9"/>
      <name val="Times New Roman"/>
    </font>
    <font>
      <b/>
      <sz val="10"/>
      <color rgb="FFFFFFFF"/>
      <name val="Times New Roman"/>
    </font>
    <font>
      <b/>
      <sz val="9"/>
      <name val="Times New Roman"/>
    </font>
    <font>
      <sz val="9"/>
      <color rgb="FF595959"/>
      <name val="Times New Roman"/>
    </font>
    <font>
      <b/>
      <sz val="9"/>
      <color rgb="FFB25900"/>
      <name val="Times New Roman"/>
    </font>
    <font>
      <b/>
      <sz val="9"/>
      <color rgb="FF1F497D"/>
      <name val="Times New Roman"/>
    </font>
    <font>
      <sz val="9.5"/>
      <name val="Calibri"/>
    </font>
    <font>
      <b/>
      <sz val="13"/>
      <color rgb="FF1F497D"/>
      <name val="Calibri"/>
    </font>
    <font>
      <i/>
      <sz val="9.5"/>
      <color rgb="FF595959"/>
      <name val="Calibri"/>
    </font>
    <font>
      <b/>
      <sz val="9"/>
      <color rgb="FF000000"/>
      <name val="Calibri"/>
    </font>
    <font>
      <b/>
      <sz val="9.5"/>
      <color rgb="FFFFFFFF"/>
      <name val="Calibri"/>
    </font>
    <font>
      <b/>
      <sz val="9"/>
      <color rgb="FFFFFFFF"/>
      <name val="Calibri"/>
    </font>
    <font>
      <sz val="9"/>
      <color rgb="FF000000"/>
      <name val="Calibri"/>
    </font>
    <font>
      <b/>
      <sz val="8.5"/>
      <color rgb="FFB25900"/>
      <name val="Calibri"/>
    </font>
    <font>
      <b/>
      <sz val="8.5"/>
      <color rgb="FF1F497D"/>
      <name val="Calibri"/>
    </font>
    <font>
      <b/>
      <sz val="9.5"/>
      <color rgb="FF000000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9E1F2"/>
        <bgColor rgb="FFD9E1F2"/>
      </patternFill>
    </fill>
    <fill>
      <patternFill patternType="solid">
        <fgColor rgb="FFEAEAEA"/>
        <bgColor rgb="FFEAEAEA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EDEDED"/>
        <bgColor rgb="FFEDEDED"/>
      </patternFill>
    </fill>
    <fill>
      <patternFill patternType="solid">
        <fgColor rgb="FFD9D9D9"/>
        <bgColor rgb="FFD9D9D9"/>
      </patternFill>
    </fill>
    <fill>
      <patternFill patternType="solid">
        <fgColor rgb="FF1F497D"/>
        <bgColor rgb="FF1F497D"/>
      </patternFill>
    </fill>
    <fill>
      <patternFill patternType="solid">
        <fgColor rgb="FF2E75B6"/>
        <bgColor rgb="FF2E75B6"/>
      </patternFill>
    </fill>
    <fill>
      <patternFill patternType="solid">
        <fgColor rgb="FF107C41"/>
        <bgColor rgb="FF107C41"/>
      </patternFill>
    </fill>
    <fill>
      <patternFill patternType="solid">
        <fgColor rgb="FFFFFDF0"/>
        <bgColor rgb="FFFFFDF0"/>
      </patternFill>
    </fill>
    <fill>
      <patternFill patternType="solid">
        <fgColor rgb="FFF2F7FB"/>
        <bgColor rgb="FFF2F7FB"/>
      </patternFill>
    </fill>
    <fill>
      <patternFill patternType="solid">
        <fgColor rgb="FFFFF2CC"/>
        <bgColor rgb="FFFFF2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medium">
        <color rgb="FF1F497D"/>
      </top>
      <bottom style="medium">
        <color rgb="FF1F497D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horizontal="center" vertical="center"/>
    </xf>
    <xf numFmtId="0" fontId="17" fillId="13" borderId="6" xfId="0" applyFont="1" applyFill="1" applyBorder="1" applyAlignment="1">
      <alignment horizontal="center" vertical="center"/>
    </xf>
    <xf numFmtId="3" fontId="16" fillId="0" borderId="6" xfId="0" applyNumberFormat="1" applyFont="1" applyBorder="1" applyAlignment="1">
      <alignment horizontal="center" vertical="center"/>
    </xf>
    <xf numFmtId="3" fontId="16" fillId="0" borderId="5" xfId="0" applyNumberFormat="1" applyFont="1" applyBorder="1" applyAlignment="1">
      <alignment horizontal="center" vertical="center"/>
    </xf>
    <xf numFmtId="0" fontId="18" fillId="14" borderId="5" xfId="0" applyFont="1" applyFill="1" applyBorder="1" applyAlignment="1">
      <alignment horizontal="center" vertical="center"/>
    </xf>
    <xf numFmtId="3" fontId="13" fillId="15" borderId="7" xfId="0" applyNumberFormat="1" applyFont="1" applyFill="1" applyBorder="1" applyAlignment="1">
      <alignment horizontal="center" vertical="center"/>
    </xf>
    <xf numFmtId="3" fontId="19" fillId="15" borderId="7" xfId="0" applyNumberFormat="1" applyFont="1" applyFill="1" applyBorder="1" applyAlignment="1">
      <alignment horizontal="center" vertical="center"/>
    </xf>
    <xf numFmtId="164" fontId="19" fillId="15" borderId="7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6" fillId="0" borderId="5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left" vertical="center"/>
    </xf>
    <xf numFmtId="0" fontId="16" fillId="0" borderId="5" xfId="0" applyFont="1" applyBorder="1" applyAlignment="1">
      <alignment horizontal="center" vertical="center"/>
    </xf>
    <xf numFmtId="164" fontId="13" fillId="0" borderId="5" xfId="0" applyNumberFormat="1" applyFont="1" applyBorder="1" applyAlignment="1">
      <alignment horizontal="center" vertical="center"/>
    </xf>
    <xf numFmtId="3" fontId="13" fillId="0" borderId="5" xfId="0" applyNumberFormat="1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/>
    <xf numFmtId="0" fontId="14" fillId="12" borderId="4" xfId="0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center" vertical="center"/>
    </xf>
    <xf numFmtId="0" fontId="13" fillId="0" borderId="0" xfId="0" applyFont="1"/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horizontal="right" vertical="center"/>
    </xf>
    <xf numFmtId="0" fontId="14" fillId="11" borderId="4" xfId="0" applyFont="1" applyFill="1" applyBorder="1" applyAlignment="1">
      <alignment horizontal="center" vertical="center"/>
    </xf>
    <xf numFmtId="0" fontId="19" fillId="15" borderId="7" xfId="0" applyFont="1" applyFill="1" applyBorder="1" applyAlignment="1">
      <alignment horizontal="right" vertical="center"/>
    </xf>
    <xf numFmtId="0" fontId="0" fillId="15" borderId="7" xfId="0" applyFill="1" applyBorder="1"/>
    <xf numFmtId="0" fontId="10" fillId="0" borderId="0" xfId="0" applyFont="1"/>
    <xf numFmtId="0" fontId="10" fillId="0" borderId="0" xfId="0" applyFont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53"/>
  <sheetViews>
    <sheetView topLeftCell="A28" workbookViewId="0">
      <selection activeCell="S2" sqref="S2"/>
    </sheetView>
  </sheetViews>
  <sheetFormatPr defaultRowHeight="15" x14ac:dyDescent="0.25"/>
  <cols>
    <col min="1" max="1" width="11" style="9" customWidth="1"/>
    <col min="2" max="32" width="3.85546875" style="9" customWidth="1"/>
    <col min="33" max="33" width="7.42578125" style="9" customWidth="1"/>
  </cols>
  <sheetData>
    <row r="1" spans="1:33" x14ac:dyDescent="0.25">
      <c r="A1" s="28" t="s">
        <v>0</v>
      </c>
      <c r="B1" s="20"/>
      <c r="C1" s="20"/>
      <c r="D1" s="20"/>
      <c r="E1" s="20"/>
      <c r="F1" s="20"/>
      <c r="G1" s="20"/>
      <c r="H1" s="20"/>
      <c r="I1" s="20"/>
      <c r="V1" s="26" t="s">
        <v>1</v>
      </c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</row>
    <row r="2" spans="1:33" x14ac:dyDescent="0.25">
      <c r="A2" s="21" t="s">
        <v>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V2" s="19" t="s">
        <v>3</v>
      </c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</row>
    <row r="3" spans="1:33" x14ac:dyDescent="0.25">
      <c r="A3" s="21" t="s">
        <v>4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V3" s="19" t="s">
        <v>5</v>
      </c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</row>
    <row r="5" spans="1:33" x14ac:dyDescent="0.25">
      <c r="A5" s="27" t="s">
        <v>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</row>
    <row r="6" spans="1:33" x14ac:dyDescent="0.25">
      <c r="A6" s="27" t="s">
        <v>7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</row>
    <row r="7" spans="1:33" x14ac:dyDescent="0.25">
      <c r="A7" s="25" t="s">
        <v>8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</row>
    <row r="9" spans="1:33" ht="20.100000000000001" customHeight="1" x14ac:dyDescent="0.25">
      <c r="A9" s="22" t="s">
        <v>9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4"/>
      <c r="AG9" s="10" t="s">
        <v>10</v>
      </c>
    </row>
    <row r="10" spans="1:33" ht="18" customHeight="1" x14ac:dyDescent="0.25">
      <c r="A10" s="1" t="s">
        <v>11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  <c r="N10" s="1">
        <v>13</v>
      </c>
      <c r="O10" s="1">
        <v>14</v>
      </c>
      <c r="P10" s="1">
        <v>15</v>
      </c>
      <c r="Q10" s="1">
        <v>16</v>
      </c>
      <c r="R10" s="1">
        <v>17</v>
      </c>
      <c r="S10" s="1">
        <v>18</v>
      </c>
      <c r="T10" s="1">
        <v>19</v>
      </c>
      <c r="U10" s="1">
        <v>20</v>
      </c>
      <c r="V10" s="1">
        <v>21</v>
      </c>
      <c r="W10" s="1">
        <v>22</v>
      </c>
      <c r="X10" s="1">
        <v>23</v>
      </c>
      <c r="Y10" s="1">
        <v>24</v>
      </c>
      <c r="Z10" s="1">
        <v>25</v>
      </c>
      <c r="AA10" s="1">
        <v>26</v>
      </c>
      <c r="AB10" s="1">
        <v>27</v>
      </c>
      <c r="AC10" s="1">
        <v>28</v>
      </c>
      <c r="AD10" s="1">
        <v>29</v>
      </c>
      <c r="AE10" s="1">
        <v>30</v>
      </c>
      <c r="AF10" s="1">
        <v>31</v>
      </c>
      <c r="AG10" s="1" t="s">
        <v>12</v>
      </c>
    </row>
    <row r="11" spans="1:33" ht="17.100000000000001" customHeight="1" x14ac:dyDescent="0.25">
      <c r="A11" s="2" t="s">
        <v>13</v>
      </c>
      <c r="B11" s="3" t="s">
        <v>14</v>
      </c>
      <c r="C11" s="4" t="s">
        <v>15</v>
      </c>
      <c r="D11" s="5" t="s">
        <v>16</v>
      </c>
      <c r="E11" s="6" t="s">
        <v>17</v>
      </c>
      <c r="F11" s="3" t="s">
        <v>14</v>
      </c>
      <c r="G11" s="4" t="s">
        <v>15</v>
      </c>
      <c r="H11" s="5" t="s">
        <v>16</v>
      </c>
      <c r="I11" s="6" t="s">
        <v>17</v>
      </c>
      <c r="J11" s="3" t="s">
        <v>14</v>
      </c>
      <c r="K11" s="4" t="s">
        <v>15</v>
      </c>
      <c r="L11" s="5" t="s">
        <v>16</v>
      </c>
      <c r="M11" s="6" t="s">
        <v>17</v>
      </c>
      <c r="N11" s="3" t="s">
        <v>14</v>
      </c>
      <c r="O11" s="4" t="s">
        <v>15</v>
      </c>
      <c r="P11" s="5" t="s">
        <v>16</v>
      </c>
      <c r="Q11" s="6" t="s">
        <v>17</v>
      </c>
      <c r="R11" s="3" t="s">
        <v>14</v>
      </c>
      <c r="S11" s="4" t="s">
        <v>15</v>
      </c>
      <c r="T11" s="5" t="s">
        <v>16</v>
      </c>
      <c r="U11" s="6" t="s">
        <v>17</v>
      </c>
      <c r="V11" s="3" t="s">
        <v>14</v>
      </c>
      <c r="W11" s="4" t="s">
        <v>15</v>
      </c>
      <c r="X11" s="5" t="s">
        <v>16</v>
      </c>
      <c r="Y11" s="6" t="s">
        <v>17</v>
      </c>
      <c r="Z11" s="3" t="s">
        <v>14</v>
      </c>
      <c r="AA11" s="4" t="s">
        <v>15</v>
      </c>
      <c r="AB11" s="5" t="s">
        <v>16</v>
      </c>
      <c r="AC11" s="6" t="s">
        <v>17</v>
      </c>
      <c r="AD11" s="3" t="s">
        <v>14</v>
      </c>
      <c r="AE11" s="4" t="s">
        <v>15</v>
      </c>
      <c r="AF11" s="5" t="s">
        <v>16</v>
      </c>
      <c r="AG11" s="7">
        <f>COUNTIF(B11:AF11,"Д")+COUNTIF(B11:AF11,"Н")</f>
        <v>16</v>
      </c>
    </row>
    <row r="12" spans="1:33" ht="17.100000000000001" customHeight="1" x14ac:dyDescent="0.25">
      <c r="A12" s="2" t="s">
        <v>18</v>
      </c>
      <c r="B12" s="4" t="s">
        <v>15</v>
      </c>
      <c r="C12" s="5" t="s">
        <v>16</v>
      </c>
      <c r="D12" s="6" t="s">
        <v>17</v>
      </c>
      <c r="E12" s="3" t="s">
        <v>14</v>
      </c>
      <c r="F12" s="4" t="s">
        <v>15</v>
      </c>
      <c r="G12" s="5" t="s">
        <v>16</v>
      </c>
      <c r="H12" s="6" t="s">
        <v>17</v>
      </c>
      <c r="I12" s="3" t="s">
        <v>14</v>
      </c>
      <c r="J12" s="4" t="s">
        <v>15</v>
      </c>
      <c r="K12" s="5" t="s">
        <v>16</v>
      </c>
      <c r="L12" s="6" t="s">
        <v>17</v>
      </c>
      <c r="M12" s="3" t="s">
        <v>14</v>
      </c>
      <c r="N12" s="4" t="s">
        <v>15</v>
      </c>
      <c r="O12" s="5" t="s">
        <v>16</v>
      </c>
      <c r="P12" s="6" t="s">
        <v>17</v>
      </c>
      <c r="Q12" s="3" t="s">
        <v>14</v>
      </c>
      <c r="R12" s="4" t="s">
        <v>15</v>
      </c>
      <c r="S12" s="5" t="s">
        <v>16</v>
      </c>
      <c r="T12" s="6" t="s">
        <v>17</v>
      </c>
      <c r="U12" s="3" t="s">
        <v>14</v>
      </c>
      <c r="V12" s="4" t="s">
        <v>15</v>
      </c>
      <c r="W12" s="5" t="s">
        <v>16</v>
      </c>
      <c r="X12" s="6" t="s">
        <v>17</v>
      </c>
      <c r="Y12" s="3" t="s">
        <v>14</v>
      </c>
      <c r="Z12" s="4" t="s">
        <v>15</v>
      </c>
      <c r="AA12" s="5" t="s">
        <v>16</v>
      </c>
      <c r="AB12" s="6" t="s">
        <v>17</v>
      </c>
      <c r="AC12" s="3" t="s">
        <v>14</v>
      </c>
      <c r="AD12" s="4" t="s">
        <v>15</v>
      </c>
      <c r="AE12" s="5" t="s">
        <v>16</v>
      </c>
      <c r="AF12" s="6" t="s">
        <v>17</v>
      </c>
      <c r="AG12" s="7">
        <f>COUNTIF(B12:AF12,"Д")+COUNTIF(B12:AF12,"Н")</f>
        <v>16</v>
      </c>
    </row>
    <row r="13" spans="1:33" ht="17.100000000000001" customHeight="1" x14ac:dyDescent="0.25">
      <c r="A13" s="2" t="s">
        <v>19</v>
      </c>
      <c r="B13" s="6" t="s">
        <v>17</v>
      </c>
      <c r="C13" s="3" t="s">
        <v>14</v>
      </c>
      <c r="D13" s="4" t="s">
        <v>15</v>
      </c>
      <c r="E13" s="5" t="s">
        <v>16</v>
      </c>
      <c r="F13" s="6" t="s">
        <v>17</v>
      </c>
      <c r="G13" s="3" t="s">
        <v>14</v>
      </c>
      <c r="H13" s="4" t="s">
        <v>15</v>
      </c>
      <c r="I13" s="5" t="s">
        <v>16</v>
      </c>
      <c r="J13" s="6" t="s">
        <v>17</v>
      </c>
      <c r="K13" s="3" t="s">
        <v>14</v>
      </c>
      <c r="L13" s="4" t="s">
        <v>15</v>
      </c>
      <c r="M13" s="5" t="s">
        <v>16</v>
      </c>
      <c r="N13" s="6" t="s">
        <v>17</v>
      </c>
      <c r="O13" s="3" t="s">
        <v>14</v>
      </c>
      <c r="P13" s="4" t="s">
        <v>15</v>
      </c>
      <c r="Q13" s="5" t="s">
        <v>16</v>
      </c>
      <c r="R13" s="6" t="s">
        <v>17</v>
      </c>
      <c r="S13" s="3" t="s">
        <v>14</v>
      </c>
      <c r="T13" s="4" t="s">
        <v>15</v>
      </c>
      <c r="U13" s="5" t="s">
        <v>16</v>
      </c>
      <c r="V13" s="6" t="s">
        <v>17</v>
      </c>
      <c r="W13" s="3" t="s">
        <v>14</v>
      </c>
      <c r="X13" s="4" t="s">
        <v>15</v>
      </c>
      <c r="Y13" s="5" t="s">
        <v>16</v>
      </c>
      <c r="Z13" s="6" t="s">
        <v>17</v>
      </c>
      <c r="AA13" s="3" t="s">
        <v>14</v>
      </c>
      <c r="AB13" s="4" t="s">
        <v>15</v>
      </c>
      <c r="AC13" s="5" t="s">
        <v>16</v>
      </c>
      <c r="AD13" s="6" t="s">
        <v>17</v>
      </c>
      <c r="AE13" s="3" t="s">
        <v>14</v>
      </c>
      <c r="AF13" s="4" t="s">
        <v>15</v>
      </c>
      <c r="AG13" s="7">
        <f>COUNTIF(B13:AF13,"Д")+COUNTIF(B13:AF13,"Н")</f>
        <v>15</v>
      </c>
    </row>
    <row r="14" spans="1:33" ht="17.100000000000001" customHeight="1" x14ac:dyDescent="0.25">
      <c r="A14" s="2" t="s">
        <v>20</v>
      </c>
      <c r="B14" s="5" t="s">
        <v>16</v>
      </c>
      <c r="C14" s="6" t="s">
        <v>17</v>
      </c>
      <c r="D14" s="3" t="s">
        <v>14</v>
      </c>
      <c r="E14" s="4" t="s">
        <v>15</v>
      </c>
      <c r="F14" s="5" t="s">
        <v>16</v>
      </c>
      <c r="G14" s="6" t="s">
        <v>17</v>
      </c>
      <c r="H14" s="3" t="s">
        <v>14</v>
      </c>
      <c r="I14" s="4" t="s">
        <v>15</v>
      </c>
      <c r="J14" s="5" t="s">
        <v>16</v>
      </c>
      <c r="K14" s="6" t="s">
        <v>17</v>
      </c>
      <c r="L14" s="3" t="s">
        <v>14</v>
      </c>
      <c r="M14" s="4" t="s">
        <v>15</v>
      </c>
      <c r="N14" s="5" t="s">
        <v>16</v>
      </c>
      <c r="O14" s="6" t="s">
        <v>17</v>
      </c>
      <c r="P14" s="3" t="s">
        <v>14</v>
      </c>
      <c r="Q14" s="4" t="s">
        <v>15</v>
      </c>
      <c r="R14" s="5" t="s">
        <v>16</v>
      </c>
      <c r="S14" s="6" t="s">
        <v>17</v>
      </c>
      <c r="T14" s="3" t="s">
        <v>14</v>
      </c>
      <c r="U14" s="4" t="s">
        <v>15</v>
      </c>
      <c r="V14" s="5" t="s">
        <v>16</v>
      </c>
      <c r="W14" s="6" t="s">
        <v>17</v>
      </c>
      <c r="X14" s="3" t="s">
        <v>14</v>
      </c>
      <c r="Y14" s="4" t="s">
        <v>15</v>
      </c>
      <c r="Z14" s="5" t="s">
        <v>16</v>
      </c>
      <c r="AA14" s="6" t="s">
        <v>17</v>
      </c>
      <c r="AB14" s="3" t="s">
        <v>14</v>
      </c>
      <c r="AC14" s="4" t="s">
        <v>15</v>
      </c>
      <c r="AD14" s="5" t="s">
        <v>16</v>
      </c>
      <c r="AE14" s="6" t="s">
        <v>17</v>
      </c>
      <c r="AF14" s="3" t="s">
        <v>14</v>
      </c>
      <c r="AG14" s="7">
        <f>COUNTIF(B14:AF14,"Д")+COUNTIF(B14:AF14,"Н")</f>
        <v>15</v>
      </c>
    </row>
    <row r="16" spans="1:33" ht="20.100000000000001" customHeight="1" x14ac:dyDescent="0.25">
      <c r="A16" s="22" t="s">
        <v>21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4"/>
      <c r="AG16" s="10" t="s">
        <v>10</v>
      </c>
    </row>
    <row r="17" spans="1:33" ht="18" customHeight="1" x14ac:dyDescent="0.25">
      <c r="A17" s="1" t="s">
        <v>11</v>
      </c>
      <c r="B17" s="1">
        <v>1</v>
      </c>
      <c r="C17" s="1">
        <v>2</v>
      </c>
      <c r="D17" s="1">
        <v>3</v>
      </c>
      <c r="E17" s="1">
        <v>4</v>
      </c>
      <c r="F17" s="1">
        <v>5</v>
      </c>
      <c r="G17" s="1">
        <v>6</v>
      </c>
      <c r="H17" s="1">
        <v>7</v>
      </c>
      <c r="I17" s="1">
        <v>8</v>
      </c>
      <c r="J17" s="1">
        <v>9</v>
      </c>
      <c r="K17" s="1">
        <v>10</v>
      </c>
      <c r="L17" s="1">
        <v>11</v>
      </c>
      <c r="M17" s="1">
        <v>12</v>
      </c>
      <c r="N17" s="1">
        <v>13</v>
      </c>
      <c r="O17" s="1">
        <v>14</v>
      </c>
      <c r="P17" s="1">
        <v>15</v>
      </c>
      <c r="Q17" s="1">
        <v>16</v>
      </c>
      <c r="R17" s="1">
        <v>17</v>
      </c>
      <c r="S17" s="1">
        <v>18</v>
      </c>
      <c r="T17" s="1">
        <v>19</v>
      </c>
      <c r="U17" s="1">
        <v>20</v>
      </c>
      <c r="V17" s="1">
        <v>21</v>
      </c>
      <c r="W17" s="1">
        <v>22</v>
      </c>
      <c r="X17" s="1">
        <v>23</v>
      </c>
      <c r="Y17" s="1">
        <v>24</v>
      </c>
      <c r="Z17" s="1">
        <v>25</v>
      </c>
      <c r="AA17" s="1">
        <v>26</v>
      </c>
      <c r="AB17" s="1">
        <v>27</v>
      </c>
      <c r="AC17" s="1">
        <v>28</v>
      </c>
      <c r="AD17" s="1">
        <v>29</v>
      </c>
      <c r="AE17" s="1">
        <v>30</v>
      </c>
      <c r="AF17" s="1">
        <v>31</v>
      </c>
      <c r="AG17" s="1" t="s">
        <v>12</v>
      </c>
    </row>
    <row r="18" spans="1:33" ht="17.100000000000001" customHeight="1" x14ac:dyDescent="0.25">
      <c r="A18" s="2" t="s">
        <v>13</v>
      </c>
      <c r="B18" s="6" t="s">
        <v>17</v>
      </c>
      <c r="C18" s="3" t="s">
        <v>14</v>
      </c>
      <c r="D18" s="4" t="s">
        <v>15</v>
      </c>
      <c r="E18" s="5" t="s">
        <v>16</v>
      </c>
      <c r="F18" s="6" t="s">
        <v>17</v>
      </c>
      <c r="G18" s="3" t="s">
        <v>14</v>
      </c>
      <c r="H18" s="4" t="s">
        <v>15</v>
      </c>
      <c r="I18" s="5" t="s">
        <v>16</v>
      </c>
      <c r="J18" s="6" t="s">
        <v>17</v>
      </c>
      <c r="K18" s="3" t="s">
        <v>14</v>
      </c>
      <c r="L18" s="4" t="s">
        <v>15</v>
      </c>
      <c r="M18" s="5" t="s">
        <v>16</v>
      </c>
      <c r="N18" s="6" t="s">
        <v>17</v>
      </c>
      <c r="O18" s="3" t="s">
        <v>14</v>
      </c>
      <c r="P18" s="4" t="s">
        <v>15</v>
      </c>
      <c r="Q18" s="5" t="s">
        <v>16</v>
      </c>
      <c r="R18" s="6" t="s">
        <v>17</v>
      </c>
      <c r="S18" s="3" t="s">
        <v>14</v>
      </c>
      <c r="T18" s="4" t="s">
        <v>15</v>
      </c>
      <c r="U18" s="5" t="s">
        <v>16</v>
      </c>
      <c r="V18" s="6" t="s">
        <v>17</v>
      </c>
      <c r="W18" s="3" t="s">
        <v>14</v>
      </c>
      <c r="X18" s="4" t="s">
        <v>15</v>
      </c>
      <c r="Y18" s="5" t="s">
        <v>16</v>
      </c>
      <c r="Z18" s="6" t="s">
        <v>17</v>
      </c>
      <c r="AA18" s="3" t="s">
        <v>14</v>
      </c>
      <c r="AB18" s="4" t="s">
        <v>15</v>
      </c>
      <c r="AC18" s="5" t="s">
        <v>16</v>
      </c>
      <c r="AD18" s="6" t="s">
        <v>17</v>
      </c>
      <c r="AE18" s="3" t="s">
        <v>14</v>
      </c>
      <c r="AF18" s="4" t="s">
        <v>15</v>
      </c>
      <c r="AG18" s="7">
        <f>COUNTIF(B18:AF18,"Д")+COUNTIF(B18:AF18,"Н")</f>
        <v>15</v>
      </c>
    </row>
    <row r="19" spans="1:33" ht="17.100000000000001" customHeight="1" x14ac:dyDescent="0.25">
      <c r="A19" s="2" t="s">
        <v>18</v>
      </c>
      <c r="B19" s="3" t="s">
        <v>14</v>
      </c>
      <c r="C19" s="4" t="s">
        <v>15</v>
      </c>
      <c r="D19" s="5" t="s">
        <v>16</v>
      </c>
      <c r="E19" s="6" t="s">
        <v>17</v>
      </c>
      <c r="F19" s="3" t="s">
        <v>14</v>
      </c>
      <c r="G19" s="4" t="s">
        <v>15</v>
      </c>
      <c r="H19" s="5" t="s">
        <v>16</v>
      </c>
      <c r="I19" s="6" t="s">
        <v>17</v>
      </c>
      <c r="J19" s="3" t="s">
        <v>14</v>
      </c>
      <c r="K19" s="4" t="s">
        <v>15</v>
      </c>
      <c r="L19" s="5" t="s">
        <v>16</v>
      </c>
      <c r="M19" s="6" t="s">
        <v>17</v>
      </c>
      <c r="N19" s="3" t="s">
        <v>14</v>
      </c>
      <c r="O19" s="4" t="s">
        <v>15</v>
      </c>
      <c r="P19" s="5" t="s">
        <v>16</v>
      </c>
      <c r="Q19" s="6" t="s">
        <v>17</v>
      </c>
      <c r="R19" s="3" t="s">
        <v>14</v>
      </c>
      <c r="S19" s="4" t="s">
        <v>15</v>
      </c>
      <c r="T19" s="5" t="s">
        <v>16</v>
      </c>
      <c r="U19" s="6" t="s">
        <v>17</v>
      </c>
      <c r="V19" s="3" t="s">
        <v>14</v>
      </c>
      <c r="W19" s="4" t="s">
        <v>15</v>
      </c>
      <c r="X19" s="5" t="s">
        <v>16</v>
      </c>
      <c r="Y19" s="6" t="s">
        <v>17</v>
      </c>
      <c r="Z19" s="3" t="s">
        <v>14</v>
      </c>
      <c r="AA19" s="4" t="s">
        <v>15</v>
      </c>
      <c r="AB19" s="5" t="s">
        <v>16</v>
      </c>
      <c r="AC19" s="6" t="s">
        <v>17</v>
      </c>
      <c r="AD19" s="3" t="s">
        <v>14</v>
      </c>
      <c r="AE19" s="4" t="s">
        <v>15</v>
      </c>
      <c r="AF19" s="5" t="s">
        <v>16</v>
      </c>
      <c r="AG19" s="7">
        <f>COUNTIF(B19:AF19,"Д")+COUNTIF(B19:AF19,"Н")</f>
        <v>16</v>
      </c>
    </row>
    <row r="20" spans="1:33" ht="17.100000000000001" customHeight="1" x14ac:dyDescent="0.25">
      <c r="A20" s="2" t="s">
        <v>19</v>
      </c>
      <c r="B20" s="5" t="s">
        <v>16</v>
      </c>
      <c r="C20" s="6" t="s">
        <v>17</v>
      </c>
      <c r="D20" s="3" t="s">
        <v>14</v>
      </c>
      <c r="E20" s="4" t="s">
        <v>15</v>
      </c>
      <c r="F20" s="5" t="s">
        <v>16</v>
      </c>
      <c r="G20" s="6" t="s">
        <v>17</v>
      </c>
      <c r="H20" s="3" t="s">
        <v>14</v>
      </c>
      <c r="I20" s="4" t="s">
        <v>15</v>
      </c>
      <c r="J20" s="5" t="s">
        <v>16</v>
      </c>
      <c r="K20" s="6" t="s">
        <v>17</v>
      </c>
      <c r="L20" s="3" t="s">
        <v>14</v>
      </c>
      <c r="M20" s="4" t="s">
        <v>15</v>
      </c>
      <c r="N20" s="5" t="s">
        <v>16</v>
      </c>
      <c r="O20" s="6" t="s">
        <v>17</v>
      </c>
      <c r="P20" s="3" t="s">
        <v>14</v>
      </c>
      <c r="Q20" s="4" t="s">
        <v>15</v>
      </c>
      <c r="R20" s="5" t="s">
        <v>16</v>
      </c>
      <c r="S20" s="6" t="s">
        <v>17</v>
      </c>
      <c r="T20" s="3" t="s">
        <v>14</v>
      </c>
      <c r="U20" s="4" t="s">
        <v>15</v>
      </c>
      <c r="V20" s="5" t="s">
        <v>16</v>
      </c>
      <c r="W20" s="6" t="s">
        <v>17</v>
      </c>
      <c r="X20" s="3" t="s">
        <v>14</v>
      </c>
      <c r="Y20" s="4" t="s">
        <v>15</v>
      </c>
      <c r="Z20" s="5" t="s">
        <v>16</v>
      </c>
      <c r="AA20" s="6" t="s">
        <v>17</v>
      </c>
      <c r="AB20" s="3" t="s">
        <v>14</v>
      </c>
      <c r="AC20" s="4" t="s">
        <v>15</v>
      </c>
      <c r="AD20" s="5" t="s">
        <v>16</v>
      </c>
      <c r="AE20" s="6" t="s">
        <v>17</v>
      </c>
      <c r="AF20" s="3" t="s">
        <v>14</v>
      </c>
      <c r="AG20" s="7">
        <f>COUNTIF(B20:AF20,"Д")+COUNTIF(B20:AF20,"Н")</f>
        <v>15</v>
      </c>
    </row>
    <row r="21" spans="1:33" ht="17.100000000000001" customHeight="1" x14ac:dyDescent="0.25">
      <c r="A21" s="2" t="s">
        <v>20</v>
      </c>
      <c r="B21" s="4" t="s">
        <v>15</v>
      </c>
      <c r="C21" s="5" t="s">
        <v>16</v>
      </c>
      <c r="D21" s="6" t="s">
        <v>17</v>
      </c>
      <c r="E21" s="3" t="s">
        <v>14</v>
      </c>
      <c r="F21" s="4" t="s">
        <v>15</v>
      </c>
      <c r="G21" s="5" t="s">
        <v>16</v>
      </c>
      <c r="H21" s="6" t="s">
        <v>17</v>
      </c>
      <c r="I21" s="3" t="s">
        <v>14</v>
      </c>
      <c r="J21" s="4" t="s">
        <v>15</v>
      </c>
      <c r="K21" s="5" t="s">
        <v>16</v>
      </c>
      <c r="L21" s="6" t="s">
        <v>17</v>
      </c>
      <c r="M21" s="3" t="s">
        <v>14</v>
      </c>
      <c r="N21" s="4" t="s">
        <v>15</v>
      </c>
      <c r="O21" s="5" t="s">
        <v>16</v>
      </c>
      <c r="P21" s="6" t="s">
        <v>17</v>
      </c>
      <c r="Q21" s="3" t="s">
        <v>14</v>
      </c>
      <c r="R21" s="4" t="s">
        <v>15</v>
      </c>
      <c r="S21" s="5" t="s">
        <v>16</v>
      </c>
      <c r="T21" s="6" t="s">
        <v>17</v>
      </c>
      <c r="U21" s="3" t="s">
        <v>14</v>
      </c>
      <c r="V21" s="4" t="s">
        <v>15</v>
      </c>
      <c r="W21" s="5" t="s">
        <v>16</v>
      </c>
      <c r="X21" s="6" t="s">
        <v>17</v>
      </c>
      <c r="Y21" s="3" t="s">
        <v>14</v>
      </c>
      <c r="Z21" s="4" t="s">
        <v>15</v>
      </c>
      <c r="AA21" s="5" t="s">
        <v>16</v>
      </c>
      <c r="AB21" s="6" t="s">
        <v>17</v>
      </c>
      <c r="AC21" s="3" t="s">
        <v>14</v>
      </c>
      <c r="AD21" s="4" t="s">
        <v>15</v>
      </c>
      <c r="AE21" s="5" t="s">
        <v>16</v>
      </c>
      <c r="AF21" s="6" t="s">
        <v>17</v>
      </c>
      <c r="AG21" s="7">
        <f>COUNTIF(B21:AF21,"Д")+COUNTIF(B21:AF21,"Н")</f>
        <v>16</v>
      </c>
    </row>
    <row r="23" spans="1:33" ht="20.100000000000001" customHeight="1" x14ac:dyDescent="0.25">
      <c r="A23" s="22" t="s">
        <v>22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4"/>
      <c r="AG23" s="10" t="s">
        <v>10</v>
      </c>
    </row>
    <row r="24" spans="1:33" ht="18" customHeight="1" x14ac:dyDescent="0.25">
      <c r="A24" s="1" t="s">
        <v>11</v>
      </c>
      <c r="B24" s="1">
        <v>1</v>
      </c>
      <c r="C24" s="1">
        <v>2</v>
      </c>
      <c r="D24" s="1">
        <v>3</v>
      </c>
      <c r="E24" s="1">
        <v>4</v>
      </c>
      <c r="F24" s="1">
        <v>5</v>
      </c>
      <c r="G24" s="1">
        <v>6</v>
      </c>
      <c r="H24" s="1">
        <v>7</v>
      </c>
      <c r="I24" s="1">
        <v>8</v>
      </c>
      <c r="J24" s="1">
        <v>9</v>
      </c>
      <c r="K24" s="1">
        <v>10</v>
      </c>
      <c r="L24" s="1">
        <v>11</v>
      </c>
      <c r="M24" s="1">
        <v>12</v>
      </c>
      <c r="N24" s="1">
        <v>13</v>
      </c>
      <c r="O24" s="1">
        <v>14</v>
      </c>
      <c r="P24" s="1">
        <v>15</v>
      </c>
      <c r="Q24" s="1">
        <v>16</v>
      </c>
      <c r="R24" s="1">
        <v>17</v>
      </c>
      <c r="S24" s="1">
        <v>18</v>
      </c>
      <c r="T24" s="1">
        <v>19</v>
      </c>
      <c r="U24" s="1">
        <v>20</v>
      </c>
      <c r="V24" s="1">
        <v>21</v>
      </c>
      <c r="W24" s="1">
        <v>22</v>
      </c>
      <c r="X24" s="1">
        <v>23</v>
      </c>
      <c r="Y24" s="1">
        <v>24</v>
      </c>
      <c r="Z24" s="1">
        <v>25</v>
      </c>
      <c r="AA24" s="1">
        <v>26</v>
      </c>
      <c r="AB24" s="1">
        <v>27</v>
      </c>
      <c r="AC24" s="1">
        <v>28</v>
      </c>
      <c r="AD24" s="1">
        <v>29</v>
      </c>
      <c r="AE24" s="1">
        <v>30</v>
      </c>
      <c r="AF24" s="1" t="s">
        <v>23</v>
      </c>
      <c r="AG24" s="1" t="s">
        <v>12</v>
      </c>
    </row>
    <row r="25" spans="1:33" ht="17.100000000000001" customHeight="1" x14ac:dyDescent="0.25">
      <c r="A25" s="2" t="s">
        <v>13</v>
      </c>
      <c r="B25" s="5" t="s">
        <v>16</v>
      </c>
      <c r="C25" s="6" t="s">
        <v>17</v>
      </c>
      <c r="D25" s="3" t="s">
        <v>14</v>
      </c>
      <c r="E25" s="4" t="s">
        <v>15</v>
      </c>
      <c r="F25" s="5" t="s">
        <v>16</v>
      </c>
      <c r="G25" s="6" t="s">
        <v>17</v>
      </c>
      <c r="H25" s="3" t="s">
        <v>14</v>
      </c>
      <c r="I25" s="4" t="s">
        <v>15</v>
      </c>
      <c r="J25" s="5" t="s">
        <v>16</v>
      </c>
      <c r="K25" s="6" t="s">
        <v>17</v>
      </c>
      <c r="L25" s="3" t="s">
        <v>14</v>
      </c>
      <c r="M25" s="4" t="s">
        <v>15</v>
      </c>
      <c r="N25" s="5" t="s">
        <v>16</v>
      </c>
      <c r="O25" s="6" t="s">
        <v>17</v>
      </c>
      <c r="P25" s="3" t="s">
        <v>14</v>
      </c>
      <c r="Q25" s="4" t="s">
        <v>15</v>
      </c>
      <c r="R25" s="5" t="s">
        <v>16</v>
      </c>
      <c r="S25" s="6" t="s">
        <v>17</v>
      </c>
      <c r="T25" s="3" t="s">
        <v>14</v>
      </c>
      <c r="U25" s="4" t="s">
        <v>15</v>
      </c>
      <c r="V25" s="5" t="s">
        <v>16</v>
      </c>
      <c r="W25" s="6" t="s">
        <v>17</v>
      </c>
      <c r="X25" s="3" t="s">
        <v>14</v>
      </c>
      <c r="Y25" s="4" t="s">
        <v>15</v>
      </c>
      <c r="Z25" s="5" t="s">
        <v>16</v>
      </c>
      <c r="AA25" s="6" t="s">
        <v>17</v>
      </c>
      <c r="AB25" s="3" t="s">
        <v>14</v>
      </c>
      <c r="AC25" s="4" t="s">
        <v>15</v>
      </c>
      <c r="AD25" s="5" t="s">
        <v>16</v>
      </c>
      <c r="AE25" s="6" t="s">
        <v>17</v>
      </c>
      <c r="AF25" s="8" t="s">
        <v>23</v>
      </c>
      <c r="AG25" s="7">
        <f>COUNTIF(B25:AF25,"Д")+COUNTIF(B25:AF25,"Н")</f>
        <v>15</v>
      </c>
    </row>
    <row r="26" spans="1:33" ht="17.100000000000001" customHeight="1" x14ac:dyDescent="0.25">
      <c r="A26" s="2" t="s">
        <v>18</v>
      </c>
      <c r="B26" s="6" t="s">
        <v>17</v>
      </c>
      <c r="C26" s="3" t="s">
        <v>14</v>
      </c>
      <c r="D26" s="4" t="s">
        <v>15</v>
      </c>
      <c r="E26" s="5" t="s">
        <v>16</v>
      </c>
      <c r="F26" s="6" t="s">
        <v>17</v>
      </c>
      <c r="G26" s="3" t="s">
        <v>14</v>
      </c>
      <c r="H26" s="4" t="s">
        <v>15</v>
      </c>
      <c r="I26" s="5" t="s">
        <v>16</v>
      </c>
      <c r="J26" s="6" t="s">
        <v>17</v>
      </c>
      <c r="K26" s="3" t="s">
        <v>14</v>
      </c>
      <c r="L26" s="4" t="s">
        <v>15</v>
      </c>
      <c r="M26" s="5" t="s">
        <v>16</v>
      </c>
      <c r="N26" s="6" t="s">
        <v>17</v>
      </c>
      <c r="O26" s="3" t="s">
        <v>14</v>
      </c>
      <c r="P26" s="4" t="s">
        <v>15</v>
      </c>
      <c r="Q26" s="5" t="s">
        <v>16</v>
      </c>
      <c r="R26" s="6" t="s">
        <v>17</v>
      </c>
      <c r="S26" s="3" t="s">
        <v>14</v>
      </c>
      <c r="T26" s="4" t="s">
        <v>15</v>
      </c>
      <c r="U26" s="5" t="s">
        <v>16</v>
      </c>
      <c r="V26" s="6" t="s">
        <v>17</v>
      </c>
      <c r="W26" s="3" t="s">
        <v>14</v>
      </c>
      <c r="X26" s="4" t="s">
        <v>15</v>
      </c>
      <c r="Y26" s="5" t="s">
        <v>16</v>
      </c>
      <c r="Z26" s="6" t="s">
        <v>17</v>
      </c>
      <c r="AA26" s="3" t="s">
        <v>14</v>
      </c>
      <c r="AB26" s="4" t="s">
        <v>15</v>
      </c>
      <c r="AC26" s="5" t="s">
        <v>16</v>
      </c>
      <c r="AD26" s="6" t="s">
        <v>17</v>
      </c>
      <c r="AE26" s="3" t="s">
        <v>14</v>
      </c>
      <c r="AF26" s="8" t="s">
        <v>23</v>
      </c>
      <c r="AG26" s="7">
        <f>COUNTIF(B26:AF26,"Д")+COUNTIF(B26:AF26,"Н")</f>
        <v>14</v>
      </c>
    </row>
    <row r="27" spans="1:33" ht="17.100000000000001" customHeight="1" x14ac:dyDescent="0.25">
      <c r="A27" s="2" t="s">
        <v>19</v>
      </c>
      <c r="B27" s="4" t="s">
        <v>15</v>
      </c>
      <c r="C27" s="5" t="s">
        <v>16</v>
      </c>
      <c r="D27" s="6" t="s">
        <v>17</v>
      </c>
      <c r="E27" s="3" t="s">
        <v>14</v>
      </c>
      <c r="F27" s="4" t="s">
        <v>15</v>
      </c>
      <c r="G27" s="5" t="s">
        <v>16</v>
      </c>
      <c r="H27" s="6" t="s">
        <v>17</v>
      </c>
      <c r="I27" s="3" t="s">
        <v>14</v>
      </c>
      <c r="J27" s="4" t="s">
        <v>15</v>
      </c>
      <c r="K27" s="5" t="s">
        <v>16</v>
      </c>
      <c r="L27" s="6" t="s">
        <v>17</v>
      </c>
      <c r="M27" s="3" t="s">
        <v>14</v>
      </c>
      <c r="N27" s="4" t="s">
        <v>15</v>
      </c>
      <c r="O27" s="5" t="s">
        <v>16</v>
      </c>
      <c r="P27" s="6" t="s">
        <v>17</v>
      </c>
      <c r="Q27" s="3" t="s">
        <v>14</v>
      </c>
      <c r="R27" s="4" t="s">
        <v>15</v>
      </c>
      <c r="S27" s="5" t="s">
        <v>16</v>
      </c>
      <c r="T27" s="6" t="s">
        <v>17</v>
      </c>
      <c r="U27" s="3" t="s">
        <v>14</v>
      </c>
      <c r="V27" s="4" t="s">
        <v>15</v>
      </c>
      <c r="W27" s="5" t="s">
        <v>16</v>
      </c>
      <c r="X27" s="6" t="s">
        <v>17</v>
      </c>
      <c r="Y27" s="3" t="s">
        <v>14</v>
      </c>
      <c r="Z27" s="4" t="s">
        <v>15</v>
      </c>
      <c r="AA27" s="5" t="s">
        <v>16</v>
      </c>
      <c r="AB27" s="6" t="s">
        <v>17</v>
      </c>
      <c r="AC27" s="3" t="s">
        <v>14</v>
      </c>
      <c r="AD27" s="4" t="s">
        <v>15</v>
      </c>
      <c r="AE27" s="5" t="s">
        <v>16</v>
      </c>
      <c r="AF27" s="8" t="s">
        <v>23</v>
      </c>
      <c r="AG27" s="7">
        <f>COUNTIF(B27:AF27,"Д")+COUNTIF(B27:AF27,"Н")</f>
        <v>16</v>
      </c>
    </row>
    <row r="28" spans="1:33" ht="17.100000000000001" customHeight="1" x14ac:dyDescent="0.25">
      <c r="A28" s="2" t="s">
        <v>20</v>
      </c>
      <c r="B28" s="3" t="s">
        <v>14</v>
      </c>
      <c r="C28" s="4" t="s">
        <v>15</v>
      </c>
      <c r="D28" s="5" t="s">
        <v>16</v>
      </c>
      <c r="E28" s="6" t="s">
        <v>17</v>
      </c>
      <c r="F28" s="3" t="s">
        <v>14</v>
      </c>
      <c r="G28" s="4" t="s">
        <v>15</v>
      </c>
      <c r="H28" s="5" t="s">
        <v>16</v>
      </c>
      <c r="I28" s="6" t="s">
        <v>17</v>
      </c>
      <c r="J28" s="3" t="s">
        <v>14</v>
      </c>
      <c r="K28" s="4" t="s">
        <v>15</v>
      </c>
      <c r="L28" s="5" t="s">
        <v>16</v>
      </c>
      <c r="M28" s="6" t="s">
        <v>17</v>
      </c>
      <c r="N28" s="3" t="s">
        <v>14</v>
      </c>
      <c r="O28" s="4" t="s">
        <v>15</v>
      </c>
      <c r="P28" s="5" t="s">
        <v>16</v>
      </c>
      <c r="Q28" s="6" t="s">
        <v>17</v>
      </c>
      <c r="R28" s="3" t="s">
        <v>14</v>
      </c>
      <c r="S28" s="4" t="s">
        <v>15</v>
      </c>
      <c r="T28" s="5" t="s">
        <v>16</v>
      </c>
      <c r="U28" s="6" t="s">
        <v>17</v>
      </c>
      <c r="V28" s="3" t="s">
        <v>14</v>
      </c>
      <c r="W28" s="4" t="s">
        <v>15</v>
      </c>
      <c r="X28" s="5" t="s">
        <v>16</v>
      </c>
      <c r="Y28" s="6" t="s">
        <v>17</v>
      </c>
      <c r="Z28" s="3" t="s">
        <v>14</v>
      </c>
      <c r="AA28" s="4" t="s">
        <v>15</v>
      </c>
      <c r="AB28" s="5" t="s">
        <v>16</v>
      </c>
      <c r="AC28" s="6" t="s">
        <v>17</v>
      </c>
      <c r="AD28" s="3" t="s">
        <v>14</v>
      </c>
      <c r="AE28" s="4" t="s">
        <v>15</v>
      </c>
      <c r="AF28" s="8" t="s">
        <v>23</v>
      </c>
      <c r="AG28" s="7">
        <f>COUNTIF(B28:AF28,"Д")+COUNTIF(B28:AF28,"Н")</f>
        <v>15</v>
      </c>
    </row>
    <row r="30" spans="1:33" ht="20.100000000000001" customHeight="1" x14ac:dyDescent="0.25">
      <c r="A30" s="22" t="s">
        <v>24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4"/>
      <c r="AG30" s="10" t="s">
        <v>10</v>
      </c>
    </row>
    <row r="31" spans="1:33" ht="18" customHeight="1" x14ac:dyDescent="0.25">
      <c r="A31" s="1" t="s">
        <v>11</v>
      </c>
      <c r="B31" s="1">
        <v>1</v>
      </c>
      <c r="C31" s="1">
        <v>2</v>
      </c>
      <c r="D31" s="1">
        <v>3</v>
      </c>
      <c r="E31" s="1">
        <v>4</v>
      </c>
      <c r="F31" s="1">
        <v>5</v>
      </c>
      <c r="G31" s="1">
        <v>6</v>
      </c>
      <c r="H31" s="1">
        <v>7</v>
      </c>
      <c r="I31" s="1">
        <v>8</v>
      </c>
      <c r="J31" s="1">
        <v>9</v>
      </c>
      <c r="K31" s="1">
        <v>10</v>
      </c>
      <c r="L31" s="1">
        <v>11</v>
      </c>
      <c r="M31" s="1">
        <v>12</v>
      </c>
      <c r="N31" s="1">
        <v>13</v>
      </c>
      <c r="O31" s="1">
        <v>14</v>
      </c>
      <c r="P31" s="1">
        <v>15</v>
      </c>
      <c r="Q31" s="1">
        <v>16</v>
      </c>
      <c r="R31" s="1">
        <v>17</v>
      </c>
      <c r="S31" s="1">
        <v>18</v>
      </c>
      <c r="T31" s="1">
        <v>19</v>
      </c>
      <c r="U31" s="1">
        <v>20</v>
      </c>
      <c r="V31" s="1">
        <v>21</v>
      </c>
      <c r="W31" s="1">
        <v>22</v>
      </c>
      <c r="X31" s="1">
        <v>23</v>
      </c>
      <c r="Y31" s="1">
        <v>24</v>
      </c>
      <c r="Z31" s="1">
        <v>25</v>
      </c>
      <c r="AA31" s="1">
        <v>26</v>
      </c>
      <c r="AB31" s="1">
        <v>27</v>
      </c>
      <c r="AC31" s="1">
        <v>28</v>
      </c>
      <c r="AD31" s="1">
        <v>29</v>
      </c>
      <c r="AE31" s="1">
        <v>30</v>
      </c>
      <c r="AF31" s="1">
        <v>31</v>
      </c>
      <c r="AG31" s="1" t="s">
        <v>12</v>
      </c>
    </row>
    <row r="32" spans="1:33" ht="17.100000000000001" customHeight="1" x14ac:dyDescent="0.25">
      <c r="A32" s="2" t="s">
        <v>13</v>
      </c>
      <c r="B32" s="3" t="s">
        <v>14</v>
      </c>
      <c r="C32" s="4" t="s">
        <v>15</v>
      </c>
      <c r="D32" s="5" t="s">
        <v>16</v>
      </c>
      <c r="E32" s="6" t="s">
        <v>17</v>
      </c>
      <c r="F32" s="3" t="s">
        <v>14</v>
      </c>
      <c r="G32" s="4" t="s">
        <v>15</v>
      </c>
      <c r="H32" s="5" t="s">
        <v>16</v>
      </c>
      <c r="I32" s="6" t="s">
        <v>17</v>
      </c>
      <c r="J32" s="3" t="s">
        <v>14</v>
      </c>
      <c r="K32" s="4" t="s">
        <v>15</v>
      </c>
      <c r="L32" s="5" t="s">
        <v>16</v>
      </c>
      <c r="M32" s="6" t="s">
        <v>17</v>
      </c>
      <c r="N32" s="3" t="s">
        <v>14</v>
      </c>
      <c r="O32" s="4" t="s">
        <v>15</v>
      </c>
      <c r="P32" s="5" t="s">
        <v>16</v>
      </c>
      <c r="Q32" s="6" t="s">
        <v>17</v>
      </c>
      <c r="R32" s="3" t="s">
        <v>14</v>
      </c>
      <c r="S32" s="4" t="s">
        <v>15</v>
      </c>
      <c r="T32" s="5" t="s">
        <v>16</v>
      </c>
      <c r="U32" s="6" t="s">
        <v>17</v>
      </c>
      <c r="V32" s="3" t="s">
        <v>14</v>
      </c>
      <c r="W32" s="4" t="s">
        <v>15</v>
      </c>
      <c r="X32" s="5" t="s">
        <v>16</v>
      </c>
      <c r="Y32" s="6" t="s">
        <v>17</v>
      </c>
      <c r="Z32" s="3" t="s">
        <v>14</v>
      </c>
      <c r="AA32" s="4" t="s">
        <v>15</v>
      </c>
      <c r="AB32" s="5" t="s">
        <v>16</v>
      </c>
      <c r="AC32" s="6" t="s">
        <v>17</v>
      </c>
      <c r="AD32" s="3" t="s">
        <v>14</v>
      </c>
      <c r="AE32" s="4" t="s">
        <v>15</v>
      </c>
      <c r="AF32" s="5" t="s">
        <v>16</v>
      </c>
      <c r="AG32" s="7">
        <f>COUNTIF(B32:AF32,"Д")+COUNTIF(B32:AF32,"Н")</f>
        <v>16</v>
      </c>
    </row>
    <row r="33" spans="1:33" ht="17.100000000000001" customHeight="1" x14ac:dyDescent="0.25">
      <c r="A33" s="2" t="s">
        <v>18</v>
      </c>
      <c r="B33" s="4" t="s">
        <v>15</v>
      </c>
      <c r="C33" s="5" t="s">
        <v>16</v>
      </c>
      <c r="D33" s="6" t="s">
        <v>17</v>
      </c>
      <c r="E33" s="3" t="s">
        <v>14</v>
      </c>
      <c r="F33" s="4" t="s">
        <v>15</v>
      </c>
      <c r="G33" s="5" t="s">
        <v>16</v>
      </c>
      <c r="H33" s="6" t="s">
        <v>17</v>
      </c>
      <c r="I33" s="3" t="s">
        <v>14</v>
      </c>
      <c r="J33" s="4" t="s">
        <v>15</v>
      </c>
      <c r="K33" s="5" t="s">
        <v>16</v>
      </c>
      <c r="L33" s="6" t="s">
        <v>17</v>
      </c>
      <c r="M33" s="3" t="s">
        <v>14</v>
      </c>
      <c r="N33" s="4" t="s">
        <v>15</v>
      </c>
      <c r="O33" s="5" t="s">
        <v>16</v>
      </c>
      <c r="P33" s="6" t="s">
        <v>17</v>
      </c>
      <c r="Q33" s="3" t="s">
        <v>14</v>
      </c>
      <c r="R33" s="4" t="s">
        <v>15</v>
      </c>
      <c r="S33" s="5" t="s">
        <v>16</v>
      </c>
      <c r="T33" s="6" t="s">
        <v>17</v>
      </c>
      <c r="U33" s="3" t="s">
        <v>14</v>
      </c>
      <c r="V33" s="4" t="s">
        <v>15</v>
      </c>
      <c r="W33" s="5" t="s">
        <v>16</v>
      </c>
      <c r="X33" s="6" t="s">
        <v>17</v>
      </c>
      <c r="Y33" s="3" t="s">
        <v>14</v>
      </c>
      <c r="Z33" s="4" t="s">
        <v>15</v>
      </c>
      <c r="AA33" s="5" t="s">
        <v>16</v>
      </c>
      <c r="AB33" s="6" t="s">
        <v>17</v>
      </c>
      <c r="AC33" s="3" t="s">
        <v>14</v>
      </c>
      <c r="AD33" s="4" t="s">
        <v>15</v>
      </c>
      <c r="AE33" s="5" t="s">
        <v>16</v>
      </c>
      <c r="AF33" s="6" t="s">
        <v>17</v>
      </c>
      <c r="AG33" s="7">
        <f>COUNTIF(B33:AF33,"Д")+COUNTIF(B33:AF33,"Н")</f>
        <v>16</v>
      </c>
    </row>
    <row r="34" spans="1:33" ht="17.100000000000001" customHeight="1" x14ac:dyDescent="0.25">
      <c r="A34" s="2" t="s">
        <v>19</v>
      </c>
      <c r="B34" s="6" t="s">
        <v>17</v>
      </c>
      <c r="C34" s="3" t="s">
        <v>14</v>
      </c>
      <c r="D34" s="4" t="s">
        <v>15</v>
      </c>
      <c r="E34" s="5" t="s">
        <v>16</v>
      </c>
      <c r="F34" s="6" t="s">
        <v>17</v>
      </c>
      <c r="G34" s="3" t="s">
        <v>14</v>
      </c>
      <c r="H34" s="4" t="s">
        <v>15</v>
      </c>
      <c r="I34" s="5" t="s">
        <v>16</v>
      </c>
      <c r="J34" s="6" t="s">
        <v>17</v>
      </c>
      <c r="K34" s="3" t="s">
        <v>14</v>
      </c>
      <c r="L34" s="4" t="s">
        <v>15</v>
      </c>
      <c r="M34" s="5" t="s">
        <v>16</v>
      </c>
      <c r="N34" s="6" t="s">
        <v>17</v>
      </c>
      <c r="O34" s="3" t="s">
        <v>14</v>
      </c>
      <c r="P34" s="4" t="s">
        <v>15</v>
      </c>
      <c r="Q34" s="5" t="s">
        <v>16</v>
      </c>
      <c r="R34" s="6" t="s">
        <v>17</v>
      </c>
      <c r="S34" s="3" t="s">
        <v>14</v>
      </c>
      <c r="T34" s="4" t="s">
        <v>15</v>
      </c>
      <c r="U34" s="5" t="s">
        <v>16</v>
      </c>
      <c r="V34" s="6" t="s">
        <v>17</v>
      </c>
      <c r="W34" s="3" t="s">
        <v>14</v>
      </c>
      <c r="X34" s="4" t="s">
        <v>15</v>
      </c>
      <c r="Y34" s="5" t="s">
        <v>16</v>
      </c>
      <c r="Z34" s="6" t="s">
        <v>17</v>
      </c>
      <c r="AA34" s="3" t="s">
        <v>14</v>
      </c>
      <c r="AB34" s="4" t="s">
        <v>15</v>
      </c>
      <c r="AC34" s="5" t="s">
        <v>16</v>
      </c>
      <c r="AD34" s="6" t="s">
        <v>17</v>
      </c>
      <c r="AE34" s="3" t="s">
        <v>14</v>
      </c>
      <c r="AF34" s="4" t="s">
        <v>15</v>
      </c>
      <c r="AG34" s="7">
        <f>COUNTIF(B34:AF34,"Д")+COUNTIF(B34:AF34,"Н")</f>
        <v>15</v>
      </c>
    </row>
    <row r="35" spans="1:33" ht="17.100000000000001" customHeight="1" x14ac:dyDescent="0.25">
      <c r="A35" s="2" t="s">
        <v>20</v>
      </c>
      <c r="B35" s="5" t="s">
        <v>16</v>
      </c>
      <c r="C35" s="6" t="s">
        <v>17</v>
      </c>
      <c r="D35" s="3" t="s">
        <v>14</v>
      </c>
      <c r="E35" s="4" t="s">
        <v>15</v>
      </c>
      <c r="F35" s="5" t="s">
        <v>16</v>
      </c>
      <c r="G35" s="6" t="s">
        <v>17</v>
      </c>
      <c r="H35" s="3" t="s">
        <v>14</v>
      </c>
      <c r="I35" s="4" t="s">
        <v>15</v>
      </c>
      <c r="J35" s="5" t="s">
        <v>16</v>
      </c>
      <c r="K35" s="6" t="s">
        <v>17</v>
      </c>
      <c r="L35" s="3" t="s">
        <v>14</v>
      </c>
      <c r="M35" s="4" t="s">
        <v>15</v>
      </c>
      <c r="N35" s="5" t="s">
        <v>16</v>
      </c>
      <c r="O35" s="6" t="s">
        <v>17</v>
      </c>
      <c r="P35" s="3" t="s">
        <v>14</v>
      </c>
      <c r="Q35" s="4" t="s">
        <v>15</v>
      </c>
      <c r="R35" s="5" t="s">
        <v>16</v>
      </c>
      <c r="S35" s="6" t="s">
        <v>17</v>
      </c>
      <c r="T35" s="3" t="s">
        <v>14</v>
      </c>
      <c r="U35" s="4" t="s">
        <v>15</v>
      </c>
      <c r="V35" s="5" t="s">
        <v>16</v>
      </c>
      <c r="W35" s="6" t="s">
        <v>17</v>
      </c>
      <c r="X35" s="3" t="s">
        <v>14</v>
      </c>
      <c r="Y35" s="4" t="s">
        <v>15</v>
      </c>
      <c r="Z35" s="5" t="s">
        <v>16</v>
      </c>
      <c r="AA35" s="6" t="s">
        <v>17</v>
      </c>
      <c r="AB35" s="3" t="s">
        <v>14</v>
      </c>
      <c r="AC35" s="4" t="s">
        <v>15</v>
      </c>
      <c r="AD35" s="5" t="s">
        <v>16</v>
      </c>
      <c r="AE35" s="6" t="s">
        <v>17</v>
      </c>
      <c r="AF35" s="3" t="s">
        <v>14</v>
      </c>
      <c r="AG35" s="7">
        <f>COUNTIF(B35:AF35,"Д")+COUNTIF(B35:AF35,"Н")</f>
        <v>15</v>
      </c>
    </row>
    <row r="37" spans="1:33" ht="20.100000000000001" customHeight="1" x14ac:dyDescent="0.25">
      <c r="A37" s="22" t="s">
        <v>25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4"/>
      <c r="AG37" s="10" t="s">
        <v>10</v>
      </c>
    </row>
    <row r="38" spans="1:33" ht="18" customHeight="1" x14ac:dyDescent="0.25">
      <c r="A38" s="1" t="s">
        <v>11</v>
      </c>
      <c r="B38" s="1">
        <v>1</v>
      </c>
      <c r="C38" s="1">
        <v>2</v>
      </c>
      <c r="D38" s="1">
        <v>3</v>
      </c>
      <c r="E38" s="1">
        <v>4</v>
      </c>
      <c r="F38" s="1">
        <v>5</v>
      </c>
      <c r="G38" s="1">
        <v>6</v>
      </c>
      <c r="H38" s="1">
        <v>7</v>
      </c>
      <c r="I38" s="1">
        <v>8</v>
      </c>
      <c r="J38" s="1">
        <v>9</v>
      </c>
      <c r="K38" s="1">
        <v>10</v>
      </c>
      <c r="L38" s="1">
        <v>11</v>
      </c>
      <c r="M38" s="1">
        <v>12</v>
      </c>
      <c r="N38" s="1">
        <v>13</v>
      </c>
      <c r="O38" s="1">
        <v>14</v>
      </c>
      <c r="P38" s="1">
        <v>15</v>
      </c>
      <c r="Q38" s="1">
        <v>16</v>
      </c>
      <c r="R38" s="1">
        <v>17</v>
      </c>
      <c r="S38" s="1">
        <v>18</v>
      </c>
      <c r="T38" s="1">
        <v>19</v>
      </c>
      <c r="U38" s="1">
        <v>20</v>
      </c>
      <c r="V38" s="1">
        <v>21</v>
      </c>
      <c r="W38" s="1">
        <v>22</v>
      </c>
      <c r="X38" s="1">
        <v>23</v>
      </c>
      <c r="Y38" s="1">
        <v>24</v>
      </c>
      <c r="Z38" s="1">
        <v>25</v>
      </c>
      <c r="AA38" s="1">
        <v>26</v>
      </c>
      <c r="AB38" s="1">
        <v>27</v>
      </c>
      <c r="AC38" s="1">
        <v>28</v>
      </c>
      <c r="AD38" s="1">
        <v>29</v>
      </c>
      <c r="AE38" s="1">
        <v>30</v>
      </c>
      <c r="AF38" s="1" t="s">
        <v>23</v>
      </c>
      <c r="AG38" s="1" t="s">
        <v>12</v>
      </c>
    </row>
    <row r="39" spans="1:33" ht="17.100000000000001" customHeight="1" x14ac:dyDescent="0.25">
      <c r="A39" s="2" t="s">
        <v>13</v>
      </c>
      <c r="B39" s="6" t="s">
        <v>17</v>
      </c>
      <c r="C39" s="3" t="s">
        <v>14</v>
      </c>
      <c r="D39" s="4" t="s">
        <v>15</v>
      </c>
      <c r="E39" s="5" t="s">
        <v>16</v>
      </c>
      <c r="F39" s="6" t="s">
        <v>17</v>
      </c>
      <c r="G39" s="3" t="s">
        <v>14</v>
      </c>
      <c r="H39" s="4" t="s">
        <v>15</v>
      </c>
      <c r="I39" s="5" t="s">
        <v>16</v>
      </c>
      <c r="J39" s="6" t="s">
        <v>17</v>
      </c>
      <c r="K39" s="3" t="s">
        <v>14</v>
      </c>
      <c r="L39" s="4" t="s">
        <v>15</v>
      </c>
      <c r="M39" s="5" t="s">
        <v>16</v>
      </c>
      <c r="N39" s="6" t="s">
        <v>17</v>
      </c>
      <c r="O39" s="3" t="s">
        <v>14</v>
      </c>
      <c r="P39" s="4" t="s">
        <v>15</v>
      </c>
      <c r="Q39" s="5" t="s">
        <v>16</v>
      </c>
      <c r="R39" s="6" t="s">
        <v>17</v>
      </c>
      <c r="S39" s="3" t="s">
        <v>14</v>
      </c>
      <c r="T39" s="4" t="s">
        <v>15</v>
      </c>
      <c r="U39" s="5" t="s">
        <v>16</v>
      </c>
      <c r="V39" s="6" t="s">
        <v>17</v>
      </c>
      <c r="W39" s="3" t="s">
        <v>14</v>
      </c>
      <c r="X39" s="4" t="s">
        <v>15</v>
      </c>
      <c r="Y39" s="5" t="s">
        <v>16</v>
      </c>
      <c r="Z39" s="6" t="s">
        <v>17</v>
      </c>
      <c r="AA39" s="3" t="s">
        <v>14</v>
      </c>
      <c r="AB39" s="4" t="s">
        <v>15</v>
      </c>
      <c r="AC39" s="5" t="s">
        <v>16</v>
      </c>
      <c r="AD39" s="6" t="s">
        <v>17</v>
      </c>
      <c r="AE39" s="3" t="s">
        <v>14</v>
      </c>
      <c r="AF39" s="8" t="s">
        <v>23</v>
      </c>
      <c r="AG39" s="7">
        <f>COUNTIF(B39:AF39,"Д")+COUNTIF(B39:AF39,"Н")</f>
        <v>14</v>
      </c>
    </row>
    <row r="40" spans="1:33" ht="17.100000000000001" customHeight="1" x14ac:dyDescent="0.25">
      <c r="A40" s="2" t="s">
        <v>18</v>
      </c>
      <c r="B40" s="3" t="s">
        <v>14</v>
      </c>
      <c r="C40" s="4" t="s">
        <v>15</v>
      </c>
      <c r="D40" s="5" t="s">
        <v>16</v>
      </c>
      <c r="E40" s="6" t="s">
        <v>17</v>
      </c>
      <c r="F40" s="3" t="s">
        <v>14</v>
      </c>
      <c r="G40" s="4" t="s">
        <v>15</v>
      </c>
      <c r="H40" s="5" t="s">
        <v>16</v>
      </c>
      <c r="I40" s="6" t="s">
        <v>17</v>
      </c>
      <c r="J40" s="3" t="s">
        <v>14</v>
      </c>
      <c r="K40" s="4" t="s">
        <v>15</v>
      </c>
      <c r="L40" s="5" t="s">
        <v>16</v>
      </c>
      <c r="M40" s="6" t="s">
        <v>17</v>
      </c>
      <c r="N40" s="3" t="s">
        <v>14</v>
      </c>
      <c r="O40" s="4" t="s">
        <v>15</v>
      </c>
      <c r="P40" s="5" t="s">
        <v>16</v>
      </c>
      <c r="Q40" s="6" t="s">
        <v>17</v>
      </c>
      <c r="R40" s="3" t="s">
        <v>14</v>
      </c>
      <c r="S40" s="4" t="s">
        <v>15</v>
      </c>
      <c r="T40" s="5" t="s">
        <v>16</v>
      </c>
      <c r="U40" s="6" t="s">
        <v>17</v>
      </c>
      <c r="V40" s="3" t="s">
        <v>14</v>
      </c>
      <c r="W40" s="4" t="s">
        <v>15</v>
      </c>
      <c r="X40" s="5" t="s">
        <v>16</v>
      </c>
      <c r="Y40" s="6" t="s">
        <v>17</v>
      </c>
      <c r="Z40" s="3" t="s">
        <v>14</v>
      </c>
      <c r="AA40" s="4" t="s">
        <v>15</v>
      </c>
      <c r="AB40" s="5" t="s">
        <v>16</v>
      </c>
      <c r="AC40" s="6" t="s">
        <v>17</v>
      </c>
      <c r="AD40" s="3" t="s">
        <v>14</v>
      </c>
      <c r="AE40" s="4" t="s">
        <v>15</v>
      </c>
      <c r="AF40" s="8" t="s">
        <v>23</v>
      </c>
      <c r="AG40" s="7">
        <f>COUNTIF(B40:AF40,"Д")+COUNTIF(B40:AF40,"Н")</f>
        <v>15</v>
      </c>
    </row>
    <row r="41" spans="1:33" ht="17.100000000000001" customHeight="1" x14ac:dyDescent="0.25">
      <c r="A41" s="2" t="s">
        <v>19</v>
      </c>
      <c r="B41" s="5" t="s">
        <v>16</v>
      </c>
      <c r="C41" s="6" t="s">
        <v>17</v>
      </c>
      <c r="D41" s="3" t="s">
        <v>14</v>
      </c>
      <c r="E41" s="4" t="s">
        <v>15</v>
      </c>
      <c r="F41" s="5" t="s">
        <v>16</v>
      </c>
      <c r="G41" s="6" t="s">
        <v>17</v>
      </c>
      <c r="H41" s="3" t="s">
        <v>14</v>
      </c>
      <c r="I41" s="4" t="s">
        <v>15</v>
      </c>
      <c r="J41" s="5" t="s">
        <v>16</v>
      </c>
      <c r="K41" s="6" t="s">
        <v>17</v>
      </c>
      <c r="L41" s="3" t="s">
        <v>14</v>
      </c>
      <c r="M41" s="4" t="s">
        <v>15</v>
      </c>
      <c r="N41" s="5" t="s">
        <v>16</v>
      </c>
      <c r="O41" s="6" t="s">
        <v>17</v>
      </c>
      <c r="P41" s="3" t="s">
        <v>14</v>
      </c>
      <c r="Q41" s="4" t="s">
        <v>15</v>
      </c>
      <c r="R41" s="5" t="s">
        <v>16</v>
      </c>
      <c r="S41" s="6" t="s">
        <v>17</v>
      </c>
      <c r="T41" s="3" t="s">
        <v>14</v>
      </c>
      <c r="U41" s="4" t="s">
        <v>15</v>
      </c>
      <c r="V41" s="5" t="s">
        <v>16</v>
      </c>
      <c r="W41" s="6" t="s">
        <v>17</v>
      </c>
      <c r="X41" s="3" t="s">
        <v>14</v>
      </c>
      <c r="Y41" s="4" t="s">
        <v>15</v>
      </c>
      <c r="Z41" s="5" t="s">
        <v>16</v>
      </c>
      <c r="AA41" s="6" t="s">
        <v>17</v>
      </c>
      <c r="AB41" s="3" t="s">
        <v>14</v>
      </c>
      <c r="AC41" s="4" t="s">
        <v>15</v>
      </c>
      <c r="AD41" s="5" t="s">
        <v>16</v>
      </c>
      <c r="AE41" s="6" t="s">
        <v>17</v>
      </c>
      <c r="AF41" s="8" t="s">
        <v>23</v>
      </c>
      <c r="AG41" s="7">
        <f>COUNTIF(B41:AF41,"Д")+COUNTIF(B41:AF41,"Н")</f>
        <v>15</v>
      </c>
    </row>
    <row r="42" spans="1:33" ht="17.100000000000001" customHeight="1" x14ac:dyDescent="0.25">
      <c r="A42" s="2" t="s">
        <v>20</v>
      </c>
      <c r="B42" s="4" t="s">
        <v>15</v>
      </c>
      <c r="C42" s="5" t="s">
        <v>16</v>
      </c>
      <c r="D42" s="6" t="s">
        <v>17</v>
      </c>
      <c r="E42" s="3" t="s">
        <v>14</v>
      </c>
      <c r="F42" s="4" t="s">
        <v>15</v>
      </c>
      <c r="G42" s="5" t="s">
        <v>16</v>
      </c>
      <c r="H42" s="6" t="s">
        <v>17</v>
      </c>
      <c r="I42" s="3" t="s">
        <v>14</v>
      </c>
      <c r="J42" s="4" t="s">
        <v>15</v>
      </c>
      <c r="K42" s="5" t="s">
        <v>16</v>
      </c>
      <c r="L42" s="6" t="s">
        <v>17</v>
      </c>
      <c r="M42" s="3" t="s">
        <v>14</v>
      </c>
      <c r="N42" s="4" t="s">
        <v>15</v>
      </c>
      <c r="O42" s="5" t="s">
        <v>16</v>
      </c>
      <c r="P42" s="6" t="s">
        <v>17</v>
      </c>
      <c r="Q42" s="3" t="s">
        <v>14</v>
      </c>
      <c r="R42" s="4" t="s">
        <v>15</v>
      </c>
      <c r="S42" s="5" t="s">
        <v>16</v>
      </c>
      <c r="T42" s="6" t="s">
        <v>17</v>
      </c>
      <c r="U42" s="3" t="s">
        <v>14</v>
      </c>
      <c r="V42" s="4" t="s">
        <v>15</v>
      </c>
      <c r="W42" s="5" t="s">
        <v>16</v>
      </c>
      <c r="X42" s="6" t="s">
        <v>17</v>
      </c>
      <c r="Y42" s="3" t="s">
        <v>14</v>
      </c>
      <c r="Z42" s="4" t="s">
        <v>15</v>
      </c>
      <c r="AA42" s="5" t="s">
        <v>16</v>
      </c>
      <c r="AB42" s="6" t="s">
        <v>17</v>
      </c>
      <c r="AC42" s="3" t="s">
        <v>14</v>
      </c>
      <c r="AD42" s="4" t="s">
        <v>15</v>
      </c>
      <c r="AE42" s="5" t="s">
        <v>16</v>
      </c>
      <c r="AF42" s="8" t="s">
        <v>23</v>
      </c>
      <c r="AG42" s="7">
        <f>COUNTIF(B42:AF42,"Д")+COUNTIF(B42:AF42,"Н")</f>
        <v>16</v>
      </c>
    </row>
    <row r="44" spans="1:33" ht="20.100000000000001" customHeight="1" x14ac:dyDescent="0.25">
      <c r="A44" s="22" t="s">
        <v>26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4"/>
      <c r="AG44" s="10" t="s">
        <v>10</v>
      </c>
    </row>
    <row r="45" spans="1:33" ht="18" customHeight="1" x14ac:dyDescent="0.25">
      <c r="A45" s="1" t="s">
        <v>11</v>
      </c>
      <c r="B45" s="1">
        <v>1</v>
      </c>
      <c r="C45" s="1">
        <v>2</v>
      </c>
      <c r="D45" s="1">
        <v>3</v>
      </c>
      <c r="E45" s="1">
        <v>4</v>
      </c>
      <c r="F45" s="1">
        <v>5</v>
      </c>
      <c r="G45" s="1">
        <v>6</v>
      </c>
      <c r="H45" s="1">
        <v>7</v>
      </c>
      <c r="I45" s="1">
        <v>8</v>
      </c>
      <c r="J45" s="1">
        <v>9</v>
      </c>
      <c r="K45" s="1">
        <v>10</v>
      </c>
      <c r="L45" s="1">
        <v>11</v>
      </c>
      <c r="M45" s="1">
        <v>12</v>
      </c>
      <c r="N45" s="1">
        <v>13</v>
      </c>
      <c r="O45" s="1">
        <v>14</v>
      </c>
      <c r="P45" s="1">
        <v>15</v>
      </c>
      <c r="Q45" s="1">
        <v>16</v>
      </c>
      <c r="R45" s="1">
        <v>17</v>
      </c>
      <c r="S45" s="1">
        <v>18</v>
      </c>
      <c r="T45" s="1">
        <v>19</v>
      </c>
      <c r="U45" s="1">
        <v>20</v>
      </c>
      <c r="V45" s="1">
        <v>21</v>
      </c>
      <c r="W45" s="1">
        <v>22</v>
      </c>
      <c r="X45" s="1">
        <v>23</v>
      </c>
      <c r="Y45" s="1">
        <v>24</v>
      </c>
      <c r="Z45" s="1">
        <v>25</v>
      </c>
      <c r="AA45" s="1">
        <v>26</v>
      </c>
      <c r="AB45" s="1">
        <v>27</v>
      </c>
      <c r="AC45" s="1">
        <v>28</v>
      </c>
      <c r="AD45" s="1">
        <v>29</v>
      </c>
      <c r="AE45" s="1">
        <v>30</v>
      </c>
      <c r="AF45" s="1">
        <v>31</v>
      </c>
      <c r="AG45" s="1" t="s">
        <v>12</v>
      </c>
    </row>
    <row r="46" spans="1:33" ht="17.100000000000001" customHeight="1" x14ac:dyDescent="0.25">
      <c r="A46" s="2" t="s">
        <v>13</v>
      </c>
      <c r="B46" s="4" t="s">
        <v>15</v>
      </c>
      <c r="C46" s="5" t="s">
        <v>16</v>
      </c>
      <c r="D46" s="6" t="s">
        <v>17</v>
      </c>
      <c r="E46" s="3" t="s">
        <v>14</v>
      </c>
      <c r="F46" s="4" t="s">
        <v>15</v>
      </c>
      <c r="G46" s="5" t="s">
        <v>16</v>
      </c>
      <c r="H46" s="6" t="s">
        <v>17</v>
      </c>
      <c r="I46" s="3" t="s">
        <v>14</v>
      </c>
      <c r="J46" s="4" t="s">
        <v>15</v>
      </c>
      <c r="K46" s="5" t="s">
        <v>16</v>
      </c>
      <c r="L46" s="6" t="s">
        <v>17</v>
      </c>
      <c r="M46" s="3" t="s">
        <v>14</v>
      </c>
      <c r="N46" s="4" t="s">
        <v>15</v>
      </c>
      <c r="O46" s="5" t="s">
        <v>16</v>
      </c>
      <c r="P46" s="6" t="s">
        <v>17</v>
      </c>
      <c r="Q46" s="3" t="s">
        <v>14</v>
      </c>
      <c r="R46" s="4" t="s">
        <v>15</v>
      </c>
      <c r="S46" s="5" t="s">
        <v>16</v>
      </c>
      <c r="T46" s="6" t="s">
        <v>17</v>
      </c>
      <c r="U46" s="3" t="s">
        <v>14</v>
      </c>
      <c r="V46" s="4" t="s">
        <v>15</v>
      </c>
      <c r="W46" s="5" t="s">
        <v>16</v>
      </c>
      <c r="X46" s="6" t="s">
        <v>17</v>
      </c>
      <c r="Y46" s="3" t="s">
        <v>14</v>
      </c>
      <c r="Z46" s="4" t="s">
        <v>15</v>
      </c>
      <c r="AA46" s="5" t="s">
        <v>16</v>
      </c>
      <c r="AB46" s="6" t="s">
        <v>17</v>
      </c>
      <c r="AC46" s="3" t="s">
        <v>14</v>
      </c>
      <c r="AD46" s="4" t="s">
        <v>15</v>
      </c>
      <c r="AE46" s="5" t="s">
        <v>16</v>
      </c>
      <c r="AF46" s="6" t="s">
        <v>17</v>
      </c>
      <c r="AG46" s="7">
        <f>COUNTIF(B46:AF46,"Д")+COUNTIF(B46:AF46,"Н")</f>
        <v>16</v>
      </c>
    </row>
    <row r="47" spans="1:33" ht="17.100000000000001" customHeight="1" x14ac:dyDescent="0.25">
      <c r="A47" s="2" t="s">
        <v>18</v>
      </c>
      <c r="B47" s="5" t="s">
        <v>16</v>
      </c>
      <c r="C47" s="6" t="s">
        <v>17</v>
      </c>
      <c r="D47" s="3" t="s">
        <v>14</v>
      </c>
      <c r="E47" s="4" t="s">
        <v>15</v>
      </c>
      <c r="F47" s="5" t="s">
        <v>16</v>
      </c>
      <c r="G47" s="6" t="s">
        <v>17</v>
      </c>
      <c r="H47" s="3" t="s">
        <v>14</v>
      </c>
      <c r="I47" s="4" t="s">
        <v>15</v>
      </c>
      <c r="J47" s="5" t="s">
        <v>16</v>
      </c>
      <c r="K47" s="6" t="s">
        <v>17</v>
      </c>
      <c r="L47" s="3" t="s">
        <v>14</v>
      </c>
      <c r="M47" s="4" t="s">
        <v>15</v>
      </c>
      <c r="N47" s="5" t="s">
        <v>16</v>
      </c>
      <c r="O47" s="6" t="s">
        <v>17</v>
      </c>
      <c r="P47" s="3" t="s">
        <v>14</v>
      </c>
      <c r="Q47" s="4" t="s">
        <v>15</v>
      </c>
      <c r="R47" s="5" t="s">
        <v>16</v>
      </c>
      <c r="S47" s="6" t="s">
        <v>17</v>
      </c>
      <c r="T47" s="3" t="s">
        <v>14</v>
      </c>
      <c r="U47" s="4" t="s">
        <v>15</v>
      </c>
      <c r="V47" s="5" t="s">
        <v>16</v>
      </c>
      <c r="W47" s="6" t="s">
        <v>17</v>
      </c>
      <c r="X47" s="3" t="s">
        <v>14</v>
      </c>
      <c r="Y47" s="4" t="s">
        <v>15</v>
      </c>
      <c r="Z47" s="5" t="s">
        <v>16</v>
      </c>
      <c r="AA47" s="6" t="s">
        <v>17</v>
      </c>
      <c r="AB47" s="3" t="s">
        <v>14</v>
      </c>
      <c r="AC47" s="4" t="s">
        <v>15</v>
      </c>
      <c r="AD47" s="5" t="s">
        <v>16</v>
      </c>
      <c r="AE47" s="6" t="s">
        <v>17</v>
      </c>
      <c r="AF47" s="3" t="s">
        <v>14</v>
      </c>
      <c r="AG47" s="7">
        <f>COUNTIF(B47:AF47,"Д")+COUNTIF(B47:AF47,"Н")</f>
        <v>15</v>
      </c>
    </row>
    <row r="48" spans="1:33" ht="17.100000000000001" customHeight="1" x14ac:dyDescent="0.25">
      <c r="A48" s="2" t="s">
        <v>19</v>
      </c>
      <c r="B48" s="3" t="s">
        <v>14</v>
      </c>
      <c r="C48" s="4" t="s">
        <v>15</v>
      </c>
      <c r="D48" s="5" t="s">
        <v>16</v>
      </c>
      <c r="E48" s="6" t="s">
        <v>17</v>
      </c>
      <c r="F48" s="3" t="s">
        <v>14</v>
      </c>
      <c r="G48" s="4" t="s">
        <v>15</v>
      </c>
      <c r="H48" s="5" t="s">
        <v>16</v>
      </c>
      <c r="I48" s="6" t="s">
        <v>17</v>
      </c>
      <c r="J48" s="3" t="s">
        <v>14</v>
      </c>
      <c r="K48" s="4" t="s">
        <v>15</v>
      </c>
      <c r="L48" s="5" t="s">
        <v>16</v>
      </c>
      <c r="M48" s="6" t="s">
        <v>17</v>
      </c>
      <c r="N48" s="3" t="s">
        <v>14</v>
      </c>
      <c r="O48" s="4" t="s">
        <v>15</v>
      </c>
      <c r="P48" s="5" t="s">
        <v>16</v>
      </c>
      <c r="Q48" s="6" t="s">
        <v>17</v>
      </c>
      <c r="R48" s="3" t="s">
        <v>14</v>
      </c>
      <c r="S48" s="4" t="s">
        <v>15</v>
      </c>
      <c r="T48" s="5" t="s">
        <v>16</v>
      </c>
      <c r="U48" s="6" t="s">
        <v>17</v>
      </c>
      <c r="V48" s="3" t="s">
        <v>14</v>
      </c>
      <c r="W48" s="4" t="s">
        <v>15</v>
      </c>
      <c r="X48" s="5" t="s">
        <v>16</v>
      </c>
      <c r="Y48" s="6" t="s">
        <v>17</v>
      </c>
      <c r="Z48" s="3" t="s">
        <v>14</v>
      </c>
      <c r="AA48" s="4" t="s">
        <v>15</v>
      </c>
      <c r="AB48" s="5" t="s">
        <v>16</v>
      </c>
      <c r="AC48" s="6" t="s">
        <v>17</v>
      </c>
      <c r="AD48" s="3" t="s">
        <v>14</v>
      </c>
      <c r="AE48" s="4" t="s">
        <v>15</v>
      </c>
      <c r="AF48" s="5" t="s">
        <v>16</v>
      </c>
      <c r="AG48" s="7">
        <f>COUNTIF(B48:AF48,"Д")+COUNTIF(B48:AF48,"Н")</f>
        <v>16</v>
      </c>
    </row>
    <row r="49" spans="1:33" ht="17.100000000000001" customHeight="1" x14ac:dyDescent="0.25">
      <c r="A49" s="2" t="s">
        <v>20</v>
      </c>
      <c r="B49" s="6" t="s">
        <v>17</v>
      </c>
      <c r="C49" s="3" t="s">
        <v>14</v>
      </c>
      <c r="D49" s="4" t="s">
        <v>15</v>
      </c>
      <c r="E49" s="5" t="s">
        <v>16</v>
      </c>
      <c r="F49" s="6" t="s">
        <v>17</v>
      </c>
      <c r="G49" s="3" t="s">
        <v>14</v>
      </c>
      <c r="H49" s="4" t="s">
        <v>15</v>
      </c>
      <c r="I49" s="5" t="s">
        <v>16</v>
      </c>
      <c r="J49" s="6" t="s">
        <v>17</v>
      </c>
      <c r="K49" s="3" t="s">
        <v>14</v>
      </c>
      <c r="L49" s="4" t="s">
        <v>15</v>
      </c>
      <c r="M49" s="5" t="s">
        <v>16</v>
      </c>
      <c r="N49" s="6" t="s">
        <v>17</v>
      </c>
      <c r="O49" s="3" t="s">
        <v>14</v>
      </c>
      <c r="P49" s="4" t="s">
        <v>15</v>
      </c>
      <c r="Q49" s="5" t="s">
        <v>16</v>
      </c>
      <c r="R49" s="6" t="s">
        <v>17</v>
      </c>
      <c r="S49" s="3" t="s">
        <v>14</v>
      </c>
      <c r="T49" s="4" t="s">
        <v>15</v>
      </c>
      <c r="U49" s="5" t="s">
        <v>16</v>
      </c>
      <c r="V49" s="6" t="s">
        <v>17</v>
      </c>
      <c r="W49" s="3" t="s">
        <v>14</v>
      </c>
      <c r="X49" s="4" t="s">
        <v>15</v>
      </c>
      <c r="Y49" s="5" t="s">
        <v>16</v>
      </c>
      <c r="Z49" s="6" t="s">
        <v>17</v>
      </c>
      <c r="AA49" s="3" t="s">
        <v>14</v>
      </c>
      <c r="AB49" s="4" t="s">
        <v>15</v>
      </c>
      <c r="AC49" s="5" t="s">
        <v>16</v>
      </c>
      <c r="AD49" s="6" t="s">
        <v>17</v>
      </c>
      <c r="AE49" s="3" t="s">
        <v>14</v>
      </c>
      <c r="AF49" s="4" t="s">
        <v>15</v>
      </c>
      <c r="AG49" s="7">
        <f>COUNTIF(B49:AF49,"Д")+COUNTIF(B49:AF49,"Н")</f>
        <v>15</v>
      </c>
    </row>
    <row r="52" spans="1:33" x14ac:dyDescent="0.25">
      <c r="A52" s="21" t="s">
        <v>27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</row>
    <row r="53" spans="1:33" x14ac:dyDescent="0.25">
      <c r="A53" s="25" t="s">
        <v>28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</row>
  </sheetData>
  <mergeCells count="17">
    <mergeCell ref="V1:AG1"/>
    <mergeCell ref="A37:AF37"/>
    <mergeCell ref="A23:AF23"/>
    <mergeCell ref="A2:N2"/>
    <mergeCell ref="A6:AG6"/>
    <mergeCell ref="A1:I1"/>
    <mergeCell ref="V3:AG3"/>
    <mergeCell ref="A9:AF9"/>
    <mergeCell ref="A7:AG7"/>
    <mergeCell ref="A30:AF30"/>
    <mergeCell ref="A5:AG5"/>
    <mergeCell ref="A16:AF16"/>
    <mergeCell ref="V2:AG2"/>
    <mergeCell ref="A3:N3"/>
    <mergeCell ref="A44:AF44"/>
    <mergeCell ref="A52:O52"/>
    <mergeCell ref="A53:AG53"/>
  </mergeCells>
  <pageMargins left="0.3" right="0.3" top="0.4" bottom="0.4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45"/>
  <sheetViews>
    <sheetView tabSelected="1" workbookViewId="0">
      <selection activeCell="J11" sqref="J11"/>
    </sheetView>
  </sheetViews>
  <sheetFormatPr defaultRowHeight="15" x14ac:dyDescent="0.25"/>
  <cols>
    <col min="1" max="1" width="3" style="9" bestFit="1" customWidth="1"/>
    <col min="2" max="2" width="14.42578125" style="9" bestFit="1" customWidth="1"/>
    <col min="3" max="3" width="10" style="9" bestFit="1" customWidth="1"/>
    <col min="4" max="4" width="4.7109375" style="9" bestFit="1" customWidth="1"/>
    <col min="5" max="13" width="6.42578125" style="9" bestFit="1" customWidth="1"/>
    <col min="14" max="35" width="7.28515625" style="9" bestFit="1" customWidth="1"/>
    <col min="36" max="36" width="10.140625" style="9" bestFit="1" customWidth="1"/>
    <col min="37" max="37" width="12.85546875" style="9" bestFit="1" customWidth="1"/>
    <col min="38" max="38" width="13.5703125" style="9" bestFit="1" customWidth="1"/>
    <col min="39" max="39" width="9.42578125" style="9" bestFit="1" customWidth="1"/>
  </cols>
  <sheetData>
    <row r="1" spans="1:39" ht="17.25" x14ac:dyDescent="0.25">
      <c r="A1" s="39" t="s">
        <v>29</v>
      </c>
      <c r="B1" s="20"/>
      <c r="C1" s="20"/>
      <c r="D1" s="20"/>
      <c r="E1" s="20"/>
      <c r="F1" s="20"/>
      <c r="G1" s="20"/>
      <c r="H1" s="20"/>
      <c r="I1" s="20"/>
      <c r="J1" s="20"/>
      <c r="K1" s="20"/>
      <c r="AC1" s="40" t="s">
        <v>1</v>
      </c>
      <c r="AD1" s="20"/>
      <c r="AE1" s="20"/>
      <c r="AF1" s="20"/>
      <c r="AG1" s="20"/>
      <c r="AH1" s="20"/>
      <c r="AI1" s="20"/>
      <c r="AJ1" s="20"/>
    </row>
    <row r="2" spans="1:39" x14ac:dyDescent="0.25">
      <c r="A2" s="34" t="s">
        <v>30</v>
      </c>
      <c r="B2" s="20"/>
      <c r="C2" s="20"/>
      <c r="D2" s="20"/>
      <c r="E2" s="20"/>
      <c r="F2" s="20"/>
      <c r="G2" s="20"/>
      <c r="H2" s="20"/>
      <c r="I2" s="20"/>
      <c r="J2" s="20"/>
      <c r="K2" s="20"/>
      <c r="AC2" s="45" t="s">
        <v>3</v>
      </c>
      <c r="AD2" s="20"/>
      <c r="AE2" s="20"/>
      <c r="AF2" s="20"/>
      <c r="AG2" s="20"/>
      <c r="AH2" s="20"/>
      <c r="AI2" s="20"/>
      <c r="AJ2" s="20"/>
    </row>
    <row r="3" spans="1:39" x14ac:dyDescent="0.25">
      <c r="AC3" s="45" t="s">
        <v>31</v>
      </c>
      <c r="AD3" s="20"/>
      <c r="AE3" s="20"/>
      <c r="AF3" s="20"/>
      <c r="AG3" s="20"/>
      <c r="AH3" s="20"/>
      <c r="AI3" s="20"/>
      <c r="AJ3" s="20"/>
    </row>
    <row r="5" spans="1:39" ht="18" customHeight="1" x14ac:dyDescent="0.25">
      <c r="A5" s="37" t="s">
        <v>32</v>
      </c>
      <c r="B5" s="37" t="s">
        <v>33</v>
      </c>
      <c r="C5" s="37" t="s">
        <v>34</v>
      </c>
      <c r="D5" s="37" t="s">
        <v>35</v>
      </c>
      <c r="E5" s="41" t="s">
        <v>36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36" t="s">
        <v>37</v>
      </c>
      <c r="AK5" s="36" t="s">
        <v>38</v>
      </c>
      <c r="AL5" s="36" t="s">
        <v>39</v>
      </c>
      <c r="AM5" s="36" t="s">
        <v>40</v>
      </c>
    </row>
    <row r="6" spans="1:39" ht="18" customHeight="1" x14ac:dyDescent="0.25">
      <c r="A6" s="20"/>
      <c r="B6" s="20"/>
      <c r="C6" s="20"/>
      <c r="D6" s="20"/>
      <c r="E6" s="11">
        <v>1</v>
      </c>
      <c r="F6" s="11">
        <v>2</v>
      </c>
      <c r="G6" s="11">
        <v>3</v>
      </c>
      <c r="H6" s="11">
        <v>4</v>
      </c>
      <c r="I6" s="11">
        <v>5</v>
      </c>
      <c r="J6" s="11">
        <v>6</v>
      </c>
      <c r="K6" s="11">
        <v>7</v>
      </c>
      <c r="L6" s="11">
        <v>8</v>
      </c>
      <c r="M6" s="11">
        <v>9</v>
      </c>
      <c r="N6" s="11">
        <v>10</v>
      </c>
      <c r="O6" s="11">
        <v>11</v>
      </c>
      <c r="P6" s="11">
        <v>12</v>
      </c>
      <c r="Q6" s="11">
        <v>13</v>
      </c>
      <c r="R6" s="11">
        <v>14</v>
      </c>
      <c r="S6" s="11">
        <v>15</v>
      </c>
      <c r="T6" s="11">
        <v>16</v>
      </c>
      <c r="U6" s="11">
        <v>17</v>
      </c>
      <c r="V6" s="11">
        <v>18</v>
      </c>
      <c r="W6" s="11">
        <v>19</v>
      </c>
      <c r="X6" s="11">
        <v>20</v>
      </c>
      <c r="Y6" s="11">
        <v>21</v>
      </c>
      <c r="Z6" s="11">
        <v>22</v>
      </c>
      <c r="AA6" s="11">
        <v>23</v>
      </c>
      <c r="AB6" s="11">
        <v>24</v>
      </c>
      <c r="AC6" s="11">
        <v>25</v>
      </c>
      <c r="AD6" s="11">
        <v>26</v>
      </c>
      <c r="AE6" s="11">
        <v>27</v>
      </c>
      <c r="AF6" s="11">
        <v>28</v>
      </c>
      <c r="AG6" s="11">
        <v>29</v>
      </c>
      <c r="AH6" s="11">
        <v>30</v>
      </c>
      <c r="AI6" s="11">
        <v>31</v>
      </c>
      <c r="AJ6" s="20"/>
      <c r="AK6" s="20"/>
      <c r="AL6" s="20"/>
      <c r="AM6" s="20"/>
    </row>
    <row r="7" spans="1:39" ht="18" customHeight="1" x14ac:dyDescent="0.25">
      <c r="A7" s="31">
        <v>1</v>
      </c>
      <c r="B7" s="30"/>
      <c r="C7" s="30"/>
      <c r="D7" s="12" t="s">
        <v>41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33">
        <f>SUM(E7:AI8)</f>
        <v>0</v>
      </c>
      <c r="AK7" s="29">
        <f>COUNTIF(E7:AI8,12)*12</f>
        <v>0</v>
      </c>
      <c r="AL7" s="29">
        <f>(COUNTIF(E7:AI8,4)*4)+(COUNTIF(E7:AI8,8)*8)</f>
        <v>0</v>
      </c>
      <c r="AM7" s="32">
        <f>ROUND((AJ7)/12,1)</f>
        <v>0</v>
      </c>
    </row>
    <row r="8" spans="1:39" ht="18" customHeight="1" x14ac:dyDescent="0.25">
      <c r="A8" s="20"/>
      <c r="B8" s="20"/>
      <c r="C8" s="20"/>
      <c r="D8" s="15" t="s">
        <v>42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20"/>
      <c r="AK8" s="20"/>
      <c r="AL8" s="20"/>
      <c r="AM8" s="20"/>
    </row>
    <row r="9" spans="1:39" ht="18" customHeight="1" x14ac:dyDescent="0.25">
      <c r="A9" s="31">
        <v>2</v>
      </c>
      <c r="B9" s="30"/>
      <c r="C9" s="30"/>
      <c r="D9" s="12" t="s">
        <v>41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33">
        <f>SUM(E9:AI10)</f>
        <v>0</v>
      </c>
      <c r="AK9" s="29">
        <f>COUNTIF(E9:AI10,12)*12</f>
        <v>0</v>
      </c>
      <c r="AL9" s="29">
        <f>(COUNTIF(E9:AI10,4)*4)+(COUNTIF(E9:AI10,8)*8)</f>
        <v>0</v>
      </c>
      <c r="AM9" s="32">
        <f>ROUND((AJ9)/12,1)</f>
        <v>0</v>
      </c>
    </row>
    <row r="10" spans="1:39" ht="18" customHeight="1" x14ac:dyDescent="0.25">
      <c r="A10" s="20"/>
      <c r="B10" s="20"/>
      <c r="C10" s="20"/>
      <c r="D10" s="15" t="s">
        <v>42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20"/>
      <c r="AK10" s="20"/>
      <c r="AL10" s="20"/>
      <c r="AM10" s="20"/>
    </row>
    <row r="11" spans="1:39" ht="18" customHeight="1" x14ac:dyDescent="0.25">
      <c r="A11" s="31">
        <v>3</v>
      </c>
      <c r="B11" s="30"/>
      <c r="C11" s="30"/>
      <c r="D11" s="12" t="s">
        <v>41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33">
        <f>SUM(E11:AI12)</f>
        <v>0</v>
      </c>
      <c r="AK11" s="29">
        <f>COUNTIF(E11:AI12,12)*12</f>
        <v>0</v>
      </c>
      <c r="AL11" s="29">
        <f>(COUNTIF(E11:AI12,4)*4)+(COUNTIF(E11:AI12,8)*8)</f>
        <v>0</v>
      </c>
      <c r="AM11" s="32">
        <f>ROUND((AJ11)/12,1)</f>
        <v>0</v>
      </c>
    </row>
    <row r="12" spans="1:39" ht="18" customHeight="1" x14ac:dyDescent="0.25">
      <c r="A12" s="20"/>
      <c r="B12" s="20"/>
      <c r="C12" s="20"/>
      <c r="D12" s="15" t="s">
        <v>42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20"/>
      <c r="AK12" s="20"/>
      <c r="AL12" s="20"/>
      <c r="AM12" s="20"/>
    </row>
    <row r="13" spans="1:39" ht="18" customHeight="1" x14ac:dyDescent="0.25">
      <c r="A13" s="31">
        <v>4</v>
      </c>
      <c r="B13" s="30"/>
      <c r="C13" s="30"/>
      <c r="D13" s="12" t="s">
        <v>41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33">
        <f>SUM(E13:AI14)</f>
        <v>0</v>
      </c>
      <c r="AK13" s="29">
        <f>COUNTIF(E13:AI14,12)*12</f>
        <v>0</v>
      </c>
      <c r="AL13" s="29">
        <f>(COUNTIF(E13:AI14,4)*4)+(COUNTIF(E13:AI14,8)*8)</f>
        <v>0</v>
      </c>
      <c r="AM13" s="32">
        <f>ROUND((AJ13)/12,1)</f>
        <v>0</v>
      </c>
    </row>
    <row r="14" spans="1:39" ht="18" customHeight="1" x14ac:dyDescent="0.25">
      <c r="A14" s="20"/>
      <c r="B14" s="20"/>
      <c r="C14" s="20"/>
      <c r="D14" s="15" t="s">
        <v>42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20"/>
      <c r="AK14" s="20"/>
      <c r="AL14" s="20"/>
      <c r="AM14" s="20"/>
    </row>
    <row r="15" spans="1:39" ht="18" customHeight="1" x14ac:dyDescent="0.25">
      <c r="A15" s="31">
        <v>5</v>
      </c>
      <c r="B15" s="30"/>
      <c r="C15" s="30"/>
      <c r="D15" s="12" t="s">
        <v>41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33">
        <f>SUM(E15:AI16)</f>
        <v>0</v>
      </c>
      <c r="AK15" s="29">
        <f>COUNTIF(E15:AI16,12)*12</f>
        <v>0</v>
      </c>
      <c r="AL15" s="29">
        <f>(COUNTIF(E15:AI16,4)*4)+(COUNTIF(E15:AI16,8)*8)</f>
        <v>0</v>
      </c>
      <c r="AM15" s="32">
        <f>ROUND((AJ15)/12,1)</f>
        <v>0</v>
      </c>
    </row>
    <row r="16" spans="1:39" ht="18" customHeight="1" x14ac:dyDescent="0.25">
      <c r="A16" s="20"/>
      <c r="B16" s="20"/>
      <c r="C16" s="20"/>
      <c r="D16" s="15" t="s">
        <v>42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20"/>
      <c r="AK16" s="20"/>
      <c r="AL16" s="20"/>
      <c r="AM16" s="20"/>
    </row>
    <row r="17" spans="1:39" ht="18" customHeight="1" x14ac:dyDescent="0.25">
      <c r="A17" s="31">
        <v>6</v>
      </c>
      <c r="B17" s="30"/>
      <c r="C17" s="30"/>
      <c r="D17" s="12" t="s">
        <v>41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33">
        <f>SUM(E17:AI18)</f>
        <v>0</v>
      </c>
      <c r="AK17" s="29">
        <f>COUNTIF(E17:AI18,12)*12</f>
        <v>0</v>
      </c>
      <c r="AL17" s="29">
        <f>(COUNTIF(E17:AI18,4)*4)+(COUNTIF(E17:AI18,8)*8)</f>
        <v>0</v>
      </c>
      <c r="AM17" s="32">
        <f>ROUND((AJ17)/12,1)</f>
        <v>0</v>
      </c>
    </row>
    <row r="18" spans="1:39" ht="18" customHeight="1" x14ac:dyDescent="0.25">
      <c r="A18" s="20"/>
      <c r="B18" s="20"/>
      <c r="C18" s="20"/>
      <c r="D18" s="15" t="s">
        <v>42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20"/>
      <c r="AK18" s="20"/>
      <c r="AL18" s="20"/>
      <c r="AM18" s="20"/>
    </row>
    <row r="19" spans="1:39" ht="18" customHeight="1" x14ac:dyDescent="0.25">
      <c r="A19" s="31">
        <v>7</v>
      </c>
      <c r="B19" s="30"/>
      <c r="C19" s="30"/>
      <c r="D19" s="12" t="s">
        <v>41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33">
        <f>SUM(E19:AI20)</f>
        <v>0</v>
      </c>
      <c r="AK19" s="29">
        <f>COUNTIF(E19:AI20,12)*12</f>
        <v>0</v>
      </c>
      <c r="AL19" s="29">
        <f>(COUNTIF(E19:AI20,4)*4)+(COUNTIF(E19:AI20,8)*8)</f>
        <v>0</v>
      </c>
      <c r="AM19" s="32">
        <f>ROUND((AJ19)/12,1)</f>
        <v>0</v>
      </c>
    </row>
    <row r="20" spans="1:39" ht="18" customHeight="1" x14ac:dyDescent="0.25">
      <c r="A20" s="20"/>
      <c r="B20" s="20"/>
      <c r="C20" s="20"/>
      <c r="D20" s="15" t="s">
        <v>42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20"/>
      <c r="AK20" s="20"/>
      <c r="AL20" s="20"/>
      <c r="AM20" s="20"/>
    </row>
    <row r="21" spans="1:39" ht="18" customHeight="1" x14ac:dyDescent="0.25">
      <c r="A21" s="31">
        <v>8</v>
      </c>
      <c r="B21" s="30"/>
      <c r="C21" s="30"/>
      <c r="D21" s="12" t="s">
        <v>41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33">
        <f>SUM(E21:AI22)</f>
        <v>0</v>
      </c>
      <c r="AK21" s="29">
        <f>COUNTIF(E21:AI22,12)*12</f>
        <v>0</v>
      </c>
      <c r="AL21" s="29">
        <f>(COUNTIF(E21:AI22,4)*4)+(COUNTIF(E21:AI22,8)*8)</f>
        <v>0</v>
      </c>
      <c r="AM21" s="32">
        <f>ROUND((AJ21)/12,1)</f>
        <v>0</v>
      </c>
    </row>
    <row r="22" spans="1:39" ht="18" customHeight="1" x14ac:dyDescent="0.25">
      <c r="A22" s="20"/>
      <c r="B22" s="20"/>
      <c r="C22" s="20"/>
      <c r="D22" s="15" t="s">
        <v>42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20"/>
      <c r="AK22" s="20"/>
      <c r="AL22" s="20"/>
      <c r="AM22" s="20"/>
    </row>
    <row r="23" spans="1:39" ht="18" customHeight="1" x14ac:dyDescent="0.25">
      <c r="A23" s="31">
        <v>9</v>
      </c>
      <c r="B23" s="30"/>
      <c r="C23" s="30"/>
      <c r="D23" s="12" t="s">
        <v>41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33">
        <f>SUM(E23:AI24)</f>
        <v>0</v>
      </c>
      <c r="AK23" s="29">
        <f>COUNTIF(E23:AI24,12)*12</f>
        <v>0</v>
      </c>
      <c r="AL23" s="29">
        <f>(COUNTIF(E23:AI24,4)*4)+(COUNTIF(E23:AI24,8)*8)</f>
        <v>0</v>
      </c>
      <c r="AM23" s="32">
        <f>ROUND((AJ23)/12,1)</f>
        <v>0</v>
      </c>
    </row>
    <row r="24" spans="1:39" ht="18" customHeight="1" x14ac:dyDescent="0.25">
      <c r="A24" s="20"/>
      <c r="B24" s="20"/>
      <c r="C24" s="20"/>
      <c r="D24" s="15" t="s">
        <v>42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20"/>
      <c r="AK24" s="20"/>
      <c r="AL24" s="20"/>
      <c r="AM24" s="20"/>
    </row>
    <row r="25" spans="1:39" ht="18" customHeight="1" x14ac:dyDescent="0.25">
      <c r="A25" s="31">
        <v>10</v>
      </c>
      <c r="B25" s="30"/>
      <c r="C25" s="30"/>
      <c r="D25" s="12" t="s">
        <v>41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33">
        <f>SUM(E25:AI26)</f>
        <v>0</v>
      </c>
      <c r="AK25" s="29">
        <f>COUNTIF(E25:AI26,12)*12</f>
        <v>0</v>
      </c>
      <c r="AL25" s="29">
        <f>(COUNTIF(E25:AI26,4)*4)+(COUNTIF(E25:AI26,8)*8)</f>
        <v>0</v>
      </c>
      <c r="AM25" s="32">
        <f>ROUND((AJ25)/12,1)</f>
        <v>0</v>
      </c>
    </row>
    <row r="26" spans="1:39" ht="18" customHeight="1" x14ac:dyDescent="0.25">
      <c r="A26" s="20"/>
      <c r="B26" s="20"/>
      <c r="C26" s="20"/>
      <c r="D26" s="15" t="s">
        <v>42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20"/>
      <c r="AK26" s="20"/>
      <c r="AL26" s="20"/>
      <c r="AM26" s="20"/>
    </row>
    <row r="27" spans="1:39" ht="18" customHeight="1" x14ac:dyDescent="0.25">
      <c r="A27" s="31">
        <v>11</v>
      </c>
      <c r="B27" s="30"/>
      <c r="C27" s="30"/>
      <c r="D27" s="12" t="s">
        <v>41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33">
        <f>SUM(E27:AI28)</f>
        <v>0</v>
      </c>
      <c r="AK27" s="29">
        <f>COUNTIF(E27:AI28,12)*12</f>
        <v>0</v>
      </c>
      <c r="AL27" s="29">
        <f>(COUNTIF(E27:AI28,4)*4)+(COUNTIF(E27:AI28,8)*8)</f>
        <v>0</v>
      </c>
      <c r="AM27" s="32">
        <f>ROUND((AJ27)/12,1)</f>
        <v>0</v>
      </c>
    </row>
    <row r="28" spans="1:39" ht="18" customHeight="1" x14ac:dyDescent="0.25">
      <c r="A28" s="20"/>
      <c r="B28" s="20"/>
      <c r="C28" s="20"/>
      <c r="D28" s="15" t="s">
        <v>42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20"/>
      <c r="AK28" s="20"/>
      <c r="AL28" s="20"/>
      <c r="AM28" s="20"/>
    </row>
    <row r="29" spans="1:39" ht="18" customHeight="1" x14ac:dyDescent="0.25">
      <c r="A29" s="31">
        <v>12</v>
      </c>
      <c r="B29" s="30"/>
      <c r="C29" s="30"/>
      <c r="D29" s="12" t="s">
        <v>41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33">
        <f>SUM(E29:AI30)</f>
        <v>0</v>
      </c>
      <c r="AK29" s="29">
        <f>COUNTIF(E29:AI30,12)*12</f>
        <v>0</v>
      </c>
      <c r="AL29" s="29">
        <f>(COUNTIF(E29:AI30,4)*4)+(COUNTIF(E29:AI30,8)*8)</f>
        <v>0</v>
      </c>
      <c r="AM29" s="32">
        <f>ROUND((AJ29)/12,1)</f>
        <v>0</v>
      </c>
    </row>
    <row r="30" spans="1:39" ht="18" customHeight="1" x14ac:dyDescent="0.25">
      <c r="A30" s="20"/>
      <c r="B30" s="20"/>
      <c r="C30" s="20"/>
      <c r="D30" s="15" t="s">
        <v>42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20"/>
      <c r="AK30" s="20"/>
      <c r="AL30" s="20"/>
      <c r="AM30" s="20"/>
    </row>
    <row r="31" spans="1:39" ht="18" customHeight="1" x14ac:dyDescent="0.25">
      <c r="A31" s="31">
        <v>13</v>
      </c>
      <c r="B31" s="30"/>
      <c r="C31" s="30"/>
      <c r="D31" s="12" t="s">
        <v>41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33">
        <f>SUM(E31:AI32)</f>
        <v>0</v>
      </c>
      <c r="AK31" s="29">
        <f>COUNTIF(E31:AI32,12)*12</f>
        <v>0</v>
      </c>
      <c r="AL31" s="29">
        <f>(COUNTIF(E31:AI32,4)*4)+(COUNTIF(E31:AI32,8)*8)</f>
        <v>0</v>
      </c>
      <c r="AM31" s="32">
        <f>ROUND((AJ31)/12,1)</f>
        <v>0</v>
      </c>
    </row>
    <row r="32" spans="1:39" ht="18" customHeight="1" x14ac:dyDescent="0.25">
      <c r="A32" s="20"/>
      <c r="B32" s="20"/>
      <c r="C32" s="20"/>
      <c r="D32" s="15" t="s">
        <v>42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20"/>
      <c r="AK32" s="20"/>
      <c r="AL32" s="20"/>
      <c r="AM32" s="20"/>
    </row>
    <row r="33" spans="1:39" ht="18" customHeight="1" x14ac:dyDescent="0.25">
      <c r="A33" s="31">
        <v>14</v>
      </c>
      <c r="B33" s="30"/>
      <c r="C33" s="30"/>
      <c r="D33" s="12" t="s">
        <v>41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33">
        <f>SUM(E33:AI34)</f>
        <v>0</v>
      </c>
      <c r="AK33" s="29">
        <f>COUNTIF(E33:AI34,12)*12</f>
        <v>0</v>
      </c>
      <c r="AL33" s="29">
        <f>(COUNTIF(E33:AI34,4)*4)+(COUNTIF(E33:AI34,8)*8)</f>
        <v>0</v>
      </c>
      <c r="AM33" s="32">
        <f>ROUND((AJ33)/12,1)</f>
        <v>0</v>
      </c>
    </row>
    <row r="34" spans="1:39" ht="18" customHeight="1" x14ac:dyDescent="0.25">
      <c r="A34" s="20"/>
      <c r="B34" s="20"/>
      <c r="C34" s="20"/>
      <c r="D34" s="15" t="s">
        <v>42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20"/>
      <c r="AK34" s="20"/>
      <c r="AL34" s="20"/>
      <c r="AM34" s="20"/>
    </row>
    <row r="35" spans="1:39" ht="18" customHeight="1" x14ac:dyDescent="0.25">
      <c r="A35" s="31">
        <v>15</v>
      </c>
      <c r="B35" s="30"/>
      <c r="C35" s="30"/>
      <c r="D35" s="12" t="s">
        <v>41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33">
        <f>SUM(E35:AI36)</f>
        <v>0</v>
      </c>
      <c r="AK35" s="29">
        <f>COUNTIF(E35:AI36,12)*12</f>
        <v>0</v>
      </c>
      <c r="AL35" s="29">
        <f>(COUNTIF(E35:AI36,4)*4)+(COUNTIF(E35:AI36,8)*8)</f>
        <v>0</v>
      </c>
      <c r="AM35" s="32">
        <f>ROUND((AJ35)/12,1)</f>
        <v>0</v>
      </c>
    </row>
    <row r="36" spans="1:39" ht="18" customHeight="1" x14ac:dyDescent="0.25">
      <c r="A36" s="20"/>
      <c r="B36" s="20"/>
      <c r="C36" s="20"/>
      <c r="D36" s="15" t="s">
        <v>42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20"/>
      <c r="AK36" s="20"/>
      <c r="AL36" s="20"/>
      <c r="AM36" s="20"/>
    </row>
    <row r="37" spans="1:39" ht="21.95" customHeight="1" x14ac:dyDescent="0.25">
      <c r="A37" s="42" t="s">
        <v>43</v>
      </c>
      <c r="B37" s="43"/>
      <c r="C37" s="43"/>
      <c r="D37" s="43"/>
      <c r="E37" s="16">
        <f t="shared" ref="E37:AM37" si="0">SUM(E7:E36)</f>
        <v>0</v>
      </c>
      <c r="F37" s="16">
        <f t="shared" si="0"/>
        <v>0</v>
      </c>
      <c r="G37" s="16">
        <f t="shared" si="0"/>
        <v>0</v>
      </c>
      <c r="H37" s="16">
        <f t="shared" si="0"/>
        <v>0</v>
      </c>
      <c r="I37" s="16">
        <f t="shared" si="0"/>
        <v>0</v>
      </c>
      <c r="J37" s="16">
        <f t="shared" si="0"/>
        <v>0</v>
      </c>
      <c r="K37" s="16">
        <f t="shared" si="0"/>
        <v>0</v>
      </c>
      <c r="L37" s="16">
        <f t="shared" si="0"/>
        <v>0</v>
      </c>
      <c r="M37" s="16">
        <f t="shared" si="0"/>
        <v>0</v>
      </c>
      <c r="N37" s="16">
        <f t="shared" si="0"/>
        <v>0</v>
      </c>
      <c r="O37" s="16">
        <f t="shared" si="0"/>
        <v>0</v>
      </c>
      <c r="P37" s="16">
        <f t="shared" si="0"/>
        <v>0</v>
      </c>
      <c r="Q37" s="16">
        <f t="shared" si="0"/>
        <v>0</v>
      </c>
      <c r="R37" s="16">
        <f t="shared" si="0"/>
        <v>0</v>
      </c>
      <c r="S37" s="16">
        <f t="shared" si="0"/>
        <v>0</v>
      </c>
      <c r="T37" s="16">
        <f t="shared" si="0"/>
        <v>0</v>
      </c>
      <c r="U37" s="16">
        <f t="shared" si="0"/>
        <v>0</v>
      </c>
      <c r="V37" s="16">
        <f t="shared" si="0"/>
        <v>0</v>
      </c>
      <c r="W37" s="16">
        <f t="shared" si="0"/>
        <v>0</v>
      </c>
      <c r="X37" s="16">
        <f t="shared" si="0"/>
        <v>0</v>
      </c>
      <c r="Y37" s="16">
        <f t="shared" si="0"/>
        <v>0</v>
      </c>
      <c r="Z37" s="16">
        <f t="shared" si="0"/>
        <v>0</v>
      </c>
      <c r="AA37" s="16">
        <f t="shared" si="0"/>
        <v>0</v>
      </c>
      <c r="AB37" s="16">
        <f t="shared" si="0"/>
        <v>0</v>
      </c>
      <c r="AC37" s="16">
        <f t="shared" si="0"/>
        <v>0</v>
      </c>
      <c r="AD37" s="16">
        <f t="shared" si="0"/>
        <v>0</v>
      </c>
      <c r="AE37" s="16">
        <f t="shared" si="0"/>
        <v>0</v>
      </c>
      <c r="AF37" s="16">
        <f t="shared" si="0"/>
        <v>0</v>
      </c>
      <c r="AG37" s="16">
        <f t="shared" si="0"/>
        <v>0</v>
      </c>
      <c r="AH37" s="16">
        <f t="shared" si="0"/>
        <v>0</v>
      </c>
      <c r="AI37" s="16">
        <f t="shared" si="0"/>
        <v>0</v>
      </c>
      <c r="AJ37" s="17">
        <f t="shared" si="0"/>
        <v>0</v>
      </c>
      <c r="AK37" s="17">
        <f t="shared" si="0"/>
        <v>0</v>
      </c>
      <c r="AL37" s="17">
        <f t="shared" si="0"/>
        <v>0</v>
      </c>
      <c r="AM37" s="18">
        <f t="shared" si="0"/>
        <v>0</v>
      </c>
    </row>
    <row r="39" spans="1:39" x14ac:dyDescent="0.25">
      <c r="A39" s="38" t="s">
        <v>44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spans="1:39" x14ac:dyDescent="0.25">
      <c r="A40" s="35" t="s">
        <v>45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39" x14ac:dyDescent="0.25">
      <c r="A41" s="35" t="s">
        <v>46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39" x14ac:dyDescent="0.25">
      <c r="A42" s="35" t="s">
        <v>47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39" x14ac:dyDescent="0.25">
      <c r="A43" s="35" t="s">
        <v>48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5" spans="1:39" x14ac:dyDescent="0.25">
      <c r="A45" s="44" t="s">
        <v>49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V45" s="44" t="s">
        <v>50</v>
      </c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</row>
  </sheetData>
  <mergeCells count="127">
    <mergeCell ref="AM31:AM32"/>
    <mergeCell ref="AL17:AL18"/>
    <mergeCell ref="A29:A30"/>
    <mergeCell ref="AM25:AM26"/>
    <mergeCell ref="AL23:AL24"/>
    <mergeCell ref="B5:B6"/>
    <mergeCell ref="D5:D6"/>
    <mergeCell ref="C13:C14"/>
    <mergeCell ref="AK31:AK32"/>
    <mergeCell ref="AK23:AK24"/>
    <mergeCell ref="AJ9:AJ10"/>
    <mergeCell ref="AL9:AL10"/>
    <mergeCell ref="A15:A16"/>
    <mergeCell ref="AK13:AK14"/>
    <mergeCell ref="C15:C16"/>
    <mergeCell ref="AK7:AK8"/>
    <mergeCell ref="A41:AB41"/>
    <mergeCell ref="AJ25:AJ26"/>
    <mergeCell ref="A45:O45"/>
    <mergeCell ref="AL19:AL20"/>
    <mergeCell ref="A31:A32"/>
    <mergeCell ref="AC2:AJ2"/>
    <mergeCell ref="B21:B22"/>
    <mergeCell ref="AK19:AK20"/>
    <mergeCell ref="C33:C34"/>
    <mergeCell ref="A42:AB42"/>
    <mergeCell ref="AJ11:AJ12"/>
    <mergeCell ref="AK33:AK34"/>
    <mergeCell ref="C35:C36"/>
    <mergeCell ref="C9:C10"/>
    <mergeCell ref="AC3:AJ3"/>
    <mergeCell ref="AK5:AK6"/>
    <mergeCell ref="A25:A26"/>
    <mergeCell ref="C25:C26"/>
    <mergeCell ref="V45:AM45"/>
    <mergeCell ref="C11:C12"/>
    <mergeCell ref="AM11:AM12"/>
    <mergeCell ref="B19:B20"/>
    <mergeCell ref="A5:A6"/>
    <mergeCell ref="AL21:AL22"/>
    <mergeCell ref="A39:T39"/>
    <mergeCell ref="AK9:AK10"/>
    <mergeCell ref="AM9:AM10"/>
    <mergeCell ref="AJ7:AJ8"/>
    <mergeCell ref="AL7:AL8"/>
    <mergeCell ref="A1:K1"/>
    <mergeCell ref="AK15:AK16"/>
    <mergeCell ref="AJ23:AJ24"/>
    <mergeCell ref="AK29:AK30"/>
    <mergeCell ref="C21:C22"/>
    <mergeCell ref="B9:B10"/>
    <mergeCell ref="AM15:AM16"/>
    <mergeCell ref="C23:C24"/>
    <mergeCell ref="A13:A14"/>
    <mergeCell ref="C7:C8"/>
    <mergeCell ref="AC1:AJ1"/>
    <mergeCell ref="E5:AI5"/>
    <mergeCell ref="B33:B34"/>
    <mergeCell ref="AJ33:AJ34"/>
    <mergeCell ref="AL33:AL34"/>
    <mergeCell ref="A37:D37"/>
    <mergeCell ref="AJ35:AJ36"/>
    <mergeCell ref="AL35:AL36"/>
    <mergeCell ref="AM5:AM6"/>
    <mergeCell ref="A43:AB43"/>
    <mergeCell ref="AL25:AL26"/>
    <mergeCell ref="AK11:AK12"/>
    <mergeCell ref="C31:C32"/>
    <mergeCell ref="A40:AB40"/>
    <mergeCell ref="A21:A22"/>
    <mergeCell ref="AJ5:AJ6"/>
    <mergeCell ref="AL5:AL6"/>
    <mergeCell ref="A17:A18"/>
    <mergeCell ref="C17:C18"/>
    <mergeCell ref="AK27:AK28"/>
    <mergeCell ref="A23:A24"/>
    <mergeCell ref="A19:A20"/>
    <mergeCell ref="AK17:AK18"/>
    <mergeCell ref="C19:C20"/>
    <mergeCell ref="A9:A10"/>
    <mergeCell ref="AJ29:AJ30"/>
    <mergeCell ref="AL29:AL30"/>
    <mergeCell ref="B7:B8"/>
    <mergeCell ref="AJ21:AJ22"/>
    <mergeCell ref="AL15:AL16"/>
    <mergeCell ref="A11:A12"/>
    <mergeCell ref="C5:C6"/>
    <mergeCell ref="B31:B32"/>
    <mergeCell ref="AK35:AK36"/>
    <mergeCell ref="A33:A34"/>
    <mergeCell ref="C27:C28"/>
    <mergeCell ref="A2:K2"/>
    <mergeCell ref="A35:A36"/>
    <mergeCell ref="B25:B26"/>
    <mergeCell ref="AM33:AM34"/>
    <mergeCell ref="B35:B36"/>
    <mergeCell ref="B27:B28"/>
    <mergeCell ref="AL27:AL28"/>
    <mergeCell ref="AM13:AM14"/>
    <mergeCell ref="B17:B18"/>
    <mergeCell ref="AJ17:AJ18"/>
    <mergeCell ref="B11:B12"/>
    <mergeCell ref="AK25:AK26"/>
    <mergeCell ref="AM19:AM20"/>
    <mergeCell ref="AJ19:AJ20"/>
    <mergeCell ref="AM27:AM28"/>
    <mergeCell ref="AM21:AM22"/>
    <mergeCell ref="AM17:AM18"/>
    <mergeCell ref="AM23:AM24"/>
    <mergeCell ref="AJ31:AJ32"/>
    <mergeCell ref="AL31:AL32"/>
    <mergeCell ref="AM35:AM36"/>
    <mergeCell ref="AL11:AL12"/>
    <mergeCell ref="C29:C30"/>
    <mergeCell ref="A7:A8"/>
    <mergeCell ref="AM29:AM30"/>
    <mergeCell ref="AJ27:AJ28"/>
    <mergeCell ref="B29:B30"/>
    <mergeCell ref="B23:B24"/>
    <mergeCell ref="A27:A28"/>
    <mergeCell ref="B13:B14"/>
    <mergeCell ref="AJ13:AJ14"/>
    <mergeCell ref="AL13:AL14"/>
    <mergeCell ref="AK21:AK22"/>
    <mergeCell ref="AM7:AM8"/>
    <mergeCell ref="B15:B16"/>
    <mergeCell ref="AJ15:AJ16"/>
  </mergeCells>
  <pageMargins left="0.25" right="0.25" top="0.35" bottom="0.35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45"/>
  <sheetViews>
    <sheetView workbookViewId="0">
      <selection activeCell="F13" sqref="F13"/>
    </sheetView>
  </sheetViews>
  <sheetFormatPr defaultRowHeight="15" x14ac:dyDescent="0.25"/>
  <cols>
    <col min="1" max="1" width="3" style="9" bestFit="1" customWidth="1"/>
    <col min="2" max="2" width="14.42578125" style="9" bestFit="1" customWidth="1"/>
    <col min="3" max="3" width="10" style="9" bestFit="1" customWidth="1"/>
    <col min="4" max="4" width="4.7109375" style="9" bestFit="1" customWidth="1"/>
    <col min="5" max="13" width="6.42578125" style="9" bestFit="1" customWidth="1"/>
    <col min="14" max="35" width="7.28515625" style="9" bestFit="1" customWidth="1"/>
    <col min="36" max="36" width="10.140625" style="9" bestFit="1" customWidth="1"/>
    <col min="37" max="37" width="12.85546875" style="9" bestFit="1" customWidth="1"/>
    <col min="38" max="38" width="13.5703125" style="9" bestFit="1" customWidth="1"/>
    <col min="39" max="39" width="9.42578125" style="9" bestFit="1" customWidth="1"/>
  </cols>
  <sheetData>
    <row r="1" spans="1:39" ht="17.25" x14ac:dyDescent="0.25">
      <c r="A1" s="39" t="s">
        <v>51</v>
      </c>
      <c r="B1" s="20"/>
      <c r="C1" s="20"/>
      <c r="D1" s="20"/>
      <c r="E1" s="20"/>
      <c r="F1" s="20"/>
      <c r="G1" s="20"/>
      <c r="H1" s="20"/>
      <c r="I1" s="20"/>
      <c r="J1" s="20"/>
      <c r="K1" s="20"/>
      <c r="AC1" s="40" t="s">
        <v>1</v>
      </c>
      <c r="AD1" s="20"/>
      <c r="AE1" s="20"/>
      <c r="AF1" s="20"/>
      <c r="AG1" s="20"/>
      <c r="AH1" s="20"/>
      <c r="AI1" s="20"/>
      <c r="AJ1" s="20"/>
    </row>
    <row r="2" spans="1:39" x14ac:dyDescent="0.25">
      <c r="A2" s="34" t="s">
        <v>30</v>
      </c>
      <c r="B2" s="20"/>
      <c r="C2" s="20"/>
      <c r="D2" s="20"/>
      <c r="E2" s="20"/>
      <c r="F2" s="20"/>
      <c r="G2" s="20"/>
      <c r="H2" s="20"/>
      <c r="I2" s="20"/>
      <c r="J2" s="20"/>
      <c r="K2" s="20"/>
      <c r="AC2" s="45" t="s">
        <v>3</v>
      </c>
      <c r="AD2" s="20"/>
      <c r="AE2" s="20"/>
      <c r="AF2" s="20"/>
      <c r="AG2" s="20"/>
      <c r="AH2" s="20"/>
      <c r="AI2" s="20"/>
      <c r="AJ2" s="20"/>
    </row>
    <row r="3" spans="1:39" x14ac:dyDescent="0.25">
      <c r="AC3" s="45" t="s">
        <v>31</v>
      </c>
      <c r="AD3" s="20"/>
      <c r="AE3" s="20"/>
      <c r="AF3" s="20"/>
      <c r="AG3" s="20"/>
      <c r="AH3" s="20"/>
      <c r="AI3" s="20"/>
      <c r="AJ3" s="20"/>
    </row>
    <row r="5" spans="1:39" ht="18" customHeight="1" x14ac:dyDescent="0.25">
      <c r="A5" s="37" t="s">
        <v>32</v>
      </c>
      <c r="B5" s="37" t="s">
        <v>33</v>
      </c>
      <c r="C5" s="37" t="s">
        <v>34</v>
      </c>
      <c r="D5" s="37" t="s">
        <v>35</v>
      </c>
      <c r="E5" s="41" t="s">
        <v>36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36" t="s">
        <v>37</v>
      </c>
      <c r="AK5" s="36" t="s">
        <v>38</v>
      </c>
      <c r="AL5" s="36" t="s">
        <v>39</v>
      </c>
      <c r="AM5" s="36" t="s">
        <v>40</v>
      </c>
    </row>
    <row r="6" spans="1:39" ht="18" customHeight="1" x14ac:dyDescent="0.25">
      <c r="A6" s="20"/>
      <c r="B6" s="20"/>
      <c r="C6" s="20"/>
      <c r="D6" s="20"/>
      <c r="E6" s="11">
        <v>1</v>
      </c>
      <c r="F6" s="11">
        <v>2</v>
      </c>
      <c r="G6" s="11">
        <v>3</v>
      </c>
      <c r="H6" s="11">
        <v>4</v>
      </c>
      <c r="I6" s="11">
        <v>5</v>
      </c>
      <c r="J6" s="11">
        <v>6</v>
      </c>
      <c r="K6" s="11">
        <v>7</v>
      </c>
      <c r="L6" s="11">
        <v>8</v>
      </c>
      <c r="M6" s="11">
        <v>9</v>
      </c>
      <c r="N6" s="11">
        <v>10</v>
      </c>
      <c r="O6" s="11">
        <v>11</v>
      </c>
      <c r="P6" s="11">
        <v>12</v>
      </c>
      <c r="Q6" s="11">
        <v>13</v>
      </c>
      <c r="R6" s="11">
        <v>14</v>
      </c>
      <c r="S6" s="11">
        <v>15</v>
      </c>
      <c r="T6" s="11">
        <v>16</v>
      </c>
      <c r="U6" s="11">
        <v>17</v>
      </c>
      <c r="V6" s="11">
        <v>18</v>
      </c>
      <c r="W6" s="11">
        <v>19</v>
      </c>
      <c r="X6" s="11">
        <v>20</v>
      </c>
      <c r="Y6" s="11">
        <v>21</v>
      </c>
      <c r="Z6" s="11">
        <v>22</v>
      </c>
      <c r="AA6" s="11">
        <v>23</v>
      </c>
      <c r="AB6" s="11">
        <v>24</v>
      </c>
      <c r="AC6" s="11">
        <v>25</v>
      </c>
      <c r="AD6" s="11">
        <v>26</v>
      </c>
      <c r="AE6" s="11">
        <v>27</v>
      </c>
      <c r="AF6" s="11">
        <v>28</v>
      </c>
      <c r="AG6" s="11">
        <v>29</v>
      </c>
      <c r="AH6" s="11">
        <v>30</v>
      </c>
      <c r="AI6" s="11">
        <v>31</v>
      </c>
      <c r="AJ6" s="20"/>
      <c r="AK6" s="20"/>
      <c r="AL6" s="20"/>
      <c r="AM6" s="20"/>
    </row>
    <row r="7" spans="1:39" ht="18" customHeight="1" x14ac:dyDescent="0.25">
      <c r="A7" s="31">
        <v>1</v>
      </c>
      <c r="B7" s="30"/>
      <c r="C7" s="30"/>
      <c r="D7" s="12" t="s">
        <v>41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33">
        <f>SUM(E7:AI8)</f>
        <v>0</v>
      </c>
      <c r="AK7" s="29">
        <f>COUNTIF(E7:AI8,12)*12</f>
        <v>0</v>
      </c>
      <c r="AL7" s="29">
        <f>(COUNTIF(E7:AI8,4)*4)+(COUNTIF(E7:AI8,8)*8)</f>
        <v>0</v>
      </c>
      <c r="AM7" s="32">
        <f>ROUND((AJ7)/12,1)</f>
        <v>0</v>
      </c>
    </row>
    <row r="8" spans="1:39" ht="18" customHeight="1" x14ac:dyDescent="0.25">
      <c r="A8" s="20"/>
      <c r="B8" s="20"/>
      <c r="C8" s="20"/>
      <c r="D8" s="15" t="s">
        <v>42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20"/>
      <c r="AK8" s="20"/>
      <c r="AL8" s="20"/>
      <c r="AM8" s="20"/>
    </row>
    <row r="9" spans="1:39" ht="18" customHeight="1" x14ac:dyDescent="0.25">
      <c r="A9" s="31">
        <v>2</v>
      </c>
      <c r="B9" s="30"/>
      <c r="C9" s="30"/>
      <c r="D9" s="12" t="s">
        <v>41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33">
        <f>SUM(E9:AI10)</f>
        <v>0</v>
      </c>
      <c r="AK9" s="29">
        <f>COUNTIF(E9:AI10,12)*12</f>
        <v>0</v>
      </c>
      <c r="AL9" s="29">
        <f>(COUNTIF(E9:AI10,4)*4)+(COUNTIF(E9:AI10,8)*8)</f>
        <v>0</v>
      </c>
      <c r="AM9" s="32">
        <f>ROUND((AJ9)/12,1)</f>
        <v>0</v>
      </c>
    </row>
    <row r="10" spans="1:39" ht="18" customHeight="1" x14ac:dyDescent="0.25">
      <c r="A10" s="20"/>
      <c r="B10" s="20"/>
      <c r="C10" s="20"/>
      <c r="D10" s="15" t="s">
        <v>42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20"/>
      <c r="AK10" s="20"/>
      <c r="AL10" s="20"/>
      <c r="AM10" s="20"/>
    </row>
    <row r="11" spans="1:39" ht="18" customHeight="1" x14ac:dyDescent="0.25">
      <c r="A11" s="31">
        <v>3</v>
      </c>
      <c r="B11" s="30"/>
      <c r="C11" s="30"/>
      <c r="D11" s="12" t="s">
        <v>41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33">
        <f>SUM(E11:AI12)</f>
        <v>0</v>
      </c>
      <c r="AK11" s="29">
        <f>COUNTIF(E11:AI12,12)*12</f>
        <v>0</v>
      </c>
      <c r="AL11" s="29">
        <f>(COUNTIF(E11:AI12,4)*4)+(COUNTIF(E11:AI12,8)*8)</f>
        <v>0</v>
      </c>
      <c r="AM11" s="32">
        <f>ROUND((AJ11)/12,1)</f>
        <v>0</v>
      </c>
    </row>
    <row r="12" spans="1:39" ht="18" customHeight="1" x14ac:dyDescent="0.25">
      <c r="A12" s="20"/>
      <c r="B12" s="20"/>
      <c r="C12" s="20"/>
      <c r="D12" s="15" t="s">
        <v>42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20"/>
      <c r="AK12" s="20"/>
      <c r="AL12" s="20"/>
      <c r="AM12" s="20"/>
    </row>
    <row r="13" spans="1:39" ht="18" customHeight="1" x14ac:dyDescent="0.25">
      <c r="A13" s="31">
        <v>4</v>
      </c>
      <c r="B13" s="30"/>
      <c r="C13" s="30"/>
      <c r="D13" s="12" t="s">
        <v>41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33">
        <f>SUM(E13:AI14)</f>
        <v>0</v>
      </c>
      <c r="AK13" s="29">
        <f>COUNTIF(E13:AI14,12)*12</f>
        <v>0</v>
      </c>
      <c r="AL13" s="29">
        <f>(COUNTIF(E13:AI14,4)*4)+(COUNTIF(E13:AI14,8)*8)</f>
        <v>0</v>
      </c>
      <c r="AM13" s="32">
        <f>ROUND((AJ13)/12,1)</f>
        <v>0</v>
      </c>
    </row>
    <row r="14" spans="1:39" ht="18" customHeight="1" x14ac:dyDescent="0.25">
      <c r="A14" s="20"/>
      <c r="B14" s="20"/>
      <c r="C14" s="20"/>
      <c r="D14" s="15" t="s">
        <v>42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20"/>
      <c r="AK14" s="20"/>
      <c r="AL14" s="20"/>
      <c r="AM14" s="20"/>
    </row>
    <row r="15" spans="1:39" ht="18" customHeight="1" x14ac:dyDescent="0.25">
      <c r="A15" s="31">
        <v>5</v>
      </c>
      <c r="B15" s="30"/>
      <c r="C15" s="30"/>
      <c r="D15" s="12" t="s">
        <v>41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33">
        <f>SUM(E15:AI16)</f>
        <v>0</v>
      </c>
      <c r="AK15" s="29">
        <f>COUNTIF(E15:AI16,12)*12</f>
        <v>0</v>
      </c>
      <c r="AL15" s="29">
        <f>(COUNTIF(E15:AI16,4)*4)+(COUNTIF(E15:AI16,8)*8)</f>
        <v>0</v>
      </c>
      <c r="AM15" s="32">
        <f>ROUND((AJ15)/12,1)</f>
        <v>0</v>
      </c>
    </row>
    <row r="16" spans="1:39" ht="18" customHeight="1" x14ac:dyDescent="0.25">
      <c r="A16" s="20"/>
      <c r="B16" s="20"/>
      <c r="C16" s="20"/>
      <c r="D16" s="15" t="s">
        <v>42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20"/>
      <c r="AK16" s="20"/>
      <c r="AL16" s="20"/>
      <c r="AM16" s="20"/>
    </row>
    <row r="17" spans="1:39" ht="18" customHeight="1" x14ac:dyDescent="0.25">
      <c r="A17" s="31">
        <v>6</v>
      </c>
      <c r="B17" s="30"/>
      <c r="C17" s="30"/>
      <c r="D17" s="12" t="s">
        <v>41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33">
        <f>SUM(E17:AI18)</f>
        <v>0</v>
      </c>
      <c r="AK17" s="29">
        <f>COUNTIF(E17:AI18,12)*12</f>
        <v>0</v>
      </c>
      <c r="AL17" s="29">
        <f>(COUNTIF(E17:AI18,4)*4)+(COUNTIF(E17:AI18,8)*8)</f>
        <v>0</v>
      </c>
      <c r="AM17" s="32">
        <f>ROUND((AJ17)/12,1)</f>
        <v>0</v>
      </c>
    </row>
    <row r="18" spans="1:39" ht="18" customHeight="1" x14ac:dyDescent="0.25">
      <c r="A18" s="20"/>
      <c r="B18" s="20"/>
      <c r="C18" s="20"/>
      <c r="D18" s="15" t="s">
        <v>42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20"/>
      <c r="AK18" s="20"/>
      <c r="AL18" s="20"/>
      <c r="AM18" s="20"/>
    </row>
    <row r="19" spans="1:39" ht="18" customHeight="1" x14ac:dyDescent="0.25">
      <c r="A19" s="31">
        <v>7</v>
      </c>
      <c r="B19" s="30"/>
      <c r="C19" s="30"/>
      <c r="D19" s="12" t="s">
        <v>41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33">
        <f>SUM(E19:AI20)</f>
        <v>0</v>
      </c>
      <c r="AK19" s="29">
        <f>COUNTIF(E19:AI20,12)*12</f>
        <v>0</v>
      </c>
      <c r="AL19" s="29">
        <f>(COUNTIF(E19:AI20,4)*4)+(COUNTIF(E19:AI20,8)*8)</f>
        <v>0</v>
      </c>
      <c r="AM19" s="32">
        <f>ROUND((AJ19)/12,1)</f>
        <v>0</v>
      </c>
    </row>
    <row r="20" spans="1:39" ht="18" customHeight="1" x14ac:dyDescent="0.25">
      <c r="A20" s="20"/>
      <c r="B20" s="20"/>
      <c r="C20" s="20"/>
      <c r="D20" s="15" t="s">
        <v>42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20"/>
      <c r="AK20" s="20"/>
      <c r="AL20" s="20"/>
      <c r="AM20" s="20"/>
    </row>
    <row r="21" spans="1:39" ht="18" customHeight="1" x14ac:dyDescent="0.25">
      <c r="A21" s="31">
        <v>8</v>
      </c>
      <c r="B21" s="30"/>
      <c r="C21" s="30"/>
      <c r="D21" s="12" t="s">
        <v>41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33">
        <f>SUM(E21:AI22)</f>
        <v>0</v>
      </c>
      <c r="AK21" s="29">
        <f>COUNTIF(E21:AI22,12)*12</f>
        <v>0</v>
      </c>
      <c r="AL21" s="29">
        <f>(COUNTIF(E21:AI22,4)*4)+(COUNTIF(E21:AI22,8)*8)</f>
        <v>0</v>
      </c>
      <c r="AM21" s="32">
        <f>ROUND((AJ21)/12,1)</f>
        <v>0</v>
      </c>
    </row>
    <row r="22" spans="1:39" ht="18" customHeight="1" x14ac:dyDescent="0.25">
      <c r="A22" s="20"/>
      <c r="B22" s="20"/>
      <c r="C22" s="20"/>
      <c r="D22" s="15" t="s">
        <v>42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20"/>
      <c r="AK22" s="20"/>
      <c r="AL22" s="20"/>
      <c r="AM22" s="20"/>
    </row>
    <row r="23" spans="1:39" ht="18" customHeight="1" x14ac:dyDescent="0.25">
      <c r="A23" s="31">
        <v>9</v>
      </c>
      <c r="B23" s="30"/>
      <c r="C23" s="30"/>
      <c r="D23" s="12" t="s">
        <v>41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33">
        <f>SUM(E23:AI24)</f>
        <v>0</v>
      </c>
      <c r="AK23" s="29">
        <f>COUNTIF(E23:AI24,12)*12</f>
        <v>0</v>
      </c>
      <c r="AL23" s="29">
        <f>(COUNTIF(E23:AI24,4)*4)+(COUNTIF(E23:AI24,8)*8)</f>
        <v>0</v>
      </c>
      <c r="AM23" s="32">
        <f>ROUND((AJ23)/12,1)</f>
        <v>0</v>
      </c>
    </row>
    <row r="24" spans="1:39" ht="18" customHeight="1" x14ac:dyDescent="0.25">
      <c r="A24" s="20"/>
      <c r="B24" s="20"/>
      <c r="C24" s="20"/>
      <c r="D24" s="15" t="s">
        <v>42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20"/>
      <c r="AK24" s="20"/>
      <c r="AL24" s="20"/>
      <c r="AM24" s="20"/>
    </row>
    <row r="25" spans="1:39" ht="18" customHeight="1" x14ac:dyDescent="0.25">
      <c r="A25" s="31">
        <v>10</v>
      </c>
      <c r="B25" s="30"/>
      <c r="C25" s="30"/>
      <c r="D25" s="12" t="s">
        <v>41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33">
        <f>SUM(E25:AI26)</f>
        <v>0</v>
      </c>
      <c r="AK25" s="29">
        <f>COUNTIF(E25:AI26,12)*12</f>
        <v>0</v>
      </c>
      <c r="AL25" s="29">
        <f>(COUNTIF(E25:AI26,4)*4)+(COUNTIF(E25:AI26,8)*8)</f>
        <v>0</v>
      </c>
      <c r="AM25" s="32">
        <f>ROUND((AJ25)/12,1)</f>
        <v>0</v>
      </c>
    </row>
    <row r="26" spans="1:39" ht="18" customHeight="1" x14ac:dyDescent="0.25">
      <c r="A26" s="20"/>
      <c r="B26" s="20"/>
      <c r="C26" s="20"/>
      <c r="D26" s="15" t="s">
        <v>42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20"/>
      <c r="AK26" s="20"/>
      <c r="AL26" s="20"/>
      <c r="AM26" s="20"/>
    </row>
    <row r="27" spans="1:39" ht="18" customHeight="1" x14ac:dyDescent="0.25">
      <c r="A27" s="31">
        <v>11</v>
      </c>
      <c r="B27" s="30"/>
      <c r="C27" s="30"/>
      <c r="D27" s="12" t="s">
        <v>41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33">
        <f>SUM(E27:AI28)</f>
        <v>0</v>
      </c>
      <c r="AK27" s="29">
        <f>COUNTIF(E27:AI28,12)*12</f>
        <v>0</v>
      </c>
      <c r="AL27" s="29">
        <f>(COUNTIF(E27:AI28,4)*4)+(COUNTIF(E27:AI28,8)*8)</f>
        <v>0</v>
      </c>
      <c r="AM27" s="32">
        <f>ROUND((AJ27)/12,1)</f>
        <v>0</v>
      </c>
    </row>
    <row r="28" spans="1:39" ht="18" customHeight="1" x14ac:dyDescent="0.25">
      <c r="A28" s="20"/>
      <c r="B28" s="20"/>
      <c r="C28" s="20"/>
      <c r="D28" s="15" t="s">
        <v>42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20"/>
      <c r="AK28" s="20"/>
      <c r="AL28" s="20"/>
      <c r="AM28" s="20"/>
    </row>
    <row r="29" spans="1:39" ht="18" customHeight="1" x14ac:dyDescent="0.25">
      <c r="A29" s="31">
        <v>12</v>
      </c>
      <c r="B29" s="30"/>
      <c r="C29" s="30"/>
      <c r="D29" s="12" t="s">
        <v>41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33">
        <f>SUM(E29:AI30)</f>
        <v>0</v>
      </c>
      <c r="AK29" s="29">
        <f>COUNTIF(E29:AI30,12)*12</f>
        <v>0</v>
      </c>
      <c r="AL29" s="29">
        <f>(COUNTIF(E29:AI30,4)*4)+(COUNTIF(E29:AI30,8)*8)</f>
        <v>0</v>
      </c>
      <c r="AM29" s="32">
        <f>ROUND((AJ29)/12,1)</f>
        <v>0</v>
      </c>
    </row>
    <row r="30" spans="1:39" ht="18" customHeight="1" x14ac:dyDescent="0.25">
      <c r="A30" s="20"/>
      <c r="B30" s="20"/>
      <c r="C30" s="20"/>
      <c r="D30" s="15" t="s">
        <v>42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20"/>
      <c r="AK30" s="20"/>
      <c r="AL30" s="20"/>
      <c r="AM30" s="20"/>
    </row>
    <row r="31" spans="1:39" ht="18" customHeight="1" x14ac:dyDescent="0.25">
      <c r="A31" s="31">
        <v>13</v>
      </c>
      <c r="B31" s="30"/>
      <c r="C31" s="30"/>
      <c r="D31" s="12" t="s">
        <v>41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33">
        <f>SUM(E31:AI32)</f>
        <v>0</v>
      </c>
      <c r="AK31" s="29">
        <f>COUNTIF(E31:AI32,12)*12</f>
        <v>0</v>
      </c>
      <c r="AL31" s="29">
        <f>(COUNTIF(E31:AI32,4)*4)+(COUNTIF(E31:AI32,8)*8)</f>
        <v>0</v>
      </c>
      <c r="AM31" s="32">
        <f>ROUND((AJ31)/12,1)</f>
        <v>0</v>
      </c>
    </row>
    <row r="32" spans="1:39" ht="18" customHeight="1" x14ac:dyDescent="0.25">
      <c r="A32" s="20"/>
      <c r="B32" s="20"/>
      <c r="C32" s="20"/>
      <c r="D32" s="15" t="s">
        <v>42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20"/>
      <c r="AK32" s="20"/>
      <c r="AL32" s="20"/>
      <c r="AM32" s="20"/>
    </row>
    <row r="33" spans="1:39" ht="18" customHeight="1" x14ac:dyDescent="0.25">
      <c r="A33" s="31">
        <v>14</v>
      </c>
      <c r="B33" s="30"/>
      <c r="C33" s="30"/>
      <c r="D33" s="12" t="s">
        <v>41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33">
        <f>SUM(E33:AI34)</f>
        <v>0</v>
      </c>
      <c r="AK33" s="29">
        <f>COUNTIF(E33:AI34,12)*12</f>
        <v>0</v>
      </c>
      <c r="AL33" s="29">
        <f>(COUNTIF(E33:AI34,4)*4)+(COUNTIF(E33:AI34,8)*8)</f>
        <v>0</v>
      </c>
      <c r="AM33" s="32">
        <f>ROUND((AJ33)/12,1)</f>
        <v>0</v>
      </c>
    </row>
    <row r="34" spans="1:39" ht="18" customHeight="1" x14ac:dyDescent="0.25">
      <c r="A34" s="20"/>
      <c r="B34" s="20"/>
      <c r="C34" s="20"/>
      <c r="D34" s="15" t="s">
        <v>42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20"/>
      <c r="AK34" s="20"/>
      <c r="AL34" s="20"/>
      <c r="AM34" s="20"/>
    </row>
    <row r="35" spans="1:39" ht="18" customHeight="1" x14ac:dyDescent="0.25">
      <c r="A35" s="31">
        <v>15</v>
      </c>
      <c r="B35" s="30"/>
      <c r="C35" s="30"/>
      <c r="D35" s="12" t="s">
        <v>41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33">
        <f>SUM(E35:AI36)</f>
        <v>0</v>
      </c>
      <c r="AK35" s="29">
        <f>COUNTIF(E35:AI36,12)*12</f>
        <v>0</v>
      </c>
      <c r="AL35" s="29">
        <f>(COUNTIF(E35:AI36,4)*4)+(COUNTIF(E35:AI36,8)*8)</f>
        <v>0</v>
      </c>
      <c r="AM35" s="32">
        <f>ROUND((AJ35)/12,1)</f>
        <v>0</v>
      </c>
    </row>
    <row r="36" spans="1:39" ht="18" customHeight="1" x14ac:dyDescent="0.25">
      <c r="A36" s="20"/>
      <c r="B36" s="20"/>
      <c r="C36" s="20"/>
      <c r="D36" s="15" t="s">
        <v>42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20"/>
      <c r="AK36" s="20"/>
      <c r="AL36" s="20"/>
      <c r="AM36" s="20"/>
    </row>
    <row r="37" spans="1:39" ht="21.95" customHeight="1" x14ac:dyDescent="0.25">
      <c r="A37" s="42" t="s">
        <v>52</v>
      </c>
      <c r="B37" s="43"/>
      <c r="C37" s="43"/>
      <c r="D37" s="43"/>
      <c r="E37" s="16">
        <f t="shared" ref="E37:AM37" si="0">SUM(E7:E36)</f>
        <v>0</v>
      </c>
      <c r="F37" s="16">
        <f t="shared" si="0"/>
        <v>0</v>
      </c>
      <c r="G37" s="16">
        <f t="shared" si="0"/>
        <v>0</v>
      </c>
      <c r="H37" s="16">
        <f t="shared" si="0"/>
        <v>0</v>
      </c>
      <c r="I37" s="16">
        <f t="shared" si="0"/>
        <v>0</v>
      </c>
      <c r="J37" s="16">
        <f t="shared" si="0"/>
        <v>0</v>
      </c>
      <c r="K37" s="16">
        <f t="shared" si="0"/>
        <v>0</v>
      </c>
      <c r="L37" s="16">
        <f t="shared" si="0"/>
        <v>0</v>
      </c>
      <c r="M37" s="16">
        <f t="shared" si="0"/>
        <v>0</v>
      </c>
      <c r="N37" s="16">
        <f t="shared" si="0"/>
        <v>0</v>
      </c>
      <c r="O37" s="16">
        <f t="shared" si="0"/>
        <v>0</v>
      </c>
      <c r="P37" s="16">
        <f t="shared" si="0"/>
        <v>0</v>
      </c>
      <c r="Q37" s="16">
        <f t="shared" si="0"/>
        <v>0</v>
      </c>
      <c r="R37" s="16">
        <f t="shared" si="0"/>
        <v>0</v>
      </c>
      <c r="S37" s="16">
        <f t="shared" si="0"/>
        <v>0</v>
      </c>
      <c r="T37" s="16">
        <f t="shared" si="0"/>
        <v>0</v>
      </c>
      <c r="U37" s="16">
        <f t="shared" si="0"/>
        <v>0</v>
      </c>
      <c r="V37" s="16">
        <f t="shared" si="0"/>
        <v>0</v>
      </c>
      <c r="W37" s="16">
        <f t="shared" si="0"/>
        <v>0</v>
      </c>
      <c r="X37" s="16">
        <f t="shared" si="0"/>
        <v>0</v>
      </c>
      <c r="Y37" s="16">
        <f t="shared" si="0"/>
        <v>0</v>
      </c>
      <c r="Z37" s="16">
        <f t="shared" si="0"/>
        <v>0</v>
      </c>
      <c r="AA37" s="16">
        <f t="shared" si="0"/>
        <v>0</v>
      </c>
      <c r="AB37" s="16">
        <f t="shared" si="0"/>
        <v>0</v>
      </c>
      <c r="AC37" s="16">
        <f t="shared" si="0"/>
        <v>0</v>
      </c>
      <c r="AD37" s="16">
        <f t="shared" si="0"/>
        <v>0</v>
      </c>
      <c r="AE37" s="16">
        <f t="shared" si="0"/>
        <v>0</v>
      </c>
      <c r="AF37" s="16">
        <f t="shared" si="0"/>
        <v>0</v>
      </c>
      <c r="AG37" s="16">
        <f t="shared" si="0"/>
        <v>0</v>
      </c>
      <c r="AH37" s="16">
        <f t="shared" si="0"/>
        <v>0</v>
      </c>
      <c r="AI37" s="16">
        <f t="shared" si="0"/>
        <v>0</v>
      </c>
      <c r="AJ37" s="17">
        <f t="shared" si="0"/>
        <v>0</v>
      </c>
      <c r="AK37" s="17">
        <f t="shared" si="0"/>
        <v>0</v>
      </c>
      <c r="AL37" s="17">
        <f t="shared" si="0"/>
        <v>0</v>
      </c>
      <c r="AM37" s="18">
        <f t="shared" si="0"/>
        <v>0</v>
      </c>
    </row>
    <row r="39" spans="1:39" x14ac:dyDescent="0.25">
      <c r="A39" s="38" t="s">
        <v>44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spans="1:39" x14ac:dyDescent="0.25">
      <c r="A40" s="35" t="s">
        <v>45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39" x14ac:dyDescent="0.25">
      <c r="A41" s="35" t="s">
        <v>46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39" x14ac:dyDescent="0.25">
      <c r="A42" s="35" t="s">
        <v>47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39" x14ac:dyDescent="0.25">
      <c r="A43" s="35" t="s">
        <v>48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5" spans="1:39" x14ac:dyDescent="0.25">
      <c r="A45" s="44" t="s">
        <v>53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V45" s="44" t="s">
        <v>50</v>
      </c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</row>
  </sheetData>
  <autoFilter ref="A6:AM36" xr:uid="{00000000-0009-0000-0000-000002000000}"/>
  <mergeCells count="127">
    <mergeCell ref="AM31:AM32"/>
    <mergeCell ref="AL17:AL18"/>
    <mergeCell ref="A29:A30"/>
    <mergeCell ref="AM25:AM26"/>
    <mergeCell ref="AL23:AL24"/>
    <mergeCell ref="B5:B6"/>
    <mergeCell ref="D5:D6"/>
    <mergeCell ref="C13:C14"/>
    <mergeCell ref="AK31:AK32"/>
    <mergeCell ref="AK23:AK24"/>
    <mergeCell ref="AJ9:AJ10"/>
    <mergeCell ref="AL9:AL10"/>
    <mergeCell ref="A15:A16"/>
    <mergeCell ref="AK13:AK14"/>
    <mergeCell ref="C15:C16"/>
    <mergeCell ref="AK7:AK8"/>
    <mergeCell ref="A41:AB41"/>
    <mergeCell ref="AJ25:AJ26"/>
    <mergeCell ref="A45:O45"/>
    <mergeCell ref="AL19:AL20"/>
    <mergeCell ref="A31:A32"/>
    <mergeCell ref="AC2:AJ2"/>
    <mergeCell ref="B21:B22"/>
    <mergeCell ref="AK19:AK20"/>
    <mergeCell ref="C33:C34"/>
    <mergeCell ref="A42:AB42"/>
    <mergeCell ref="AJ11:AJ12"/>
    <mergeCell ref="AK33:AK34"/>
    <mergeCell ref="C35:C36"/>
    <mergeCell ref="C9:C10"/>
    <mergeCell ref="AC3:AJ3"/>
    <mergeCell ref="AK5:AK6"/>
    <mergeCell ref="A25:A26"/>
    <mergeCell ref="C25:C26"/>
    <mergeCell ref="V45:AM45"/>
    <mergeCell ref="C11:C12"/>
    <mergeCell ref="AM11:AM12"/>
    <mergeCell ref="B19:B20"/>
    <mergeCell ref="A5:A6"/>
    <mergeCell ref="AL21:AL22"/>
    <mergeCell ref="A39:T39"/>
    <mergeCell ref="AK9:AK10"/>
    <mergeCell ref="AM9:AM10"/>
    <mergeCell ref="AJ7:AJ8"/>
    <mergeCell ref="AL7:AL8"/>
    <mergeCell ref="A1:K1"/>
    <mergeCell ref="AK15:AK16"/>
    <mergeCell ref="AJ23:AJ24"/>
    <mergeCell ref="AK29:AK30"/>
    <mergeCell ref="C21:C22"/>
    <mergeCell ref="B9:B10"/>
    <mergeCell ref="AM15:AM16"/>
    <mergeCell ref="C23:C24"/>
    <mergeCell ref="A13:A14"/>
    <mergeCell ref="C7:C8"/>
    <mergeCell ref="AC1:AJ1"/>
    <mergeCell ref="E5:AI5"/>
    <mergeCell ref="B33:B34"/>
    <mergeCell ref="AJ33:AJ34"/>
    <mergeCell ref="AL33:AL34"/>
    <mergeCell ref="A37:D37"/>
    <mergeCell ref="AJ35:AJ36"/>
    <mergeCell ref="AL35:AL36"/>
    <mergeCell ref="AM5:AM6"/>
    <mergeCell ref="A43:AB43"/>
    <mergeCell ref="AL25:AL26"/>
    <mergeCell ref="AK11:AK12"/>
    <mergeCell ref="C31:C32"/>
    <mergeCell ref="A40:AB40"/>
    <mergeCell ref="A21:A22"/>
    <mergeCell ref="AJ5:AJ6"/>
    <mergeCell ref="AL5:AL6"/>
    <mergeCell ref="A17:A18"/>
    <mergeCell ref="C17:C18"/>
    <mergeCell ref="AK27:AK28"/>
    <mergeCell ref="A23:A24"/>
    <mergeCell ref="A19:A20"/>
    <mergeCell ref="AK17:AK18"/>
    <mergeCell ref="C19:C20"/>
    <mergeCell ref="A9:A10"/>
    <mergeCell ref="AJ29:AJ30"/>
    <mergeCell ref="AL29:AL30"/>
    <mergeCell ref="B7:B8"/>
    <mergeCell ref="AJ21:AJ22"/>
    <mergeCell ref="AL15:AL16"/>
    <mergeCell ref="A11:A12"/>
    <mergeCell ref="C5:C6"/>
    <mergeCell ref="B31:B32"/>
    <mergeCell ref="AK35:AK36"/>
    <mergeCell ref="A33:A34"/>
    <mergeCell ref="C27:C28"/>
    <mergeCell ref="A2:K2"/>
    <mergeCell ref="A35:A36"/>
    <mergeCell ref="B25:B26"/>
    <mergeCell ref="AM33:AM34"/>
    <mergeCell ref="B35:B36"/>
    <mergeCell ref="B27:B28"/>
    <mergeCell ref="AL27:AL28"/>
    <mergeCell ref="AM13:AM14"/>
    <mergeCell ref="B17:B18"/>
    <mergeCell ref="AJ17:AJ18"/>
    <mergeCell ref="B11:B12"/>
    <mergeCell ref="AK25:AK26"/>
    <mergeCell ref="AM19:AM20"/>
    <mergeCell ref="AJ19:AJ20"/>
    <mergeCell ref="AM27:AM28"/>
    <mergeCell ref="AM21:AM22"/>
    <mergeCell ref="AM17:AM18"/>
    <mergeCell ref="AM23:AM24"/>
    <mergeCell ref="AJ31:AJ32"/>
    <mergeCell ref="AL31:AL32"/>
    <mergeCell ref="AM35:AM36"/>
    <mergeCell ref="AL11:AL12"/>
    <mergeCell ref="C29:C30"/>
    <mergeCell ref="A7:A8"/>
    <mergeCell ref="AM29:AM30"/>
    <mergeCell ref="AJ27:AJ28"/>
    <mergeCell ref="B29:B30"/>
    <mergeCell ref="B23:B24"/>
    <mergeCell ref="A27:A28"/>
    <mergeCell ref="B13:B14"/>
    <mergeCell ref="AJ13:AJ14"/>
    <mergeCell ref="AL13:AL14"/>
    <mergeCell ref="AK21:AK22"/>
    <mergeCell ref="AM7:AM8"/>
    <mergeCell ref="B15:B16"/>
    <mergeCell ref="AJ15:AJ16"/>
  </mergeCells>
  <pageMargins left="0.25" right="0.25" top="0.35" bottom="0.35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M45"/>
  <sheetViews>
    <sheetView workbookViewId="0">
      <selection sqref="A1:XFD1048576"/>
    </sheetView>
  </sheetViews>
  <sheetFormatPr defaultRowHeight="15" x14ac:dyDescent="0.25"/>
  <cols>
    <col min="1" max="1" width="3" style="9" bestFit="1" customWidth="1"/>
    <col min="2" max="2" width="14.42578125" style="9" bestFit="1" customWidth="1"/>
    <col min="3" max="3" width="10" style="9" bestFit="1" customWidth="1"/>
    <col min="4" max="4" width="4.7109375" style="9" bestFit="1" customWidth="1"/>
    <col min="5" max="13" width="6.42578125" style="9" bestFit="1" customWidth="1"/>
    <col min="14" max="35" width="7.28515625" style="9" bestFit="1" customWidth="1"/>
    <col min="36" max="36" width="10.140625" style="9" bestFit="1" customWidth="1"/>
    <col min="37" max="37" width="12.85546875" style="9" bestFit="1" customWidth="1"/>
    <col min="38" max="38" width="13.5703125" style="9" bestFit="1" customWidth="1"/>
    <col min="39" max="39" width="9.42578125" style="9" bestFit="1" customWidth="1"/>
  </cols>
  <sheetData>
    <row r="1" spans="1:39" ht="17.25" x14ac:dyDescent="0.25">
      <c r="A1" s="39" t="s">
        <v>54</v>
      </c>
      <c r="B1" s="20"/>
      <c r="C1" s="20"/>
      <c r="D1" s="20"/>
      <c r="E1" s="20"/>
      <c r="F1" s="20"/>
      <c r="G1" s="20"/>
      <c r="H1" s="20"/>
      <c r="I1" s="20"/>
      <c r="J1" s="20"/>
      <c r="K1" s="20"/>
      <c r="AC1" s="40" t="s">
        <v>1</v>
      </c>
      <c r="AD1" s="20"/>
      <c r="AE1" s="20"/>
      <c r="AF1" s="20"/>
      <c r="AG1" s="20"/>
      <c r="AH1" s="20"/>
      <c r="AI1" s="20"/>
      <c r="AJ1" s="20"/>
    </row>
    <row r="2" spans="1:39" x14ac:dyDescent="0.25">
      <c r="A2" s="34" t="s">
        <v>30</v>
      </c>
      <c r="B2" s="20"/>
      <c r="C2" s="20"/>
      <c r="D2" s="20"/>
      <c r="E2" s="20"/>
      <c r="F2" s="20"/>
      <c r="G2" s="20"/>
      <c r="H2" s="20"/>
      <c r="I2" s="20"/>
      <c r="J2" s="20"/>
      <c r="K2" s="20"/>
      <c r="AC2" s="45" t="s">
        <v>3</v>
      </c>
      <c r="AD2" s="20"/>
      <c r="AE2" s="20"/>
      <c r="AF2" s="20"/>
      <c r="AG2" s="20"/>
      <c r="AH2" s="20"/>
      <c r="AI2" s="20"/>
      <c r="AJ2" s="20"/>
    </row>
    <row r="3" spans="1:39" x14ac:dyDescent="0.25">
      <c r="AC3" s="45" t="s">
        <v>31</v>
      </c>
      <c r="AD3" s="20"/>
      <c r="AE3" s="20"/>
      <c r="AF3" s="20"/>
      <c r="AG3" s="20"/>
      <c r="AH3" s="20"/>
      <c r="AI3" s="20"/>
      <c r="AJ3" s="20"/>
    </row>
    <row r="5" spans="1:39" ht="18" customHeight="1" x14ac:dyDescent="0.25">
      <c r="A5" s="37" t="s">
        <v>32</v>
      </c>
      <c r="B5" s="37" t="s">
        <v>33</v>
      </c>
      <c r="C5" s="37" t="s">
        <v>34</v>
      </c>
      <c r="D5" s="37" t="s">
        <v>35</v>
      </c>
      <c r="E5" s="41" t="s">
        <v>36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36" t="s">
        <v>37</v>
      </c>
      <c r="AK5" s="36" t="s">
        <v>38</v>
      </c>
      <c r="AL5" s="36" t="s">
        <v>39</v>
      </c>
      <c r="AM5" s="36" t="s">
        <v>40</v>
      </c>
    </row>
    <row r="6" spans="1:39" ht="18" customHeight="1" x14ac:dyDescent="0.25">
      <c r="A6" s="20"/>
      <c r="B6" s="20"/>
      <c r="C6" s="20"/>
      <c r="D6" s="20"/>
      <c r="E6" s="11">
        <v>1</v>
      </c>
      <c r="F6" s="11">
        <v>2</v>
      </c>
      <c r="G6" s="11">
        <v>3</v>
      </c>
      <c r="H6" s="11">
        <v>4</v>
      </c>
      <c r="I6" s="11">
        <v>5</v>
      </c>
      <c r="J6" s="11">
        <v>6</v>
      </c>
      <c r="K6" s="11">
        <v>7</v>
      </c>
      <c r="L6" s="11">
        <v>8</v>
      </c>
      <c r="M6" s="11">
        <v>9</v>
      </c>
      <c r="N6" s="11">
        <v>10</v>
      </c>
      <c r="O6" s="11">
        <v>11</v>
      </c>
      <c r="P6" s="11">
        <v>12</v>
      </c>
      <c r="Q6" s="11">
        <v>13</v>
      </c>
      <c r="R6" s="11">
        <v>14</v>
      </c>
      <c r="S6" s="11">
        <v>15</v>
      </c>
      <c r="T6" s="11">
        <v>16</v>
      </c>
      <c r="U6" s="11">
        <v>17</v>
      </c>
      <c r="V6" s="11">
        <v>18</v>
      </c>
      <c r="W6" s="11">
        <v>19</v>
      </c>
      <c r="X6" s="11">
        <v>20</v>
      </c>
      <c r="Y6" s="11">
        <v>21</v>
      </c>
      <c r="Z6" s="11">
        <v>22</v>
      </c>
      <c r="AA6" s="11">
        <v>23</v>
      </c>
      <c r="AB6" s="11">
        <v>24</v>
      </c>
      <c r="AC6" s="11">
        <v>25</v>
      </c>
      <c r="AD6" s="11">
        <v>26</v>
      </c>
      <c r="AE6" s="11">
        <v>27</v>
      </c>
      <c r="AF6" s="11">
        <v>28</v>
      </c>
      <c r="AG6" s="11">
        <v>29</v>
      </c>
      <c r="AH6" s="11">
        <v>30</v>
      </c>
      <c r="AI6" s="11">
        <v>31</v>
      </c>
      <c r="AJ6" s="20"/>
      <c r="AK6" s="20"/>
      <c r="AL6" s="20"/>
      <c r="AM6" s="20"/>
    </row>
    <row r="7" spans="1:39" ht="18" customHeight="1" x14ac:dyDescent="0.25">
      <c r="A7" s="31">
        <v>1</v>
      </c>
      <c r="B7" s="30"/>
      <c r="C7" s="30"/>
      <c r="D7" s="12" t="s">
        <v>41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33">
        <f>SUM(E7:AI8)</f>
        <v>0</v>
      </c>
      <c r="AK7" s="29">
        <f>COUNTIF(E7:AI8,12)*12</f>
        <v>0</v>
      </c>
      <c r="AL7" s="29">
        <f>(COUNTIF(E7:AI8,4)*4)+(COUNTIF(E7:AI8,8)*8)</f>
        <v>0</v>
      </c>
      <c r="AM7" s="32">
        <f>ROUND((AJ7)/12,1)</f>
        <v>0</v>
      </c>
    </row>
    <row r="8" spans="1:39" ht="18" customHeight="1" x14ac:dyDescent="0.25">
      <c r="A8" s="20"/>
      <c r="B8" s="20"/>
      <c r="C8" s="20"/>
      <c r="D8" s="15" t="s">
        <v>42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20"/>
      <c r="AK8" s="20"/>
      <c r="AL8" s="20"/>
      <c r="AM8" s="20"/>
    </row>
    <row r="9" spans="1:39" ht="18" customHeight="1" x14ac:dyDescent="0.25">
      <c r="A9" s="31">
        <v>2</v>
      </c>
      <c r="B9" s="30"/>
      <c r="C9" s="30"/>
      <c r="D9" s="12" t="s">
        <v>41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33">
        <f>SUM(E9:AI10)</f>
        <v>0</v>
      </c>
      <c r="AK9" s="29">
        <f>COUNTIF(E9:AI10,12)*12</f>
        <v>0</v>
      </c>
      <c r="AL9" s="29">
        <f>(COUNTIF(E9:AI10,4)*4)+(COUNTIF(E9:AI10,8)*8)</f>
        <v>0</v>
      </c>
      <c r="AM9" s="32">
        <f>ROUND((AJ9)/12,1)</f>
        <v>0</v>
      </c>
    </row>
    <row r="10" spans="1:39" ht="18" customHeight="1" x14ac:dyDescent="0.25">
      <c r="A10" s="20"/>
      <c r="B10" s="20"/>
      <c r="C10" s="20"/>
      <c r="D10" s="15" t="s">
        <v>42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20"/>
      <c r="AK10" s="20"/>
      <c r="AL10" s="20"/>
      <c r="AM10" s="20"/>
    </row>
    <row r="11" spans="1:39" ht="18" customHeight="1" x14ac:dyDescent="0.25">
      <c r="A11" s="31">
        <v>3</v>
      </c>
      <c r="B11" s="30"/>
      <c r="C11" s="30"/>
      <c r="D11" s="12" t="s">
        <v>41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33">
        <f>SUM(E11:AI12)</f>
        <v>0</v>
      </c>
      <c r="AK11" s="29">
        <f>COUNTIF(E11:AI12,12)*12</f>
        <v>0</v>
      </c>
      <c r="AL11" s="29">
        <f>(COUNTIF(E11:AI12,4)*4)+(COUNTIF(E11:AI12,8)*8)</f>
        <v>0</v>
      </c>
      <c r="AM11" s="32">
        <f>ROUND((AJ11)/12,1)</f>
        <v>0</v>
      </c>
    </row>
    <row r="12" spans="1:39" ht="18" customHeight="1" x14ac:dyDescent="0.25">
      <c r="A12" s="20"/>
      <c r="B12" s="20"/>
      <c r="C12" s="20"/>
      <c r="D12" s="15" t="s">
        <v>42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20"/>
      <c r="AK12" s="20"/>
      <c r="AL12" s="20"/>
      <c r="AM12" s="20"/>
    </row>
    <row r="13" spans="1:39" ht="18" customHeight="1" x14ac:dyDescent="0.25">
      <c r="A13" s="31">
        <v>4</v>
      </c>
      <c r="B13" s="30"/>
      <c r="C13" s="30"/>
      <c r="D13" s="12" t="s">
        <v>41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33">
        <f>SUM(E13:AI14)</f>
        <v>0</v>
      </c>
      <c r="AK13" s="29">
        <f>COUNTIF(E13:AI14,12)*12</f>
        <v>0</v>
      </c>
      <c r="AL13" s="29">
        <f>(COUNTIF(E13:AI14,4)*4)+(COUNTIF(E13:AI14,8)*8)</f>
        <v>0</v>
      </c>
      <c r="AM13" s="32">
        <f>ROUND((AJ13)/12,1)</f>
        <v>0</v>
      </c>
    </row>
    <row r="14" spans="1:39" ht="18" customHeight="1" x14ac:dyDescent="0.25">
      <c r="A14" s="20"/>
      <c r="B14" s="20"/>
      <c r="C14" s="20"/>
      <c r="D14" s="15" t="s">
        <v>42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20"/>
      <c r="AK14" s="20"/>
      <c r="AL14" s="20"/>
      <c r="AM14" s="20"/>
    </row>
    <row r="15" spans="1:39" ht="18" customHeight="1" x14ac:dyDescent="0.25">
      <c r="A15" s="31">
        <v>5</v>
      </c>
      <c r="B15" s="30"/>
      <c r="C15" s="30"/>
      <c r="D15" s="12" t="s">
        <v>41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33">
        <f>SUM(E15:AI16)</f>
        <v>0</v>
      </c>
      <c r="AK15" s="29">
        <f>COUNTIF(E15:AI16,12)*12</f>
        <v>0</v>
      </c>
      <c r="AL15" s="29">
        <f>(COUNTIF(E15:AI16,4)*4)+(COUNTIF(E15:AI16,8)*8)</f>
        <v>0</v>
      </c>
      <c r="AM15" s="32">
        <f>ROUND((AJ15)/12,1)</f>
        <v>0</v>
      </c>
    </row>
    <row r="16" spans="1:39" ht="18" customHeight="1" x14ac:dyDescent="0.25">
      <c r="A16" s="20"/>
      <c r="B16" s="20"/>
      <c r="C16" s="20"/>
      <c r="D16" s="15" t="s">
        <v>42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20"/>
      <c r="AK16" s="20"/>
      <c r="AL16" s="20"/>
      <c r="AM16" s="20"/>
    </row>
    <row r="17" spans="1:39" ht="18" customHeight="1" x14ac:dyDescent="0.25">
      <c r="A17" s="31">
        <v>6</v>
      </c>
      <c r="B17" s="30"/>
      <c r="C17" s="30"/>
      <c r="D17" s="12" t="s">
        <v>41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33">
        <f>SUM(E17:AI18)</f>
        <v>0</v>
      </c>
      <c r="AK17" s="29">
        <f>COUNTIF(E17:AI18,12)*12</f>
        <v>0</v>
      </c>
      <c r="AL17" s="29">
        <f>(COUNTIF(E17:AI18,4)*4)+(COUNTIF(E17:AI18,8)*8)</f>
        <v>0</v>
      </c>
      <c r="AM17" s="32">
        <f>ROUND((AJ17)/12,1)</f>
        <v>0</v>
      </c>
    </row>
    <row r="18" spans="1:39" ht="18" customHeight="1" x14ac:dyDescent="0.25">
      <c r="A18" s="20"/>
      <c r="B18" s="20"/>
      <c r="C18" s="20"/>
      <c r="D18" s="15" t="s">
        <v>42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20"/>
      <c r="AK18" s="20"/>
      <c r="AL18" s="20"/>
      <c r="AM18" s="20"/>
    </row>
    <row r="19" spans="1:39" ht="18" customHeight="1" x14ac:dyDescent="0.25">
      <c r="A19" s="31">
        <v>7</v>
      </c>
      <c r="B19" s="30"/>
      <c r="C19" s="30"/>
      <c r="D19" s="12" t="s">
        <v>41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33">
        <f>SUM(E19:AI20)</f>
        <v>0</v>
      </c>
      <c r="AK19" s="29">
        <f>COUNTIF(E19:AI20,12)*12</f>
        <v>0</v>
      </c>
      <c r="AL19" s="29">
        <f>(COUNTIF(E19:AI20,4)*4)+(COUNTIF(E19:AI20,8)*8)</f>
        <v>0</v>
      </c>
      <c r="AM19" s="32">
        <f>ROUND((AJ19)/12,1)</f>
        <v>0</v>
      </c>
    </row>
    <row r="20" spans="1:39" ht="18" customHeight="1" x14ac:dyDescent="0.25">
      <c r="A20" s="20"/>
      <c r="B20" s="20"/>
      <c r="C20" s="20"/>
      <c r="D20" s="15" t="s">
        <v>42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20"/>
      <c r="AK20" s="20"/>
      <c r="AL20" s="20"/>
      <c r="AM20" s="20"/>
    </row>
    <row r="21" spans="1:39" ht="18" customHeight="1" x14ac:dyDescent="0.25">
      <c r="A21" s="31">
        <v>8</v>
      </c>
      <c r="B21" s="30"/>
      <c r="C21" s="30"/>
      <c r="D21" s="12" t="s">
        <v>41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33">
        <f>SUM(E21:AI22)</f>
        <v>0</v>
      </c>
      <c r="AK21" s="29">
        <f>COUNTIF(E21:AI22,12)*12</f>
        <v>0</v>
      </c>
      <c r="AL21" s="29">
        <f>(COUNTIF(E21:AI22,4)*4)+(COUNTIF(E21:AI22,8)*8)</f>
        <v>0</v>
      </c>
      <c r="AM21" s="32">
        <f>ROUND((AJ21)/12,1)</f>
        <v>0</v>
      </c>
    </row>
    <row r="22" spans="1:39" ht="18" customHeight="1" x14ac:dyDescent="0.25">
      <c r="A22" s="20"/>
      <c r="B22" s="20"/>
      <c r="C22" s="20"/>
      <c r="D22" s="15" t="s">
        <v>42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20"/>
      <c r="AK22" s="20"/>
      <c r="AL22" s="20"/>
      <c r="AM22" s="20"/>
    </row>
    <row r="23" spans="1:39" ht="18" customHeight="1" x14ac:dyDescent="0.25">
      <c r="A23" s="31">
        <v>9</v>
      </c>
      <c r="B23" s="30"/>
      <c r="C23" s="30"/>
      <c r="D23" s="12" t="s">
        <v>41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33">
        <f>SUM(E23:AI24)</f>
        <v>0</v>
      </c>
      <c r="AK23" s="29">
        <f>COUNTIF(E23:AI24,12)*12</f>
        <v>0</v>
      </c>
      <c r="AL23" s="29">
        <f>(COUNTIF(E23:AI24,4)*4)+(COUNTIF(E23:AI24,8)*8)</f>
        <v>0</v>
      </c>
      <c r="AM23" s="32">
        <f>ROUND((AJ23)/12,1)</f>
        <v>0</v>
      </c>
    </row>
    <row r="24" spans="1:39" ht="18" customHeight="1" x14ac:dyDescent="0.25">
      <c r="A24" s="20"/>
      <c r="B24" s="20"/>
      <c r="C24" s="20"/>
      <c r="D24" s="15" t="s">
        <v>42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20"/>
      <c r="AK24" s="20"/>
      <c r="AL24" s="20"/>
      <c r="AM24" s="20"/>
    </row>
    <row r="25" spans="1:39" ht="18" customHeight="1" x14ac:dyDescent="0.25">
      <c r="A25" s="31">
        <v>10</v>
      </c>
      <c r="B25" s="30"/>
      <c r="C25" s="30"/>
      <c r="D25" s="12" t="s">
        <v>41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33">
        <f>SUM(E25:AI26)</f>
        <v>0</v>
      </c>
      <c r="AK25" s="29">
        <f>COUNTIF(E25:AI26,12)*12</f>
        <v>0</v>
      </c>
      <c r="AL25" s="29">
        <f>(COUNTIF(E25:AI26,4)*4)+(COUNTIF(E25:AI26,8)*8)</f>
        <v>0</v>
      </c>
      <c r="AM25" s="32">
        <f>ROUND((AJ25)/12,1)</f>
        <v>0</v>
      </c>
    </row>
    <row r="26" spans="1:39" ht="18" customHeight="1" x14ac:dyDescent="0.25">
      <c r="A26" s="20"/>
      <c r="B26" s="20"/>
      <c r="C26" s="20"/>
      <c r="D26" s="15" t="s">
        <v>42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20"/>
      <c r="AK26" s="20"/>
      <c r="AL26" s="20"/>
      <c r="AM26" s="20"/>
    </row>
    <row r="27" spans="1:39" ht="18" customHeight="1" x14ac:dyDescent="0.25">
      <c r="A27" s="31">
        <v>11</v>
      </c>
      <c r="B27" s="30"/>
      <c r="C27" s="30"/>
      <c r="D27" s="12" t="s">
        <v>41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33">
        <f>SUM(E27:AI28)</f>
        <v>0</v>
      </c>
      <c r="AK27" s="29">
        <f>COUNTIF(E27:AI28,12)*12</f>
        <v>0</v>
      </c>
      <c r="AL27" s="29">
        <f>(COUNTIF(E27:AI28,4)*4)+(COUNTIF(E27:AI28,8)*8)</f>
        <v>0</v>
      </c>
      <c r="AM27" s="32">
        <f>ROUND((AJ27)/12,1)</f>
        <v>0</v>
      </c>
    </row>
    <row r="28" spans="1:39" ht="18" customHeight="1" x14ac:dyDescent="0.25">
      <c r="A28" s="20"/>
      <c r="B28" s="20"/>
      <c r="C28" s="20"/>
      <c r="D28" s="15" t="s">
        <v>42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20"/>
      <c r="AK28" s="20"/>
      <c r="AL28" s="20"/>
      <c r="AM28" s="20"/>
    </row>
    <row r="29" spans="1:39" ht="18" customHeight="1" x14ac:dyDescent="0.25">
      <c r="A29" s="31">
        <v>12</v>
      </c>
      <c r="B29" s="30"/>
      <c r="C29" s="30"/>
      <c r="D29" s="12" t="s">
        <v>41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33">
        <f>SUM(E29:AI30)</f>
        <v>0</v>
      </c>
      <c r="AK29" s="29">
        <f>COUNTIF(E29:AI30,12)*12</f>
        <v>0</v>
      </c>
      <c r="AL29" s="29">
        <f>(COUNTIF(E29:AI30,4)*4)+(COUNTIF(E29:AI30,8)*8)</f>
        <v>0</v>
      </c>
      <c r="AM29" s="32">
        <f>ROUND((AJ29)/12,1)</f>
        <v>0</v>
      </c>
    </row>
    <row r="30" spans="1:39" ht="18" customHeight="1" x14ac:dyDescent="0.25">
      <c r="A30" s="20"/>
      <c r="B30" s="20"/>
      <c r="C30" s="20"/>
      <c r="D30" s="15" t="s">
        <v>42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20"/>
      <c r="AK30" s="20"/>
      <c r="AL30" s="20"/>
      <c r="AM30" s="20"/>
    </row>
    <row r="31" spans="1:39" ht="18" customHeight="1" x14ac:dyDescent="0.25">
      <c r="A31" s="31">
        <v>13</v>
      </c>
      <c r="B31" s="30"/>
      <c r="C31" s="30"/>
      <c r="D31" s="12" t="s">
        <v>41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33">
        <f>SUM(E31:AI32)</f>
        <v>0</v>
      </c>
      <c r="AK31" s="29">
        <f>COUNTIF(E31:AI32,12)*12</f>
        <v>0</v>
      </c>
      <c r="AL31" s="29">
        <f>(COUNTIF(E31:AI32,4)*4)+(COUNTIF(E31:AI32,8)*8)</f>
        <v>0</v>
      </c>
      <c r="AM31" s="32">
        <f>ROUND((AJ31)/12,1)</f>
        <v>0</v>
      </c>
    </row>
    <row r="32" spans="1:39" ht="18" customHeight="1" x14ac:dyDescent="0.25">
      <c r="A32" s="20"/>
      <c r="B32" s="20"/>
      <c r="C32" s="20"/>
      <c r="D32" s="15" t="s">
        <v>42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20"/>
      <c r="AK32" s="20"/>
      <c r="AL32" s="20"/>
      <c r="AM32" s="20"/>
    </row>
    <row r="33" spans="1:39" ht="18" customHeight="1" x14ac:dyDescent="0.25">
      <c r="A33" s="31">
        <v>14</v>
      </c>
      <c r="B33" s="30"/>
      <c r="C33" s="30"/>
      <c r="D33" s="12" t="s">
        <v>41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33">
        <f>SUM(E33:AI34)</f>
        <v>0</v>
      </c>
      <c r="AK33" s="29">
        <f>COUNTIF(E33:AI34,12)*12</f>
        <v>0</v>
      </c>
      <c r="AL33" s="29">
        <f>(COUNTIF(E33:AI34,4)*4)+(COUNTIF(E33:AI34,8)*8)</f>
        <v>0</v>
      </c>
      <c r="AM33" s="32">
        <f>ROUND((AJ33)/12,1)</f>
        <v>0</v>
      </c>
    </row>
    <row r="34" spans="1:39" ht="18" customHeight="1" x14ac:dyDescent="0.25">
      <c r="A34" s="20"/>
      <c r="B34" s="20"/>
      <c r="C34" s="20"/>
      <c r="D34" s="15" t="s">
        <v>42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20"/>
      <c r="AK34" s="20"/>
      <c r="AL34" s="20"/>
      <c r="AM34" s="20"/>
    </row>
    <row r="35" spans="1:39" ht="18" customHeight="1" x14ac:dyDescent="0.25">
      <c r="A35" s="31">
        <v>15</v>
      </c>
      <c r="B35" s="30"/>
      <c r="C35" s="30"/>
      <c r="D35" s="12" t="s">
        <v>41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33">
        <f>SUM(E35:AI36)</f>
        <v>0</v>
      </c>
      <c r="AK35" s="29">
        <f>COUNTIF(E35:AI36,12)*12</f>
        <v>0</v>
      </c>
      <c r="AL35" s="29">
        <f>(COUNTIF(E35:AI36,4)*4)+(COUNTIF(E35:AI36,8)*8)</f>
        <v>0</v>
      </c>
      <c r="AM35" s="32">
        <f>ROUND((AJ35)/12,1)</f>
        <v>0</v>
      </c>
    </row>
    <row r="36" spans="1:39" ht="18" customHeight="1" x14ac:dyDescent="0.25">
      <c r="A36" s="20"/>
      <c r="B36" s="20"/>
      <c r="C36" s="20"/>
      <c r="D36" s="15" t="s">
        <v>42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20"/>
      <c r="AK36" s="20"/>
      <c r="AL36" s="20"/>
      <c r="AM36" s="20"/>
    </row>
    <row r="37" spans="1:39" ht="21.95" customHeight="1" x14ac:dyDescent="0.25">
      <c r="A37" s="42" t="s">
        <v>55</v>
      </c>
      <c r="B37" s="43"/>
      <c r="C37" s="43"/>
      <c r="D37" s="43"/>
      <c r="E37" s="16">
        <f t="shared" ref="E37:AM37" si="0">SUM(E7:E36)</f>
        <v>0</v>
      </c>
      <c r="F37" s="16">
        <f t="shared" si="0"/>
        <v>0</v>
      </c>
      <c r="G37" s="16">
        <f t="shared" si="0"/>
        <v>0</v>
      </c>
      <c r="H37" s="16">
        <f t="shared" si="0"/>
        <v>0</v>
      </c>
      <c r="I37" s="16">
        <f t="shared" si="0"/>
        <v>0</v>
      </c>
      <c r="J37" s="16">
        <f t="shared" si="0"/>
        <v>0</v>
      </c>
      <c r="K37" s="16">
        <f t="shared" si="0"/>
        <v>0</v>
      </c>
      <c r="L37" s="16">
        <f t="shared" si="0"/>
        <v>0</v>
      </c>
      <c r="M37" s="16">
        <f t="shared" si="0"/>
        <v>0</v>
      </c>
      <c r="N37" s="16">
        <f t="shared" si="0"/>
        <v>0</v>
      </c>
      <c r="O37" s="16">
        <f t="shared" si="0"/>
        <v>0</v>
      </c>
      <c r="P37" s="16">
        <f t="shared" si="0"/>
        <v>0</v>
      </c>
      <c r="Q37" s="16">
        <f t="shared" si="0"/>
        <v>0</v>
      </c>
      <c r="R37" s="16">
        <f t="shared" si="0"/>
        <v>0</v>
      </c>
      <c r="S37" s="16">
        <f t="shared" si="0"/>
        <v>0</v>
      </c>
      <c r="T37" s="16">
        <f t="shared" si="0"/>
        <v>0</v>
      </c>
      <c r="U37" s="16">
        <f t="shared" si="0"/>
        <v>0</v>
      </c>
      <c r="V37" s="16">
        <f t="shared" si="0"/>
        <v>0</v>
      </c>
      <c r="W37" s="16">
        <f t="shared" si="0"/>
        <v>0</v>
      </c>
      <c r="X37" s="16">
        <f t="shared" si="0"/>
        <v>0</v>
      </c>
      <c r="Y37" s="16">
        <f t="shared" si="0"/>
        <v>0</v>
      </c>
      <c r="Z37" s="16">
        <f t="shared" si="0"/>
        <v>0</v>
      </c>
      <c r="AA37" s="16">
        <f t="shared" si="0"/>
        <v>0</v>
      </c>
      <c r="AB37" s="16">
        <f t="shared" si="0"/>
        <v>0</v>
      </c>
      <c r="AC37" s="16">
        <f t="shared" si="0"/>
        <v>0</v>
      </c>
      <c r="AD37" s="16">
        <f t="shared" si="0"/>
        <v>0</v>
      </c>
      <c r="AE37" s="16">
        <f t="shared" si="0"/>
        <v>0</v>
      </c>
      <c r="AF37" s="16">
        <f t="shared" si="0"/>
        <v>0</v>
      </c>
      <c r="AG37" s="16">
        <f t="shared" si="0"/>
        <v>0</v>
      </c>
      <c r="AH37" s="16">
        <f t="shared" si="0"/>
        <v>0</v>
      </c>
      <c r="AI37" s="16">
        <f t="shared" si="0"/>
        <v>0</v>
      </c>
      <c r="AJ37" s="17">
        <f t="shared" si="0"/>
        <v>0</v>
      </c>
      <c r="AK37" s="17">
        <f t="shared" si="0"/>
        <v>0</v>
      </c>
      <c r="AL37" s="17">
        <f t="shared" si="0"/>
        <v>0</v>
      </c>
      <c r="AM37" s="18">
        <f t="shared" si="0"/>
        <v>0</v>
      </c>
    </row>
    <row r="39" spans="1:39" x14ac:dyDescent="0.25">
      <c r="A39" s="38" t="s">
        <v>44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spans="1:39" x14ac:dyDescent="0.25">
      <c r="A40" s="35" t="s">
        <v>45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39" x14ac:dyDescent="0.25">
      <c r="A41" s="35" t="s">
        <v>46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39" x14ac:dyDescent="0.25">
      <c r="A42" s="35" t="s">
        <v>47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39" x14ac:dyDescent="0.25">
      <c r="A43" s="35" t="s">
        <v>48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5" spans="1:39" x14ac:dyDescent="0.25">
      <c r="A45" s="44" t="s">
        <v>56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V45" s="44" t="s">
        <v>50</v>
      </c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</row>
  </sheetData>
  <autoFilter ref="A6:AM36" xr:uid="{00000000-0009-0000-0000-000003000000}"/>
  <mergeCells count="127">
    <mergeCell ref="AM31:AM32"/>
    <mergeCell ref="AL17:AL18"/>
    <mergeCell ref="A29:A30"/>
    <mergeCell ref="AM25:AM26"/>
    <mergeCell ref="AL23:AL24"/>
    <mergeCell ref="B5:B6"/>
    <mergeCell ref="D5:D6"/>
    <mergeCell ref="C13:C14"/>
    <mergeCell ref="AK31:AK32"/>
    <mergeCell ref="AK23:AK24"/>
    <mergeCell ref="AJ9:AJ10"/>
    <mergeCell ref="AL9:AL10"/>
    <mergeCell ref="A15:A16"/>
    <mergeCell ref="AK13:AK14"/>
    <mergeCell ref="C15:C16"/>
    <mergeCell ref="AK7:AK8"/>
    <mergeCell ref="A41:AB41"/>
    <mergeCell ref="AJ25:AJ26"/>
    <mergeCell ref="A45:O45"/>
    <mergeCell ref="AL19:AL20"/>
    <mergeCell ref="A31:A32"/>
    <mergeCell ref="AC2:AJ2"/>
    <mergeCell ref="B21:B22"/>
    <mergeCell ref="AK19:AK20"/>
    <mergeCell ref="C33:C34"/>
    <mergeCell ref="A42:AB42"/>
    <mergeCell ref="AJ11:AJ12"/>
    <mergeCell ref="AK33:AK34"/>
    <mergeCell ref="C35:C36"/>
    <mergeCell ref="C9:C10"/>
    <mergeCell ref="AC3:AJ3"/>
    <mergeCell ref="AK5:AK6"/>
    <mergeCell ref="A25:A26"/>
    <mergeCell ref="C25:C26"/>
    <mergeCell ref="V45:AM45"/>
    <mergeCell ref="C11:C12"/>
    <mergeCell ref="AM11:AM12"/>
    <mergeCell ref="B19:B20"/>
    <mergeCell ref="A5:A6"/>
    <mergeCell ref="AL21:AL22"/>
    <mergeCell ref="A39:T39"/>
    <mergeCell ref="AK9:AK10"/>
    <mergeCell ref="AM9:AM10"/>
    <mergeCell ref="AJ7:AJ8"/>
    <mergeCell ref="AL7:AL8"/>
    <mergeCell ref="A1:K1"/>
    <mergeCell ref="AK15:AK16"/>
    <mergeCell ref="AJ23:AJ24"/>
    <mergeCell ref="AK29:AK30"/>
    <mergeCell ref="C21:C22"/>
    <mergeCell ref="B9:B10"/>
    <mergeCell ref="AM15:AM16"/>
    <mergeCell ref="C23:C24"/>
    <mergeCell ref="A13:A14"/>
    <mergeCell ref="C7:C8"/>
    <mergeCell ref="AC1:AJ1"/>
    <mergeCell ref="E5:AI5"/>
    <mergeCell ref="B33:B34"/>
    <mergeCell ref="AJ33:AJ34"/>
    <mergeCell ref="AL33:AL34"/>
    <mergeCell ref="A37:D37"/>
    <mergeCell ref="AJ35:AJ36"/>
    <mergeCell ref="AL35:AL36"/>
    <mergeCell ref="AM5:AM6"/>
    <mergeCell ref="A43:AB43"/>
    <mergeCell ref="AL25:AL26"/>
    <mergeCell ref="AK11:AK12"/>
    <mergeCell ref="C31:C32"/>
    <mergeCell ref="A40:AB40"/>
    <mergeCell ref="A21:A22"/>
    <mergeCell ref="AJ5:AJ6"/>
    <mergeCell ref="AL5:AL6"/>
    <mergeCell ref="A17:A18"/>
    <mergeCell ref="C17:C18"/>
    <mergeCell ref="AK27:AK28"/>
    <mergeCell ref="A23:A24"/>
    <mergeCell ref="A19:A20"/>
    <mergeCell ref="AK17:AK18"/>
    <mergeCell ref="C19:C20"/>
    <mergeCell ref="A9:A10"/>
    <mergeCell ref="AJ29:AJ30"/>
    <mergeCell ref="AL29:AL30"/>
    <mergeCell ref="B7:B8"/>
    <mergeCell ref="AJ21:AJ22"/>
    <mergeCell ref="AL15:AL16"/>
    <mergeCell ref="A11:A12"/>
    <mergeCell ref="C5:C6"/>
    <mergeCell ref="B31:B32"/>
    <mergeCell ref="AK35:AK36"/>
    <mergeCell ref="A33:A34"/>
    <mergeCell ref="C27:C28"/>
    <mergeCell ref="A2:K2"/>
    <mergeCell ref="A35:A36"/>
    <mergeCell ref="B25:B26"/>
    <mergeCell ref="AM33:AM34"/>
    <mergeCell ref="B35:B36"/>
    <mergeCell ref="B27:B28"/>
    <mergeCell ref="AL27:AL28"/>
    <mergeCell ref="AM13:AM14"/>
    <mergeCell ref="B17:B18"/>
    <mergeCell ref="AJ17:AJ18"/>
    <mergeCell ref="B11:B12"/>
    <mergeCell ref="AK25:AK26"/>
    <mergeCell ref="AM19:AM20"/>
    <mergeCell ref="AJ19:AJ20"/>
    <mergeCell ref="AM27:AM28"/>
    <mergeCell ref="AM21:AM22"/>
    <mergeCell ref="AM17:AM18"/>
    <mergeCell ref="AM23:AM24"/>
    <mergeCell ref="AJ31:AJ32"/>
    <mergeCell ref="AL31:AL32"/>
    <mergeCell ref="AM35:AM36"/>
    <mergeCell ref="AL11:AL12"/>
    <mergeCell ref="C29:C30"/>
    <mergeCell ref="A7:A8"/>
    <mergeCell ref="AM29:AM30"/>
    <mergeCell ref="AJ27:AJ28"/>
    <mergeCell ref="B29:B30"/>
    <mergeCell ref="B23:B24"/>
    <mergeCell ref="A27:A28"/>
    <mergeCell ref="B13:B14"/>
    <mergeCell ref="AJ13:AJ14"/>
    <mergeCell ref="AL13:AL14"/>
    <mergeCell ref="AK21:AK22"/>
    <mergeCell ref="AM7:AM8"/>
    <mergeCell ref="B15:B16"/>
    <mergeCell ref="AJ15:AJ16"/>
  </mergeCells>
  <pageMargins left="0.25" right="0.25" top="0.35" bottom="0.35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45"/>
  <sheetViews>
    <sheetView topLeftCell="E1" workbookViewId="0">
      <selection activeCell="AL7" sqref="AL7:AL8"/>
    </sheetView>
  </sheetViews>
  <sheetFormatPr defaultRowHeight="15" x14ac:dyDescent="0.25"/>
  <cols>
    <col min="1" max="1" width="3" style="9" bestFit="1" customWidth="1"/>
    <col min="2" max="2" width="14.42578125" style="9" bestFit="1" customWidth="1"/>
    <col min="3" max="3" width="10" style="9" bestFit="1" customWidth="1"/>
    <col min="4" max="4" width="4.7109375" style="9" bestFit="1" customWidth="1"/>
    <col min="5" max="13" width="6.42578125" style="9" bestFit="1" customWidth="1"/>
    <col min="14" max="35" width="7.28515625" style="9" bestFit="1" customWidth="1"/>
    <col min="36" max="36" width="10.140625" style="9" bestFit="1" customWidth="1"/>
    <col min="37" max="37" width="12.85546875" style="9" bestFit="1" customWidth="1"/>
    <col min="38" max="38" width="13.5703125" style="9" bestFit="1" customWidth="1"/>
    <col min="39" max="39" width="9.42578125" style="9" bestFit="1" customWidth="1"/>
  </cols>
  <sheetData>
    <row r="1" spans="1:39" ht="17.25" x14ac:dyDescent="0.25">
      <c r="A1" s="39" t="s">
        <v>57</v>
      </c>
      <c r="B1" s="20"/>
      <c r="C1" s="20"/>
      <c r="D1" s="20"/>
      <c r="E1" s="20"/>
      <c r="F1" s="20"/>
      <c r="G1" s="20"/>
      <c r="H1" s="20"/>
      <c r="I1" s="20"/>
      <c r="J1" s="20"/>
      <c r="K1" s="20"/>
      <c r="AC1" s="40" t="s">
        <v>1</v>
      </c>
      <c r="AD1" s="20"/>
      <c r="AE1" s="20"/>
      <c r="AF1" s="20"/>
      <c r="AG1" s="20"/>
      <c r="AH1" s="20"/>
      <c r="AI1" s="20"/>
      <c r="AJ1" s="20"/>
    </row>
    <row r="2" spans="1:39" x14ac:dyDescent="0.25">
      <c r="A2" s="34" t="s">
        <v>30</v>
      </c>
      <c r="B2" s="20"/>
      <c r="C2" s="20"/>
      <c r="D2" s="20"/>
      <c r="E2" s="20"/>
      <c r="F2" s="20"/>
      <c r="G2" s="20"/>
      <c r="H2" s="20"/>
      <c r="I2" s="20"/>
      <c r="J2" s="20"/>
      <c r="K2" s="20"/>
      <c r="AC2" s="45" t="s">
        <v>3</v>
      </c>
      <c r="AD2" s="20"/>
      <c r="AE2" s="20"/>
      <c r="AF2" s="20"/>
      <c r="AG2" s="20"/>
      <c r="AH2" s="20"/>
      <c r="AI2" s="20"/>
      <c r="AJ2" s="20"/>
    </row>
    <row r="3" spans="1:39" x14ac:dyDescent="0.25">
      <c r="AC3" s="45" t="s">
        <v>31</v>
      </c>
      <c r="AD3" s="20"/>
      <c r="AE3" s="20"/>
      <c r="AF3" s="20"/>
      <c r="AG3" s="20"/>
      <c r="AH3" s="20"/>
      <c r="AI3" s="20"/>
      <c r="AJ3" s="20"/>
    </row>
    <row r="5" spans="1:39" ht="18" customHeight="1" x14ac:dyDescent="0.25">
      <c r="A5" s="37" t="s">
        <v>32</v>
      </c>
      <c r="B5" s="37" t="s">
        <v>33</v>
      </c>
      <c r="C5" s="37" t="s">
        <v>34</v>
      </c>
      <c r="D5" s="37" t="s">
        <v>35</v>
      </c>
      <c r="E5" s="41" t="s">
        <v>36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36" t="s">
        <v>37</v>
      </c>
      <c r="AK5" s="36" t="s">
        <v>38</v>
      </c>
      <c r="AL5" s="36" t="s">
        <v>39</v>
      </c>
      <c r="AM5" s="36" t="s">
        <v>40</v>
      </c>
    </row>
    <row r="6" spans="1:39" ht="18" customHeight="1" x14ac:dyDescent="0.25">
      <c r="A6" s="20"/>
      <c r="B6" s="20"/>
      <c r="C6" s="20"/>
      <c r="D6" s="20"/>
      <c r="E6" s="11">
        <v>1</v>
      </c>
      <c r="F6" s="11">
        <v>2</v>
      </c>
      <c r="G6" s="11">
        <v>3</v>
      </c>
      <c r="H6" s="11">
        <v>4</v>
      </c>
      <c r="I6" s="11">
        <v>5</v>
      </c>
      <c r="J6" s="11">
        <v>6</v>
      </c>
      <c r="K6" s="11">
        <v>7</v>
      </c>
      <c r="L6" s="11">
        <v>8</v>
      </c>
      <c r="M6" s="11">
        <v>9</v>
      </c>
      <c r="N6" s="11">
        <v>10</v>
      </c>
      <c r="O6" s="11">
        <v>11</v>
      </c>
      <c r="P6" s="11">
        <v>12</v>
      </c>
      <c r="Q6" s="11">
        <v>13</v>
      </c>
      <c r="R6" s="11">
        <v>14</v>
      </c>
      <c r="S6" s="11">
        <v>15</v>
      </c>
      <c r="T6" s="11">
        <v>16</v>
      </c>
      <c r="U6" s="11">
        <v>17</v>
      </c>
      <c r="V6" s="11">
        <v>18</v>
      </c>
      <c r="W6" s="11">
        <v>19</v>
      </c>
      <c r="X6" s="11">
        <v>20</v>
      </c>
      <c r="Y6" s="11">
        <v>21</v>
      </c>
      <c r="Z6" s="11">
        <v>22</v>
      </c>
      <c r="AA6" s="11">
        <v>23</v>
      </c>
      <c r="AB6" s="11">
        <v>24</v>
      </c>
      <c r="AC6" s="11">
        <v>25</v>
      </c>
      <c r="AD6" s="11">
        <v>26</v>
      </c>
      <c r="AE6" s="11">
        <v>27</v>
      </c>
      <c r="AF6" s="11">
        <v>28</v>
      </c>
      <c r="AG6" s="11">
        <v>29</v>
      </c>
      <c r="AH6" s="11">
        <v>30</v>
      </c>
      <c r="AI6" s="11">
        <v>31</v>
      </c>
      <c r="AJ6" s="20"/>
      <c r="AK6" s="20"/>
      <c r="AL6" s="20"/>
      <c r="AM6" s="20"/>
    </row>
    <row r="7" spans="1:39" ht="18" customHeight="1" x14ac:dyDescent="0.25">
      <c r="A7" s="31">
        <v>1</v>
      </c>
      <c r="B7" s="30"/>
      <c r="C7" s="30"/>
      <c r="D7" s="12" t="s">
        <v>41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33">
        <f>SUM(E7:AI8)</f>
        <v>0</v>
      </c>
      <c r="AK7" s="29">
        <f>COUNTIF(E7:AI8,12)*12</f>
        <v>0</v>
      </c>
      <c r="AL7" s="29">
        <f>(COUNTIF(E7:AI8,4)*4)+(COUNTIF(E7:AI8,8)*8)</f>
        <v>0</v>
      </c>
      <c r="AM7" s="32">
        <f>ROUND((AJ7)/12,1)</f>
        <v>0</v>
      </c>
    </row>
    <row r="8" spans="1:39" ht="18" customHeight="1" x14ac:dyDescent="0.25">
      <c r="A8" s="20"/>
      <c r="B8" s="20"/>
      <c r="C8" s="20"/>
      <c r="D8" s="15" t="s">
        <v>42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20"/>
      <c r="AK8" s="20"/>
      <c r="AL8" s="20"/>
      <c r="AM8" s="20"/>
    </row>
    <row r="9" spans="1:39" ht="18" customHeight="1" x14ac:dyDescent="0.25">
      <c r="A9" s="31">
        <v>2</v>
      </c>
      <c r="B9" s="30"/>
      <c r="C9" s="30"/>
      <c r="D9" s="12" t="s">
        <v>41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33">
        <f>SUM(E9:AI10)</f>
        <v>0</v>
      </c>
      <c r="AK9" s="29">
        <f>COUNTIF(E9:AI10,12)*12</f>
        <v>0</v>
      </c>
      <c r="AL9" s="29">
        <f>(COUNTIF(E9:AI10,4)*4)+(COUNTIF(E9:AI10,8)*8)</f>
        <v>0</v>
      </c>
      <c r="AM9" s="32">
        <f>ROUND((AJ9)/12,1)</f>
        <v>0</v>
      </c>
    </row>
    <row r="10" spans="1:39" ht="18" customHeight="1" x14ac:dyDescent="0.25">
      <c r="A10" s="20"/>
      <c r="B10" s="20"/>
      <c r="C10" s="20"/>
      <c r="D10" s="15" t="s">
        <v>42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20"/>
      <c r="AK10" s="20"/>
      <c r="AL10" s="20"/>
      <c r="AM10" s="20"/>
    </row>
    <row r="11" spans="1:39" ht="18" customHeight="1" x14ac:dyDescent="0.25">
      <c r="A11" s="31">
        <v>3</v>
      </c>
      <c r="B11" s="30"/>
      <c r="C11" s="30"/>
      <c r="D11" s="12" t="s">
        <v>41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33">
        <f>SUM(E11:AI12)</f>
        <v>0</v>
      </c>
      <c r="AK11" s="29">
        <f>COUNTIF(E11:AI12,12)*12</f>
        <v>0</v>
      </c>
      <c r="AL11" s="29">
        <f>(COUNTIF(E11:AI12,4)*4)+(COUNTIF(E11:AI12,8)*8)</f>
        <v>0</v>
      </c>
      <c r="AM11" s="32">
        <f>ROUND((AJ11)/12,1)</f>
        <v>0</v>
      </c>
    </row>
    <row r="12" spans="1:39" ht="18" customHeight="1" x14ac:dyDescent="0.25">
      <c r="A12" s="20"/>
      <c r="B12" s="20"/>
      <c r="C12" s="20"/>
      <c r="D12" s="15" t="s">
        <v>42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20"/>
      <c r="AK12" s="20"/>
      <c r="AL12" s="20"/>
      <c r="AM12" s="20"/>
    </row>
    <row r="13" spans="1:39" ht="18" customHeight="1" x14ac:dyDescent="0.25">
      <c r="A13" s="31">
        <v>4</v>
      </c>
      <c r="B13" s="30"/>
      <c r="C13" s="30"/>
      <c r="D13" s="12" t="s">
        <v>41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33">
        <f>SUM(E13:AI14)</f>
        <v>0</v>
      </c>
      <c r="AK13" s="29">
        <f>COUNTIF(E13:AI14,12)*12</f>
        <v>0</v>
      </c>
      <c r="AL13" s="29">
        <f>(COUNTIF(E13:AI14,4)*4)+(COUNTIF(E13:AI14,8)*8)</f>
        <v>0</v>
      </c>
      <c r="AM13" s="32">
        <f>ROUND((AJ13)/12,1)</f>
        <v>0</v>
      </c>
    </row>
    <row r="14" spans="1:39" ht="18" customHeight="1" x14ac:dyDescent="0.25">
      <c r="A14" s="20"/>
      <c r="B14" s="20"/>
      <c r="C14" s="20"/>
      <c r="D14" s="15" t="s">
        <v>42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20"/>
      <c r="AK14" s="20"/>
      <c r="AL14" s="20"/>
      <c r="AM14" s="20"/>
    </row>
    <row r="15" spans="1:39" ht="18" customHeight="1" x14ac:dyDescent="0.25">
      <c r="A15" s="31">
        <v>5</v>
      </c>
      <c r="B15" s="30"/>
      <c r="C15" s="30"/>
      <c r="D15" s="12" t="s">
        <v>41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33">
        <f>SUM(E15:AI16)</f>
        <v>0</v>
      </c>
      <c r="AK15" s="29">
        <f>COUNTIF(E15:AI16,12)*12</f>
        <v>0</v>
      </c>
      <c r="AL15" s="29">
        <f>(COUNTIF(E15:AI16,4)*4)+(COUNTIF(E15:AI16,8)*8)</f>
        <v>0</v>
      </c>
      <c r="AM15" s="32">
        <f>ROUND((AJ15)/12,1)</f>
        <v>0</v>
      </c>
    </row>
    <row r="16" spans="1:39" ht="18" customHeight="1" x14ac:dyDescent="0.25">
      <c r="A16" s="20"/>
      <c r="B16" s="20"/>
      <c r="C16" s="20"/>
      <c r="D16" s="15" t="s">
        <v>42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20"/>
      <c r="AK16" s="20"/>
      <c r="AL16" s="20"/>
      <c r="AM16" s="20"/>
    </row>
    <row r="17" spans="1:39" ht="18" customHeight="1" x14ac:dyDescent="0.25">
      <c r="A17" s="31">
        <v>6</v>
      </c>
      <c r="B17" s="30"/>
      <c r="C17" s="30"/>
      <c r="D17" s="12" t="s">
        <v>41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33">
        <f>SUM(E17:AI18)</f>
        <v>0</v>
      </c>
      <c r="AK17" s="29">
        <f>COUNTIF(E17:AI18,12)*12</f>
        <v>0</v>
      </c>
      <c r="AL17" s="29">
        <f>(COUNTIF(E17:AI18,4)*4)+(COUNTIF(E17:AI18,8)*8)</f>
        <v>0</v>
      </c>
      <c r="AM17" s="32">
        <f>ROUND((AJ17)/12,1)</f>
        <v>0</v>
      </c>
    </row>
    <row r="18" spans="1:39" ht="18" customHeight="1" x14ac:dyDescent="0.25">
      <c r="A18" s="20"/>
      <c r="B18" s="20"/>
      <c r="C18" s="20"/>
      <c r="D18" s="15" t="s">
        <v>42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20"/>
      <c r="AK18" s="20"/>
      <c r="AL18" s="20"/>
      <c r="AM18" s="20"/>
    </row>
    <row r="19" spans="1:39" ht="18" customHeight="1" x14ac:dyDescent="0.25">
      <c r="A19" s="31">
        <v>7</v>
      </c>
      <c r="B19" s="30"/>
      <c r="C19" s="30"/>
      <c r="D19" s="12" t="s">
        <v>41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33">
        <f>SUM(E19:AI20)</f>
        <v>0</v>
      </c>
      <c r="AK19" s="29">
        <f>COUNTIF(E19:AI20,12)*12</f>
        <v>0</v>
      </c>
      <c r="AL19" s="29">
        <f>(COUNTIF(E19:AI20,4)*4)+(COUNTIF(E19:AI20,8)*8)</f>
        <v>0</v>
      </c>
      <c r="AM19" s="32">
        <f>ROUND((AJ19)/12,1)</f>
        <v>0</v>
      </c>
    </row>
    <row r="20" spans="1:39" ht="18" customHeight="1" x14ac:dyDescent="0.25">
      <c r="A20" s="20"/>
      <c r="B20" s="20"/>
      <c r="C20" s="20"/>
      <c r="D20" s="15" t="s">
        <v>42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20"/>
      <c r="AK20" s="20"/>
      <c r="AL20" s="20"/>
      <c r="AM20" s="20"/>
    </row>
    <row r="21" spans="1:39" ht="18" customHeight="1" x14ac:dyDescent="0.25">
      <c r="A21" s="31">
        <v>8</v>
      </c>
      <c r="B21" s="30"/>
      <c r="C21" s="30"/>
      <c r="D21" s="12" t="s">
        <v>41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33">
        <f>SUM(E21:AI22)</f>
        <v>0</v>
      </c>
      <c r="AK21" s="29">
        <f>COUNTIF(E21:AI22,12)*12</f>
        <v>0</v>
      </c>
      <c r="AL21" s="29">
        <f>(COUNTIF(E21:AI22,4)*4)+(COUNTIF(E21:AI22,8)*8)</f>
        <v>0</v>
      </c>
      <c r="AM21" s="32">
        <f>ROUND((AJ21)/12,1)</f>
        <v>0</v>
      </c>
    </row>
    <row r="22" spans="1:39" ht="18" customHeight="1" x14ac:dyDescent="0.25">
      <c r="A22" s="20"/>
      <c r="B22" s="20"/>
      <c r="C22" s="20"/>
      <c r="D22" s="15" t="s">
        <v>42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20"/>
      <c r="AK22" s="20"/>
      <c r="AL22" s="20"/>
      <c r="AM22" s="20"/>
    </row>
    <row r="23" spans="1:39" ht="18" customHeight="1" x14ac:dyDescent="0.25">
      <c r="A23" s="31">
        <v>9</v>
      </c>
      <c r="B23" s="30"/>
      <c r="C23" s="30"/>
      <c r="D23" s="12" t="s">
        <v>41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33">
        <f>SUM(E23:AI24)</f>
        <v>0</v>
      </c>
      <c r="AK23" s="29">
        <f>COUNTIF(E23:AI24,12)*12</f>
        <v>0</v>
      </c>
      <c r="AL23" s="29">
        <f>(COUNTIF(E23:AI24,4)*4)+(COUNTIF(E23:AI24,8)*8)</f>
        <v>0</v>
      </c>
      <c r="AM23" s="32">
        <f>ROUND((AJ23)/12,1)</f>
        <v>0</v>
      </c>
    </row>
    <row r="24" spans="1:39" ht="18" customHeight="1" x14ac:dyDescent="0.25">
      <c r="A24" s="20"/>
      <c r="B24" s="20"/>
      <c r="C24" s="20"/>
      <c r="D24" s="15" t="s">
        <v>42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20"/>
      <c r="AK24" s="20"/>
      <c r="AL24" s="20"/>
      <c r="AM24" s="20"/>
    </row>
    <row r="25" spans="1:39" ht="18" customHeight="1" x14ac:dyDescent="0.25">
      <c r="A25" s="31">
        <v>10</v>
      </c>
      <c r="B25" s="30"/>
      <c r="C25" s="30"/>
      <c r="D25" s="12" t="s">
        <v>41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33">
        <f>SUM(E25:AI26)</f>
        <v>0</v>
      </c>
      <c r="AK25" s="29">
        <f>COUNTIF(E25:AI26,12)*12</f>
        <v>0</v>
      </c>
      <c r="AL25" s="29">
        <f>(COUNTIF(E25:AI26,4)*4)+(COUNTIF(E25:AI26,8)*8)</f>
        <v>0</v>
      </c>
      <c r="AM25" s="32">
        <f>ROUND((AJ25)/12,1)</f>
        <v>0</v>
      </c>
    </row>
    <row r="26" spans="1:39" ht="18" customHeight="1" x14ac:dyDescent="0.25">
      <c r="A26" s="20"/>
      <c r="B26" s="20"/>
      <c r="C26" s="20"/>
      <c r="D26" s="15" t="s">
        <v>42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20"/>
      <c r="AK26" s="20"/>
      <c r="AL26" s="20"/>
      <c r="AM26" s="20"/>
    </row>
    <row r="27" spans="1:39" ht="18" customHeight="1" x14ac:dyDescent="0.25">
      <c r="A27" s="31">
        <v>11</v>
      </c>
      <c r="B27" s="30"/>
      <c r="C27" s="30"/>
      <c r="D27" s="12" t="s">
        <v>41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33">
        <f>SUM(E27:AI28)</f>
        <v>0</v>
      </c>
      <c r="AK27" s="29">
        <f>COUNTIF(E27:AI28,12)*12</f>
        <v>0</v>
      </c>
      <c r="AL27" s="29">
        <f>(COUNTIF(E27:AI28,4)*4)+(COUNTIF(E27:AI28,8)*8)</f>
        <v>0</v>
      </c>
      <c r="AM27" s="32">
        <f>ROUND((AJ27)/12,1)</f>
        <v>0</v>
      </c>
    </row>
    <row r="28" spans="1:39" ht="18" customHeight="1" x14ac:dyDescent="0.25">
      <c r="A28" s="20"/>
      <c r="B28" s="20"/>
      <c r="C28" s="20"/>
      <c r="D28" s="15" t="s">
        <v>42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20"/>
      <c r="AK28" s="20"/>
      <c r="AL28" s="20"/>
      <c r="AM28" s="20"/>
    </row>
    <row r="29" spans="1:39" ht="18" customHeight="1" x14ac:dyDescent="0.25">
      <c r="A29" s="31">
        <v>12</v>
      </c>
      <c r="B29" s="30"/>
      <c r="C29" s="30"/>
      <c r="D29" s="12" t="s">
        <v>41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33">
        <f>SUM(E29:AI30)</f>
        <v>0</v>
      </c>
      <c r="AK29" s="29">
        <f>COUNTIF(E29:AI30,12)*12</f>
        <v>0</v>
      </c>
      <c r="AL29" s="29">
        <f>(COUNTIF(E29:AI30,4)*4)+(COUNTIF(E29:AI30,8)*8)</f>
        <v>0</v>
      </c>
      <c r="AM29" s="32">
        <f>ROUND((AJ29)/12,1)</f>
        <v>0</v>
      </c>
    </row>
    <row r="30" spans="1:39" ht="18" customHeight="1" x14ac:dyDescent="0.25">
      <c r="A30" s="20"/>
      <c r="B30" s="20"/>
      <c r="C30" s="20"/>
      <c r="D30" s="15" t="s">
        <v>42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20"/>
      <c r="AK30" s="20"/>
      <c r="AL30" s="20"/>
      <c r="AM30" s="20"/>
    </row>
    <row r="31" spans="1:39" ht="18" customHeight="1" x14ac:dyDescent="0.25">
      <c r="A31" s="31">
        <v>13</v>
      </c>
      <c r="B31" s="30"/>
      <c r="C31" s="30"/>
      <c r="D31" s="12" t="s">
        <v>41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33">
        <f>SUM(E31:AI32)</f>
        <v>0</v>
      </c>
      <c r="AK31" s="29">
        <f>COUNTIF(E31:AI32,12)*12</f>
        <v>0</v>
      </c>
      <c r="AL31" s="29">
        <f>(COUNTIF(E31:AI32,4)*4)+(COUNTIF(E31:AI32,8)*8)</f>
        <v>0</v>
      </c>
      <c r="AM31" s="32">
        <f>ROUND((AJ31)/12,1)</f>
        <v>0</v>
      </c>
    </row>
    <row r="32" spans="1:39" ht="18" customHeight="1" x14ac:dyDescent="0.25">
      <c r="A32" s="20"/>
      <c r="B32" s="20"/>
      <c r="C32" s="20"/>
      <c r="D32" s="15" t="s">
        <v>42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20"/>
      <c r="AK32" s="20"/>
      <c r="AL32" s="20"/>
      <c r="AM32" s="20"/>
    </row>
    <row r="33" spans="1:39" ht="18" customHeight="1" x14ac:dyDescent="0.25">
      <c r="A33" s="31">
        <v>14</v>
      </c>
      <c r="B33" s="30"/>
      <c r="C33" s="30"/>
      <c r="D33" s="12" t="s">
        <v>41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33">
        <f>SUM(E33:AI34)</f>
        <v>0</v>
      </c>
      <c r="AK33" s="29">
        <f>COUNTIF(E33:AI34,12)*12</f>
        <v>0</v>
      </c>
      <c r="AL33" s="29">
        <f>(COUNTIF(E33:AI34,4)*4)+(COUNTIF(E33:AI34,8)*8)</f>
        <v>0</v>
      </c>
      <c r="AM33" s="32">
        <f>ROUND((AJ33)/12,1)</f>
        <v>0</v>
      </c>
    </row>
    <row r="34" spans="1:39" ht="18" customHeight="1" x14ac:dyDescent="0.25">
      <c r="A34" s="20"/>
      <c r="B34" s="20"/>
      <c r="C34" s="20"/>
      <c r="D34" s="15" t="s">
        <v>42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20"/>
      <c r="AK34" s="20"/>
      <c r="AL34" s="20"/>
      <c r="AM34" s="20"/>
    </row>
    <row r="35" spans="1:39" ht="18" customHeight="1" x14ac:dyDescent="0.25">
      <c r="A35" s="31">
        <v>15</v>
      </c>
      <c r="B35" s="30"/>
      <c r="C35" s="30"/>
      <c r="D35" s="12" t="s">
        <v>41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33">
        <f>SUM(E35:AI36)</f>
        <v>0</v>
      </c>
      <c r="AK35" s="29">
        <f>COUNTIF(E35:AI36,12)*12</f>
        <v>0</v>
      </c>
      <c r="AL35" s="29">
        <f>(COUNTIF(E35:AI36,4)*4)+(COUNTIF(E35:AI36,8)*8)</f>
        <v>0</v>
      </c>
      <c r="AM35" s="32">
        <f>ROUND((AJ35)/12,1)</f>
        <v>0</v>
      </c>
    </row>
    <row r="36" spans="1:39" ht="18" customHeight="1" x14ac:dyDescent="0.25">
      <c r="A36" s="20"/>
      <c r="B36" s="20"/>
      <c r="C36" s="20"/>
      <c r="D36" s="15" t="s">
        <v>42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20"/>
      <c r="AK36" s="20"/>
      <c r="AL36" s="20"/>
      <c r="AM36" s="20"/>
    </row>
    <row r="37" spans="1:39" ht="21.95" customHeight="1" x14ac:dyDescent="0.25">
      <c r="A37" s="42" t="s">
        <v>58</v>
      </c>
      <c r="B37" s="43"/>
      <c r="C37" s="43"/>
      <c r="D37" s="43"/>
      <c r="E37" s="16">
        <f t="shared" ref="E37:AM37" si="0">SUM(E7:E36)</f>
        <v>0</v>
      </c>
      <c r="F37" s="16">
        <f t="shared" si="0"/>
        <v>0</v>
      </c>
      <c r="G37" s="16">
        <f t="shared" si="0"/>
        <v>0</v>
      </c>
      <c r="H37" s="16">
        <f t="shared" si="0"/>
        <v>0</v>
      </c>
      <c r="I37" s="16">
        <f t="shared" si="0"/>
        <v>0</v>
      </c>
      <c r="J37" s="16">
        <f t="shared" si="0"/>
        <v>0</v>
      </c>
      <c r="K37" s="16">
        <f t="shared" si="0"/>
        <v>0</v>
      </c>
      <c r="L37" s="16">
        <f t="shared" si="0"/>
        <v>0</v>
      </c>
      <c r="M37" s="16">
        <f t="shared" si="0"/>
        <v>0</v>
      </c>
      <c r="N37" s="16">
        <f t="shared" si="0"/>
        <v>0</v>
      </c>
      <c r="O37" s="16">
        <f t="shared" si="0"/>
        <v>0</v>
      </c>
      <c r="P37" s="16">
        <f t="shared" si="0"/>
        <v>0</v>
      </c>
      <c r="Q37" s="16">
        <f t="shared" si="0"/>
        <v>0</v>
      </c>
      <c r="R37" s="16">
        <f t="shared" si="0"/>
        <v>0</v>
      </c>
      <c r="S37" s="16">
        <f t="shared" si="0"/>
        <v>0</v>
      </c>
      <c r="T37" s="16">
        <f t="shared" si="0"/>
        <v>0</v>
      </c>
      <c r="U37" s="16">
        <f t="shared" si="0"/>
        <v>0</v>
      </c>
      <c r="V37" s="16">
        <f t="shared" si="0"/>
        <v>0</v>
      </c>
      <c r="W37" s="16">
        <f t="shared" si="0"/>
        <v>0</v>
      </c>
      <c r="X37" s="16">
        <f t="shared" si="0"/>
        <v>0</v>
      </c>
      <c r="Y37" s="16">
        <f t="shared" si="0"/>
        <v>0</v>
      </c>
      <c r="Z37" s="16">
        <f t="shared" si="0"/>
        <v>0</v>
      </c>
      <c r="AA37" s="16">
        <f t="shared" si="0"/>
        <v>0</v>
      </c>
      <c r="AB37" s="16">
        <f t="shared" si="0"/>
        <v>0</v>
      </c>
      <c r="AC37" s="16">
        <f t="shared" si="0"/>
        <v>0</v>
      </c>
      <c r="AD37" s="16">
        <f t="shared" si="0"/>
        <v>0</v>
      </c>
      <c r="AE37" s="16">
        <f t="shared" si="0"/>
        <v>0</v>
      </c>
      <c r="AF37" s="16">
        <f t="shared" si="0"/>
        <v>0</v>
      </c>
      <c r="AG37" s="16">
        <f t="shared" si="0"/>
        <v>0</v>
      </c>
      <c r="AH37" s="16">
        <f t="shared" si="0"/>
        <v>0</v>
      </c>
      <c r="AI37" s="16">
        <f t="shared" si="0"/>
        <v>0</v>
      </c>
      <c r="AJ37" s="17">
        <f t="shared" si="0"/>
        <v>0</v>
      </c>
      <c r="AK37" s="17">
        <f t="shared" si="0"/>
        <v>0</v>
      </c>
      <c r="AL37" s="17">
        <f t="shared" si="0"/>
        <v>0</v>
      </c>
      <c r="AM37" s="18">
        <f t="shared" si="0"/>
        <v>0</v>
      </c>
    </row>
    <row r="39" spans="1:39" x14ac:dyDescent="0.25">
      <c r="A39" s="38" t="s">
        <v>44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spans="1:39" x14ac:dyDescent="0.25">
      <c r="A40" s="35" t="s">
        <v>45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39" x14ac:dyDescent="0.25">
      <c r="A41" s="35" t="s">
        <v>46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39" x14ac:dyDescent="0.25">
      <c r="A42" s="35" t="s">
        <v>47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39" x14ac:dyDescent="0.25">
      <c r="A43" s="35" t="s">
        <v>48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5" spans="1:39" x14ac:dyDescent="0.25">
      <c r="A45" s="44" t="s">
        <v>59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V45" s="44" t="s">
        <v>50</v>
      </c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</row>
  </sheetData>
  <autoFilter ref="A6:AM36" xr:uid="{00000000-0009-0000-0000-000004000000}"/>
  <mergeCells count="127">
    <mergeCell ref="AM31:AM32"/>
    <mergeCell ref="AL17:AL18"/>
    <mergeCell ref="A29:A30"/>
    <mergeCell ref="AM25:AM26"/>
    <mergeCell ref="AL23:AL24"/>
    <mergeCell ref="B5:B6"/>
    <mergeCell ref="D5:D6"/>
    <mergeCell ref="C13:C14"/>
    <mergeCell ref="AK31:AK32"/>
    <mergeCell ref="AK23:AK24"/>
    <mergeCell ref="AJ9:AJ10"/>
    <mergeCell ref="AL9:AL10"/>
    <mergeCell ref="A15:A16"/>
    <mergeCell ref="AK13:AK14"/>
    <mergeCell ref="C15:C16"/>
    <mergeCell ref="AK7:AK8"/>
    <mergeCell ref="A41:AB41"/>
    <mergeCell ref="AJ25:AJ26"/>
    <mergeCell ref="A45:O45"/>
    <mergeCell ref="AL19:AL20"/>
    <mergeCell ref="A31:A32"/>
    <mergeCell ref="AC2:AJ2"/>
    <mergeCell ref="B21:B22"/>
    <mergeCell ref="AK19:AK20"/>
    <mergeCell ref="C33:C34"/>
    <mergeCell ref="A42:AB42"/>
    <mergeCell ref="AJ11:AJ12"/>
    <mergeCell ref="AK33:AK34"/>
    <mergeCell ref="C35:C36"/>
    <mergeCell ref="C9:C10"/>
    <mergeCell ref="AC3:AJ3"/>
    <mergeCell ref="AK5:AK6"/>
    <mergeCell ref="A25:A26"/>
    <mergeCell ref="C25:C26"/>
    <mergeCell ref="V45:AM45"/>
    <mergeCell ref="C11:C12"/>
    <mergeCell ref="AM11:AM12"/>
    <mergeCell ref="B19:B20"/>
    <mergeCell ref="A5:A6"/>
    <mergeCell ref="AL21:AL22"/>
    <mergeCell ref="A39:T39"/>
    <mergeCell ref="AK9:AK10"/>
    <mergeCell ref="AM9:AM10"/>
    <mergeCell ref="AJ7:AJ8"/>
    <mergeCell ref="AL7:AL8"/>
    <mergeCell ref="A1:K1"/>
    <mergeCell ref="AK15:AK16"/>
    <mergeCell ref="AJ23:AJ24"/>
    <mergeCell ref="AK29:AK30"/>
    <mergeCell ref="C21:C22"/>
    <mergeCell ref="B9:B10"/>
    <mergeCell ref="AM15:AM16"/>
    <mergeCell ref="C23:C24"/>
    <mergeCell ref="A13:A14"/>
    <mergeCell ref="C7:C8"/>
    <mergeCell ref="AC1:AJ1"/>
    <mergeCell ref="E5:AI5"/>
    <mergeCell ref="B33:B34"/>
    <mergeCell ref="AJ33:AJ34"/>
    <mergeCell ref="AL33:AL34"/>
    <mergeCell ref="A37:D37"/>
    <mergeCell ref="AJ35:AJ36"/>
    <mergeCell ref="AL35:AL36"/>
    <mergeCell ref="AM5:AM6"/>
    <mergeCell ref="A43:AB43"/>
    <mergeCell ref="AL25:AL26"/>
    <mergeCell ref="AK11:AK12"/>
    <mergeCell ref="C31:C32"/>
    <mergeCell ref="A40:AB40"/>
    <mergeCell ref="A21:A22"/>
    <mergeCell ref="AJ5:AJ6"/>
    <mergeCell ref="AL5:AL6"/>
    <mergeCell ref="A17:A18"/>
    <mergeCell ref="C17:C18"/>
    <mergeCell ref="AK27:AK28"/>
    <mergeCell ref="A23:A24"/>
    <mergeCell ref="A19:A20"/>
    <mergeCell ref="AK17:AK18"/>
    <mergeCell ref="C19:C20"/>
    <mergeCell ref="A9:A10"/>
    <mergeCell ref="AJ29:AJ30"/>
    <mergeCell ref="AL29:AL30"/>
    <mergeCell ref="B7:B8"/>
    <mergeCell ref="AJ21:AJ22"/>
    <mergeCell ref="AL15:AL16"/>
    <mergeCell ref="A11:A12"/>
    <mergeCell ref="C5:C6"/>
    <mergeCell ref="B31:B32"/>
    <mergeCell ref="AK35:AK36"/>
    <mergeCell ref="A33:A34"/>
    <mergeCell ref="C27:C28"/>
    <mergeCell ref="A2:K2"/>
    <mergeCell ref="A35:A36"/>
    <mergeCell ref="B25:B26"/>
    <mergeCell ref="AM33:AM34"/>
    <mergeCell ref="B35:B36"/>
    <mergeCell ref="B27:B28"/>
    <mergeCell ref="AL27:AL28"/>
    <mergeCell ref="AM13:AM14"/>
    <mergeCell ref="B17:B18"/>
    <mergeCell ref="AJ17:AJ18"/>
    <mergeCell ref="B11:B12"/>
    <mergeCell ref="AK25:AK26"/>
    <mergeCell ref="AM19:AM20"/>
    <mergeCell ref="AJ19:AJ20"/>
    <mergeCell ref="AM27:AM28"/>
    <mergeCell ref="AM21:AM22"/>
    <mergeCell ref="AM17:AM18"/>
    <mergeCell ref="AM23:AM24"/>
    <mergeCell ref="AJ31:AJ32"/>
    <mergeCell ref="AL31:AL32"/>
    <mergeCell ref="AM35:AM36"/>
    <mergeCell ref="AL11:AL12"/>
    <mergeCell ref="C29:C30"/>
    <mergeCell ref="A7:A8"/>
    <mergeCell ref="AM29:AM30"/>
    <mergeCell ref="AJ27:AJ28"/>
    <mergeCell ref="B29:B30"/>
    <mergeCell ref="B23:B24"/>
    <mergeCell ref="A27:A28"/>
    <mergeCell ref="B13:B14"/>
    <mergeCell ref="AJ13:AJ14"/>
    <mergeCell ref="AL13:AL14"/>
    <mergeCell ref="AK21:AK22"/>
    <mergeCell ref="AM7:AM8"/>
    <mergeCell ref="B15:B16"/>
    <mergeCell ref="AJ15:AJ16"/>
  </mergeCells>
  <pageMargins left="0.25" right="0.25" top="0.35" bottom="0.35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График_сменности_2026</vt:lpstr>
      <vt:lpstr>1 смена Табель</vt:lpstr>
      <vt:lpstr>2 смена Табель</vt:lpstr>
      <vt:lpstr>3 смена Табель</vt:lpstr>
      <vt:lpstr>4 смена Табель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Максим Левда</cp:lastModifiedBy>
  <dcterms:created xsi:type="dcterms:W3CDTF">2026-09-01T06:56:00Z</dcterms:created>
  <dcterms:modified xsi:type="dcterms:W3CDTF">2026-09-01T07:18:26Z</dcterms:modified>
</cp:coreProperties>
</file>